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omolo\OneDrive\Documents\Capstone_Project\"/>
    </mc:Choice>
  </mc:AlternateContent>
  <xr:revisionPtr revIDLastSave="0" documentId="13_ncr:1_{A1BFCD17-7218-49D3-94E3-F92F3B3844AE}" xr6:coauthVersionLast="47" xr6:coauthVersionMax="47" xr10:uidLastSave="{00000000-0000-0000-0000-000000000000}"/>
  <bookViews>
    <workbookView xWindow="-108" yWindow="-108" windowWidth="23256" windowHeight="12456" activeTab="5" xr2:uid="{8E78792D-A965-4763-AE8E-D93B3B81DA82}"/>
  </bookViews>
  <sheets>
    <sheet name="Revenue" sheetId="1" r:id="rId1"/>
    <sheet name="Expense" sheetId="3" r:id="rId2"/>
    <sheet name="Products" sheetId="2" r:id="rId3"/>
    <sheet name="Sales Manager" sheetId="4" r:id="rId4"/>
    <sheet name="Pivot_Table" sheetId="7" r:id="rId5"/>
    <sheet name="Dashboard" sheetId="12" r:id="rId6"/>
  </sheets>
  <definedNames>
    <definedName name="_xlnm._FilterDatabase" localSheetId="0" hidden="1">Revenue!$A$1:$N$601</definedName>
    <definedName name="Slicer_Branch">#N/A</definedName>
    <definedName name="Slicer_Product">#N/A</definedName>
    <definedName name="Slicer_Sales_Manager">#N/A</definedName>
  </definedNames>
  <calcPr calcId="191028"/>
  <pivotCaches>
    <pivotCache cacheId="18"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4" i="7" l="1"/>
  <c r="C2" i="1" l="1"/>
  <c r="E2" i="1"/>
  <c r="L2" i="1"/>
  <c r="Q2" i="1" s="1"/>
  <c r="C3" i="1"/>
  <c r="E3" i="1"/>
  <c r="L3" i="1"/>
  <c r="Q3" i="1" s="1"/>
  <c r="C4" i="1"/>
  <c r="E4" i="1"/>
  <c r="L4" i="1"/>
  <c r="Q4" i="1" s="1"/>
  <c r="C5" i="1"/>
  <c r="E5" i="1"/>
  <c r="L5" i="1"/>
  <c r="Q5" i="1" s="1"/>
  <c r="C6" i="1"/>
  <c r="U6" i="1" s="1"/>
  <c r="E6" i="1"/>
  <c r="L6" i="1"/>
  <c r="Q6" i="1" s="1"/>
  <c r="C7" i="1"/>
  <c r="E7" i="1"/>
  <c r="L7" i="1"/>
  <c r="Q7" i="1" s="1"/>
  <c r="C8" i="1"/>
  <c r="E8" i="1"/>
  <c r="L8" i="1"/>
  <c r="Q8" i="1" s="1"/>
  <c r="C9" i="1"/>
  <c r="U9" i="1" s="1"/>
  <c r="E9" i="1"/>
  <c r="L9" i="1"/>
  <c r="Q9" i="1" s="1"/>
  <c r="C10" i="1"/>
  <c r="E10" i="1"/>
  <c r="L10" i="1"/>
  <c r="Q10" i="1" s="1"/>
  <c r="C11" i="1"/>
  <c r="E11" i="1"/>
  <c r="L11" i="1"/>
  <c r="Q11" i="1" s="1"/>
  <c r="C12" i="1"/>
  <c r="E12" i="1"/>
  <c r="L12" i="1"/>
  <c r="Q12" i="1" s="1"/>
  <c r="C13" i="1"/>
  <c r="U13" i="1" s="1"/>
  <c r="E13" i="1"/>
  <c r="L13" i="1"/>
  <c r="Q13" i="1" s="1"/>
  <c r="C14" i="1"/>
  <c r="U14" i="1" s="1"/>
  <c r="E14" i="1"/>
  <c r="F14" i="1"/>
  <c r="F26" i="1" s="1"/>
  <c r="G14" i="1"/>
  <c r="G26" i="1" s="1"/>
  <c r="G38" i="1" s="1"/>
  <c r="G50" i="1" s="1"/>
  <c r="G62" i="1" s="1"/>
  <c r="G74" i="1" s="1"/>
  <c r="G86" i="1" s="1"/>
  <c r="G98" i="1" s="1"/>
  <c r="G110" i="1" s="1"/>
  <c r="G122" i="1" s="1"/>
  <c r="G134" i="1" s="1"/>
  <c r="G146" i="1" s="1"/>
  <c r="G158" i="1" s="1"/>
  <c r="G170" i="1" s="1"/>
  <c r="G182" i="1" s="1"/>
  <c r="G194" i="1" s="1"/>
  <c r="G206" i="1" s="1"/>
  <c r="G218" i="1" s="1"/>
  <c r="G230" i="1" s="1"/>
  <c r="G242" i="1" s="1"/>
  <c r="G254" i="1" s="1"/>
  <c r="G266" i="1" s="1"/>
  <c r="G278" i="1" s="1"/>
  <c r="G290" i="1" s="1"/>
  <c r="G302" i="1" s="1"/>
  <c r="G314" i="1" s="1"/>
  <c r="G326" i="1" s="1"/>
  <c r="G338" i="1" s="1"/>
  <c r="G350" i="1" s="1"/>
  <c r="G362" i="1" s="1"/>
  <c r="G374" i="1" s="1"/>
  <c r="G386" i="1" s="1"/>
  <c r="G398" i="1" s="1"/>
  <c r="G410" i="1" s="1"/>
  <c r="G422" i="1" s="1"/>
  <c r="G434" i="1" s="1"/>
  <c r="G446" i="1" s="1"/>
  <c r="G458" i="1" s="1"/>
  <c r="G470" i="1" s="1"/>
  <c r="G482" i="1" s="1"/>
  <c r="G494" i="1" s="1"/>
  <c r="G506" i="1" s="1"/>
  <c r="G518" i="1" s="1"/>
  <c r="G530" i="1" s="1"/>
  <c r="G542" i="1" s="1"/>
  <c r="G554" i="1" s="1"/>
  <c r="G566" i="1" s="1"/>
  <c r="G578" i="1" s="1"/>
  <c r="G590" i="1" s="1"/>
  <c r="L14" i="1"/>
  <c r="Q14" i="1" s="1"/>
  <c r="C15" i="1"/>
  <c r="U15" i="1" s="1"/>
  <c r="E15" i="1"/>
  <c r="F15" i="1"/>
  <c r="F27" i="1" s="1"/>
  <c r="F39" i="1" s="1"/>
  <c r="F51" i="1" s="1"/>
  <c r="F63" i="1" s="1"/>
  <c r="F75" i="1" s="1"/>
  <c r="F87" i="1" s="1"/>
  <c r="F99" i="1" s="1"/>
  <c r="F111" i="1" s="1"/>
  <c r="G15" i="1"/>
  <c r="G27" i="1" s="1"/>
  <c r="G39" i="1" s="1"/>
  <c r="G51" i="1" s="1"/>
  <c r="G63" i="1" s="1"/>
  <c r="G75" i="1" s="1"/>
  <c r="G87" i="1" s="1"/>
  <c r="G99" i="1" s="1"/>
  <c r="G111" i="1" s="1"/>
  <c r="G123" i="1" s="1"/>
  <c r="G135" i="1" s="1"/>
  <c r="G147" i="1" s="1"/>
  <c r="G159" i="1" s="1"/>
  <c r="G171" i="1" s="1"/>
  <c r="G183" i="1" s="1"/>
  <c r="G195" i="1" s="1"/>
  <c r="G207" i="1" s="1"/>
  <c r="G219" i="1" s="1"/>
  <c r="G231" i="1" s="1"/>
  <c r="G243" i="1" s="1"/>
  <c r="G255" i="1" s="1"/>
  <c r="G267" i="1" s="1"/>
  <c r="G279" i="1" s="1"/>
  <c r="G291" i="1" s="1"/>
  <c r="G303" i="1" s="1"/>
  <c r="G315" i="1" s="1"/>
  <c r="G327" i="1" s="1"/>
  <c r="G339" i="1" s="1"/>
  <c r="G351" i="1" s="1"/>
  <c r="G363" i="1" s="1"/>
  <c r="G375" i="1" s="1"/>
  <c r="G387" i="1" s="1"/>
  <c r="G399" i="1" s="1"/>
  <c r="G411" i="1" s="1"/>
  <c r="G423" i="1" s="1"/>
  <c r="G435" i="1" s="1"/>
  <c r="G447" i="1" s="1"/>
  <c r="G459" i="1" s="1"/>
  <c r="G471" i="1" s="1"/>
  <c r="G483" i="1" s="1"/>
  <c r="G495" i="1" s="1"/>
  <c r="G507" i="1" s="1"/>
  <c r="G519" i="1" s="1"/>
  <c r="G531" i="1" s="1"/>
  <c r="G543" i="1" s="1"/>
  <c r="G555" i="1" s="1"/>
  <c r="G567" i="1" s="1"/>
  <c r="G579" i="1" s="1"/>
  <c r="G591" i="1" s="1"/>
  <c r="L15" i="1"/>
  <c r="Q15" i="1" s="1"/>
  <c r="C16" i="1"/>
  <c r="U16" i="1" s="1"/>
  <c r="E16" i="1"/>
  <c r="F16" i="1"/>
  <c r="G16" i="1"/>
  <c r="G28" i="1" s="1"/>
  <c r="G40" i="1" s="1"/>
  <c r="G52" i="1" s="1"/>
  <c r="G64" i="1" s="1"/>
  <c r="G76" i="1" s="1"/>
  <c r="G88" i="1" s="1"/>
  <c r="G100" i="1" s="1"/>
  <c r="G112" i="1" s="1"/>
  <c r="G124" i="1" s="1"/>
  <c r="G136" i="1" s="1"/>
  <c r="G148" i="1" s="1"/>
  <c r="G160" i="1" s="1"/>
  <c r="G172" i="1" s="1"/>
  <c r="G184" i="1" s="1"/>
  <c r="G196" i="1" s="1"/>
  <c r="G208" i="1" s="1"/>
  <c r="G220" i="1" s="1"/>
  <c r="G232" i="1" s="1"/>
  <c r="G244" i="1" s="1"/>
  <c r="G256" i="1" s="1"/>
  <c r="G268" i="1" s="1"/>
  <c r="G280" i="1" s="1"/>
  <c r="G292" i="1" s="1"/>
  <c r="G304" i="1" s="1"/>
  <c r="G316" i="1" s="1"/>
  <c r="G328" i="1" s="1"/>
  <c r="G340" i="1" s="1"/>
  <c r="G352" i="1" s="1"/>
  <c r="G364" i="1" s="1"/>
  <c r="G376" i="1" s="1"/>
  <c r="G388" i="1" s="1"/>
  <c r="G400" i="1" s="1"/>
  <c r="G412" i="1" s="1"/>
  <c r="G424" i="1" s="1"/>
  <c r="G436" i="1" s="1"/>
  <c r="G448" i="1" s="1"/>
  <c r="G460" i="1" s="1"/>
  <c r="G472" i="1" s="1"/>
  <c r="G484" i="1" s="1"/>
  <c r="G496" i="1" s="1"/>
  <c r="G508" i="1" s="1"/>
  <c r="G520" i="1" s="1"/>
  <c r="G532" i="1" s="1"/>
  <c r="G544" i="1" s="1"/>
  <c r="G556" i="1" s="1"/>
  <c r="G568" i="1" s="1"/>
  <c r="G580" i="1" s="1"/>
  <c r="G592" i="1" s="1"/>
  <c r="L16" i="1"/>
  <c r="Q16" i="1" s="1"/>
  <c r="C17" i="1"/>
  <c r="U17" i="1" s="1"/>
  <c r="E17" i="1"/>
  <c r="F17" i="1"/>
  <c r="F29" i="1" s="1"/>
  <c r="F41" i="1" s="1"/>
  <c r="G17" i="1"/>
  <c r="G29" i="1" s="1"/>
  <c r="G41" i="1" s="1"/>
  <c r="G53" i="1" s="1"/>
  <c r="G65" i="1" s="1"/>
  <c r="G77" i="1" s="1"/>
  <c r="G89" i="1" s="1"/>
  <c r="G101" i="1" s="1"/>
  <c r="G113" i="1" s="1"/>
  <c r="G125" i="1" s="1"/>
  <c r="G137" i="1" s="1"/>
  <c r="G149" i="1" s="1"/>
  <c r="G161" i="1" s="1"/>
  <c r="G173" i="1" s="1"/>
  <c r="G185" i="1" s="1"/>
  <c r="G197" i="1" s="1"/>
  <c r="G209" i="1" s="1"/>
  <c r="G221" i="1" s="1"/>
  <c r="G233" i="1" s="1"/>
  <c r="G245" i="1" s="1"/>
  <c r="G257" i="1" s="1"/>
  <c r="G269" i="1" s="1"/>
  <c r="G281" i="1" s="1"/>
  <c r="G293" i="1" s="1"/>
  <c r="G305" i="1" s="1"/>
  <c r="G317" i="1" s="1"/>
  <c r="G329" i="1" s="1"/>
  <c r="G341" i="1" s="1"/>
  <c r="G353" i="1" s="1"/>
  <c r="G365" i="1" s="1"/>
  <c r="G377" i="1" s="1"/>
  <c r="G389" i="1" s="1"/>
  <c r="G401" i="1" s="1"/>
  <c r="G413" i="1" s="1"/>
  <c r="G425" i="1" s="1"/>
  <c r="G437" i="1" s="1"/>
  <c r="G449" i="1" s="1"/>
  <c r="G461" i="1" s="1"/>
  <c r="G473" i="1" s="1"/>
  <c r="G485" i="1" s="1"/>
  <c r="G497" i="1" s="1"/>
  <c r="G509" i="1" s="1"/>
  <c r="G521" i="1" s="1"/>
  <c r="G533" i="1" s="1"/>
  <c r="G545" i="1" s="1"/>
  <c r="G557" i="1" s="1"/>
  <c r="G569" i="1" s="1"/>
  <c r="G581" i="1" s="1"/>
  <c r="G593" i="1" s="1"/>
  <c r="L17" i="1"/>
  <c r="Q17" i="1" s="1"/>
  <c r="C18" i="1"/>
  <c r="U18" i="1" s="1"/>
  <c r="E18" i="1"/>
  <c r="F18" i="1"/>
  <c r="F30" i="1" s="1"/>
  <c r="F42" i="1" s="1"/>
  <c r="G18" i="1"/>
  <c r="G30" i="1" s="1"/>
  <c r="G42" i="1" s="1"/>
  <c r="G54" i="1" s="1"/>
  <c r="G66" i="1" s="1"/>
  <c r="G78" i="1" s="1"/>
  <c r="G90" i="1" s="1"/>
  <c r="G102" i="1" s="1"/>
  <c r="G114" i="1" s="1"/>
  <c r="G126" i="1" s="1"/>
  <c r="G138" i="1" s="1"/>
  <c r="G150" i="1" s="1"/>
  <c r="G162" i="1" s="1"/>
  <c r="G174" i="1" s="1"/>
  <c r="G186" i="1" s="1"/>
  <c r="G198" i="1" s="1"/>
  <c r="G210" i="1" s="1"/>
  <c r="G222" i="1" s="1"/>
  <c r="G234" i="1" s="1"/>
  <c r="G246" i="1" s="1"/>
  <c r="G258" i="1" s="1"/>
  <c r="G270" i="1" s="1"/>
  <c r="G282" i="1" s="1"/>
  <c r="G294" i="1" s="1"/>
  <c r="G306" i="1" s="1"/>
  <c r="G318" i="1" s="1"/>
  <c r="G330" i="1" s="1"/>
  <c r="G342" i="1" s="1"/>
  <c r="G354" i="1" s="1"/>
  <c r="G366" i="1" s="1"/>
  <c r="G378" i="1" s="1"/>
  <c r="G390" i="1" s="1"/>
  <c r="G402" i="1" s="1"/>
  <c r="G414" i="1" s="1"/>
  <c r="G426" i="1" s="1"/>
  <c r="G438" i="1" s="1"/>
  <c r="G450" i="1" s="1"/>
  <c r="G462" i="1" s="1"/>
  <c r="G474" i="1" s="1"/>
  <c r="G486" i="1" s="1"/>
  <c r="G498" i="1" s="1"/>
  <c r="G510" i="1" s="1"/>
  <c r="G522" i="1" s="1"/>
  <c r="G534" i="1" s="1"/>
  <c r="G546" i="1" s="1"/>
  <c r="G558" i="1" s="1"/>
  <c r="G570" i="1" s="1"/>
  <c r="G582" i="1" s="1"/>
  <c r="G594" i="1" s="1"/>
  <c r="L18" i="1"/>
  <c r="Q18" i="1" s="1"/>
  <c r="C19" i="1"/>
  <c r="U19" i="1" s="1"/>
  <c r="E19" i="1"/>
  <c r="F19" i="1"/>
  <c r="F31" i="1" s="1"/>
  <c r="F43" i="1" s="1"/>
  <c r="G19" i="1"/>
  <c r="G31" i="1" s="1"/>
  <c r="G43" i="1" s="1"/>
  <c r="G55" i="1" s="1"/>
  <c r="G67" i="1" s="1"/>
  <c r="G79" i="1" s="1"/>
  <c r="G91" i="1" s="1"/>
  <c r="G103" i="1" s="1"/>
  <c r="G115" i="1" s="1"/>
  <c r="G127" i="1" s="1"/>
  <c r="G139" i="1" s="1"/>
  <c r="G151" i="1" s="1"/>
  <c r="G163" i="1" s="1"/>
  <c r="G175" i="1" s="1"/>
  <c r="G187" i="1" s="1"/>
  <c r="G199" i="1" s="1"/>
  <c r="G211" i="1" s="1"/>
  <c r="G223" i="1" s="1"/>
  <c r="G235" i="1" s="1"/>
  <c r="G247" i="1" s="1"/>
  <c r="G259" i="1" s="1"/>
  <c r="G271" i="1" s="1"/>
  <c r="G283" i="1" s="1"/>
  <c r="G295" i="1" s="1"/>
  <c r="G307" i="1" s="1"/>
  <c r="G319" i="1" s="1"/>
  <c r="G331" i="1" s="1"/>
  <c r="G343" i="1" s="1"/>
  <c r="G355" i="1" s="1"/>
  <c r="G367" i="1" s="1"/>
  <c r="G379" i="1" s="1"/>
  <c r="G391" i="1" s="1"/>
  <c r="G403" i="1" s="1"/>
  <c r="G415" i="1" s="1"/>
  <c r="G427" i="1" s="1"/>
  <c r="G439" i="1" s="1"/>
  <c r="G451" i="1" s="1"/>
  <c r="G463" i="1" s="1"/>
  <c r="G475" i="1" s="1"/>
  <c r="G487" i="1" s="1"/>
  <c r="G499" i="1" s="1"/>
  <c r="G511" i="1" s="1"/>
  <c r="G523" i="1" s="1"/>
  <c r="G535" i="1" s="1"/>
  <c r="G547" i="1" s="1"/>
  <c r="G559" i="1" s="1"/>
  <c r="G571" i="1" s="1"/>
  <c r="G583" i="1" s="1"/>
  <c r="G595" i="1" s="1"/>
  <c r="L19" i="1"/>
  <c r="Q19" i="1" s="1"/>
  <c r="C20" i="1"/>
  <c r="U20" i="1" s="1"/>
  <c r="E20" i="1"/>
  <c r="F20" i="1"/>
  <c r="F32" i="1" s="1"/>
  <c r="F44" i="1" s="1"/>
  <c r="G20" i="1"/>
  <c r="G32" i="1" s="1"/>
  <c r="G44" i="1" s="1"/>
  <c r="G56" i="1" s="1"/>
  <c r="G68" i="1" s="1"/>
  <c r="G80" i="1" s="1"/>
  <c r="G92" i="1" s="1"/>
  <c r="G104" i="1" s="1"/>
  <c r="G116" i="1" s="1"/>
  <c r="G128" i="1" s="1"/>
  <c r="G140" i="1" s="1"/>
  <c r="G152" i="1" s="1"/>
  <c r="G164" i="1" s="1"/>
  <c r="G176" i="1" s="1"/>
  <c r="G188" i="1" s="1"/>
  <c r="G200" i="1" s="1"/>
  <c r="G212" i="1" s="1"/>
  <c r="G224" i="1" s="1"/>
  <c r="G236" i="1" s="1"/>
  <c r="G248" i="1" s="1"/>
  <c r="G260" i="1" s="1"/>
  <c r="G272" i="1" s="1"/>
  <c r="G284" i="1" s="1"/>
  <c r="G296" i="1" s="1"/>
  <c r="G308" i="1" s="1"/>
  <c r="G320" i="1" s="1"/>
  <c r="G332" i="1" s="1"/>
  <c r="G344" i="1" s="1"/>
  <c r="G356" i="1" s="1"/>
  <c r="G368" i="1" s="1"/>
  <c r="G380" i="1" s="1"/>
  <c r="G392" i="1" s="1"/>
  <c r="G404" i="1" s="1"/>
  <c r="G416" i="1" s="1"/>
  <c r="G428" i="1" s="1"/>
  <c r="G440" i="1" s="1"/>
  <c r="G452" i="1" s="1"/>
  <c r="G464" i="1" s="1"/>
  <c r="G476" i="1" s="1"/>
  <c r="G488" i="1" s="1"/>
  <c r="G500" i="1" s="1"/>
  <c r="G512" i="1" s="1"/>
  <c r="G524" i="1" s="1"/>
  <c r="G536" i="1" s="1"/>
  <c r="G548" i="1" s="1"/>
  <c r="G560" i="1" s="1"/>
  <c r="G572" i="1" s="1"/>
  <c r="G584" i="1" s="1"/>
  <c r="G596" i="1" s="1"/>
  <c r="L20" i="1"/>
  <c r="Q20" i="1" s="1"/>
  <c r="C21" i="1"/>
  <c r="U21" i="1" s="1"/>
  <c r="E21" i="1"/>
  <c r="F21" i="1"/>
  <c r="F33" i="1" s="1"/>
  <c r="G21" i="1"/>
  <c r="G33" i="1" s="1"/>
  <c r="G45" i="1" s="1"/>
  <c r="G57" i="1" s="1"/>
  <c r="G69" i="1" s="1"/>
  <c r="G81" i="1" s="1"/>
  <c r="G93" i="1" s="1"/>
  <c r="G105" i="1" s="1"/>
  <c r="G117" i="1" s="1"/>
  <c r="G129" i="1" s="1"/>
  <c r="G141" i="1" s="1"/>
  <c r="G153" i="1" s="1"/>
  <c r="G165" i="1" s="1"/>
  <c r="G177" i="1" s="1"/>
  <c r="G189" i="1" s="1"/>
  <c r="G201" i="1" s="1"/>
  <c r="G213" i="1" s="1"/>
  <c r="G225" i="1" s="1"/>
  <c r="G237" i="1" s="1"/>
  <c r="G249" i="1" s="1"/>
  <c r="G261" i="1" s="1"/>
  <c r="G273" i="1" s="1"/>
  <c r="G285" i="1" s="1"/>
  <c r="G297" i="1" s="1"/>
  <c r="G309" i="1" s="1"/>
  <c r="G321" i="1" s="1"/>
  <c r="G333" i="1" s="1"/>
  <c r="G345" i="1" s="1"/>
  <c r="G357" i="1" s="1"/>
  <c r="G369" i="1" s="1"/>
  <c r="G381" i="1" s="1"/>
  <c r="G393" i="1" s="1"/>
  <c r="G405" i="1" s="1"/>
  <c r="G417" i="1" s="1"/>
  <c r="G429" i="1" s="1"/>
  <c r="G441" i="1" s="1"/>
  <c r="G453" i="1" s="1"/>
  <c r="G465" i="1" s="1"/>
  <c r="G477" i="1" s="1"/>
  <c r="G489" i="1" s="1"/>
  <c r="G501" i="1" s="1"/>
  <c r="G513" i="1" s="1"/>
  <c r="G525" i="1" s="1"/>
  <c r="G537" i="1" s="1"/>
  <c r="G549" i="1" s="1"/>
  <c r="G561" i="1" s="1"/>
  <c r="G573" i="1" s="1"/>
  <c r="G585" i="1" s="1"/>
  <c r="G597" i="1" s="1"/>
  <c r="L21" i="1"/>
  <c r="Q21" i="1" s="1"/>
  <c r="C22" i="1"/>
  <c r="U22" i="1" s="1"/>
  <c r="E22" i="1"/>
  <c r="F22" i="1"/>
  <c r="F34" i="1" s="1"/>
  <c r="F46" i="1" s="1"/>
  <c r="G22" i="1"/>
  <c r="G34" i="1" s="1"/>
  <c r="G46" i="1" s="1"/>
  <c r="G58" i="1" s="1"/>
  <c r="G70" i="1" s="1"/>
  <c r="G82" i="1" s="1"/>
  <c r="G94" i="1" s="1"/>
  <c r="G106" i="1" s="1"/>
  <c r="G118" i="1" s="1"/>
  <c r="G130" i="1" s="1"/>
  <c r="G142" i="1" s="1"/>
  <c r="G154" i="1" s="1"/>
  <c r="G166" i="1" s="1"/>
  <c r="G178" i="1" s="1"/>
  <c r="G190" i="1" s="1"/>
  <c r="G202" i="1" s="1"/>
  <c r="G214" i="1" s="1"/>
  <c r="G226" i="1" s="1"/>
  <c r="G238" i="1" s="1"/>
  <c r="G250" i="1" s="1"/>
  <c r="G262" i="1" s="1"/>
  <c r="G274" i="1" s="1"/>
  <c r="G286" i="1" s="1"/>
  <c r="G298" i="1" s="1"/>
  <c r="G310" i="1" s="1"/>
  <c r="G322" i="1" s="1"/>
  <c r="G334" i="1" s="1"/>
  <c r="G346" i="1" s="1"/>
  <c r="G358" i="1" s="1"/>
  <c r="G370" i="1" s="1"/>
  <c r="G382" i="1" s="1"/>
  <c r="G394" i="1" s="1"/>
  <c r="G406" i="1" s="1"/>
  <c r="G418" i="1" s="1"/>
  <c r="G430" i="1" s="1"/>
  <c r="G442" i="1" s="1"/>
  <c r="G454" i="1" s="1"/>
  <c r="G466" i="1" s="1"/>
  <c r="G478" i="1" s="1"/>
  <c r="G490" i="1" s="1"/>
  <c r="G502" i="1" s="1"/>
  <c r="G514" i="1" s="1"/>
  <c r="G526" i="1" s="1"/>
  <c r="G538" i="1" s="1"/>
  <c r="G550" i="1" s="1"/>
  <c r="G562" i="1" s="1"/>
  <c r="G574" i="1" s="1"/>
  <c r="G586" i="1" s="1"/>
  <c r="G598" i="1" s="1"/>
  <c r="L22" i="1"/>
  <c r="Q22" i="1" s="1"/>
  <c r="C23" i="1"/>
  <c r="U23" i="1" s="1"/>
  <c r="E23" i="1"/>
  <c r="F23" i="1"/>
  <c r="F35" i="1" s="1"/>
  <c r="F47" i="1" s="1"/>
  <c r="F59" i="1" s="1"/>
  <c r="G23" i="1"/>
  <c r="G35" i="1" s="1"/>
  <c r="G47" i="1" s="1"/>
  <c r="G59" i="1" s="1"/>
  <c r="G71" i="1" s="1"/>
  <c r="G83" i="1" s="1"/>
  <c r="G95" i="1" s="1"/>
  <c r="G107" i="1" s="1"/>
  <c r="G119" i="1" s="1"/>
  <c r="G131" i="1" s="1"/>
  <c r="G143" i="1" s="1"/>
  <c r="G155" i="1" s="1"/>
  <c r="G167" i="1" s="1"/>
  <c r="G179" i="1" s="1"/>
  <c r="G191" i="1" s="1"/>
  <c r="G203" i="1" s="1"/>
  <c r="G215" i="1" s="1"/>
  <c r="G227" i="1" s="1"/>
  <c r="G239" i="1" s="1"/>
  <c r="G251" i="1" s="1"/>
  <c r="G263" i="1" s="1"/>
  <c r="G275" i="1" s="1"/>
  <c r="G287" i="1" s="1"/>
  <c r="G299" i="1" s="1"/>
  <c r="G311" i="1" s="1"/>
  <c r="G323" i="1" s="1"/>
  <c r="G335" i="1" s="1"/>
  <c r="G347" i="1" s="1"/>
  <c r="G359" i="1" s="1"/>
  <c r="G371" i="1" s="1"/>
  <c r="G383" i="1" s="1"/>
  <c r="G395" i="1" s="1"/>
  <c r="G407" i="1" s="1"/>
  <c r="G419" i="1" s="1"/>
  <c r="G431" i="1" s="1"/>
  <c r="G443" i="1" s="1"/>
  <c r="G455" i="1" s="1"/>
  <c r="G467" i="1" s="1"/>
  <c r="G479" i="1" s="1"/>
  <c r="G491" i="1" s="1"/>
  <c r="G503" i="1" s="1"/>
  <c r="G515" i="1" s="1"/>
  <c r="G527" i="1" s="1"/>
  <c r="G539" i="1" s="1"/>
  <c r="G551" i="1" s="1"/>
  <c r="G563" i="1" s="1"/>
  <c r="G575" i="1" s="1"/>
  <c r="G587" i="1" s="1"/>
  <c r="G599" i="1" s="1"/>
  <c r="L23" i="1"/>
  <c r="Q23" i="1" s="1"/>
  <c r="C24" i="1"/>
  <c r="U24" i="1" s="1"/>
  <c r="E24" i="1"/>
  <c r="F24" i="1"/>
  <c r="F36" i="1" s="1"/>
  <c r="G24" i="1"/>
  <c r="G36" i="1" s="1"/>
  <c r="G48" i="1" s="1"/>
  <c r="G60" i="1" s="1"/>
  <c r="G72" i="1" s="1"/>
  <c r="G84" i="1" s="1"/>
  <c r="G96" i="1" s="1"/>
  <c r="G108" i="1" s="1"/>
  <c r="G120" i="1" s="1"/>
  <c r="G132" i="1" s="1"/>
  <c r="G144" i="1" s="1"/>
  <c r="G156" i="1" s="1"/>
  <c r="G168" i="1" s="1"/>
  <c r="G180" i="1" s="1"/>
  <c r="G192" i="1" s="1"/>
  <c r="G204" i="1" s="1"/>
  <c r="G216" i="1" s="1"/>
  <c r="G228" i="1" s="1"/>
  <c r="G240" i="1" s="1"/>
  <c r="G252" i="1" s="1"/>
  <c r="G264" i="1" s="1"/>
  <c r="G276" i="1" s="1"/>
  <c r="G288" i="1" s="1"/>
  <c r="G300" i="1" s="1"/>
  <c r="G312" i="1" s="1"/>
  <c r="G324" i="1" s="1"/>
  <c r="G336" i="1" s="1"/>
  <c r="G348" i="1" s="1"/>
  <c r="G360" i="1" s="1"/>
  <c r="G372" i="1" s="1"/>
  <c r="G384" i="1" s="1"/>
  <c r="G396" i="1" s="1"/>
  <c r="G408" i="1" s="1"/>
  <c r="G420" i="1" s="1"/>
  <c r="G432" i="1" s="1"/>
  <c r="G444" i="1" s="1"/>
  <c r="G456" i="1" s="1"/>
  <c r="G468" i="1" s="1"/>
  <c r="G480" i="1" s="1"/>
  <c r="G492" i="1" s="1"/>
  <c r="G504" i="1" s="1"/>
  <c r="G516" i="1" s="1"/>
  <c r="G528" i="1" s="1"/>
  <c r="G540" i="1" s="1"/>
  <c r="G552" i="1" s="1"/>
  <c r="G564" i="1" s="1"/>
  <c r="G576" i="1" s="1"/>
  <c r="G588" i="1" s="1"/>
  <c r="G600" i="1" s="1"/>
  <c r="L24" i="1"/>
  <c r="Q24" i="1" s="1"/>
  <c r="C25" i="1"/>
  <c r="U25" i="1" s="1"/>
  <c r="E25" i="1"/>
  <c r="F25" i="1"/>
  <c r="G25" i="1"/>
  <c r="G37" i="1" s="1"/>
  <c r="G49" i="1" s="1"/>
  <c r="G61" i="1" s="1"/>
  <c r="G73" i="1" s="1"/>
  <c r="G85" i="1" s="1"/>
  <c r="G97" i="1" s="1"/>
  <c r="G109" i="1" s="1"/>
  <c r="G121" i="1" s="1"/>
  <c r="G133" i="1" s="1"/>
  <c r="G145" i="1" s="1"/>
  <c r="G157" i="1" s="1"/>
  <c r="G169" i="1" s="1"/>
  <c r="G181" i="1" s="1"/>
  <c r="G193" i="1" s="1"/>
  <c r="G205" i="1" s="1"/>
  <c r="G217" i="1" s="1"/>
  <c r="G229" i="1" s="1"/>
  <c r="G241" i="1" s="1"/>
  <c r="G253" i="1" s="1"/>
  <c r="G265" i="1" s="1"/>
  <c r="G277" i="1" s="1"/>
  <c r="G289" i="1" s="1"/>
  <c r="G301" i="1" s="1"/>
  <c r="G313" i="1" s="1"/>
  <c r="G325" i="1" s="1"/>
  <c r="G337" i="1" s="1"/>
  <c r="G349" i="1" s="1"/>
  <c r="G361" i="1" s="1"/>
  <c r="G373" i="1" s="1"/>
  <c r="G385" i="1" s="1"/>
  <c r="G397" i="1" s="1"/>
  <c r="G409" i="1" s="1"/>
  <c r="G421" i="1" s="1"/>
  <c r="G433" i="1" s="1"/>
  <c r="G445" i="1" s="1"/>
  <c r="G457" i="1" s="1"/>
  <c r="G469" i="1" s="1"/>
  <c r="G481" i="1" s="1"/>
  <c r="G493" i="1" s="1"/>
  <c r="G505" i="1" s="1"/>
  <c r="G517" i="1" s="1"/>
  <c r="G529" i="1" s="1"/>
  <c r="G541" i="1" s="1"/>
  <c r="G553" i="1" s="1"/>
  <c r="G565" i="1" s="1"/>
  <c r="G577" i="1" s="1"/>
  <c r="G589" i="1" s="1"/>
  <c r="G601" i="1" s="1"/>
  <c r="L25" i="1"/>
  <c r="Q25" i="1" s="1"/>
  <c r="C26" i="1"/>
  <c r="U26" i="1" s="1"/>
  <c r="E26" i="1"/>
  <c r="L26" i="1"/>
  <c r="Q26" i="1" s="1"/>
  <c r="C27" i="1"/>
  <c r="U27" i="1" s="1"/>
  <c r="E27" i="1"/>
  <c r="L27" i="1"/>
  <c r="Q27" i="1" s="1"/>
  <c r="C28" i="1"/>
  <c r="U28" i="1" s="1"/>
  <c r="E28" i="1"/>
  <c r="L28" i="1"/>
  <c r="Q28" i="1" s="1"/>
  <c r="C29" i="1"/>
  <c r="U29" i="1" s="1"/>
  <c r="E29" i="1"/>
  <c r="L29" i="1"/>
  <c r="Q29" i="1" s="1"/>
  <c r="C30" i="1"/>
  <c r="U30" i="1" s="1"/>
  <c r="E30" i="1"/>
  <c r="L30" i="1"/>
  <c r="Q30" i="1" s="1"/>
  <c r="C31" i="1"/>
  <c r="U31" i="1" s="1"/>
  <c r="E31" i="1"/>
  <c r="L31" i="1"/>
  <c r="Q31" i="1" s="1"/>
  <c r="C32" i="1"/>
  <c r="U32" i="1" s="1"/>
  <c r="E32" i="1"/>
  <c r="L32" i="1"/>
  <c r="Q32" i="1" s="1"/>
  <c r="C33" i="1"/>
  <c r="U33" i="1" s="1"/>
  <c r="E33" i="1"/>
  <c r="L33" i="1"/>
  <c r="Q33" i="1" s="1"/>
  <c r="C34" i="1"/>
  <c r="U34" i="1" s="1"/>
  <c r="E34" i="1"/>
  <c r="L34" i="1"/>
  <c r="Q34" i="1" s="1"/>
  <c r="C35" i="1"/>
  <c r="U35" i="1" s="1"/>
  <c r="E35" i="1"/>
  <c r="L35" i="1"/>
  <c r="Q35" i="1" s="1"/>
  <c r="C36" i="1"/>
  <c r="U36" i="1" s="1"/>
  <c r="E36" i="1"/>
  <c r="L36" i="1"/>
  <c r="Q36" i="1" s="1"/>
  <c r="C37" i="1"/>
  <c r="U37" i="1" s="1"/>
  <c r="E37" i="1"/>
  <c r="L37" i="1"/>
  <c r="Q37" i="1" s="1"/>
  <c r="C38" i="1"/>
  <c r="U38" i="1" s="1"/>
  <c r="E38" i="1"/>
  <c r="L38" i="1"/>
  <c r="Q38" i="1" s="1"/>
  <c r="C39" i="1"/>
  <c r="U39" i="1" s="1"/>
  <c r="E39" i="1"/>
  <c r="L39" i="1"/>
  <c r="Q39" i="1" s="1"/>
  <c r="C40" i="1"/>
  <c r="U40" i="1" s="1"/>
  <c r="E40" i="1"/>
  <c r="L40" i="1"/>
  <c r="Q40" i="1" s="1"/>
  <c r="C41" i="1"/>
  <c r="U41" i="1" s="1"/>
  <c r="E41" i="1"/>
  <c r="L41" i="1"/>
  <c r="Q41" i="1" s="1"/>
  <c r="C42" i="1"/>
  <c r="U42" i="1" s="1"/>
  <c r="E42" i="1"/>
  <c r="L42" i="1"/>
  <c r="Q42" i="1" s="1"/>
  <c r="C43" i="1"/>
  <c r="U43" i="1" s="1"/>
  <c r="E43" i="1"/>
  <c r="L43" i="1"/>
  <c r="Q43" i="1" s="1"/>
  <c r="C44" i="1"/>
  <c r="U44" i="1" s="1"/>
  <c r="E44" i="1"/>
  <c r="L44" i="1"/>
  <c r="Q44" i="1" s="1"/>
  <c r="C45" i="1"/>
  <c r="U45" i="1" s="1"/>
  <c r="E45" i="1"/>
  <c r="L45" i="1"/>
  <c r="Q45" i="1" s="1"/>
  <c r="C46" i="1"/>
  <c r="U46" i="1" s="1"/>
  <c r="E46" i="1"/>
  <c r="L46" i="1"/>
  <c r="Q46" i="1" s="1"/>
  <c r="C47" i="1"/>
  <c r="U47" i="1" s="1"/>
  <c r="E47" i="1"/>
  <c r="L47" i="1"/>
  <c r="Q47" i="1" s="1"/>
  <c r="C48" i="1"/>
  <c r="U48" i="1" s="1"/>
  <c r="E48" i="1"/>
  <c r="L48" i="1"/>
  <c r="Q48" i="1" s="1"/>
  <c r="C49" i="1"/>
  <c r="U49" i="1" s="1"/>
  <c r="E49" i="1"/>
  <c r="L49" i="1"/>
  <c r="Q49" i="1" s="1"/>
  <c r="C50" i="1"/>
  <c r="U50" i="1" s="1"/>
  <c r="E50" i="1"/>
  <c r="L50" i="1"/>
  <c r="Q50" i="1" s="1"/>
  <c r="C51" i="1"/>
  <c r="U51" i="1" s="1"/>
  <c r="E51" i="1"/>
  <c r="L51" i="1"/>
  <c r="Q51" i="1" s="1"/>
  <c r="C52" i="1"/>
  <c r="U52" i="1" s="1"/>
  <c r="E52" i="1"/>
  <c r="L52" i="1"/>
  <c r="Q52" i="1" s="1"/>
  <c r="C53" i="1"/>
  <c r="U53" i="1" s="1"/>
  <c r="E53" i="1"/>
  <c r="L53" i="1"/>
  <c r="Q53" i="1" s="1"/>
  <c r="C54" i="1"/>
  <c r="U54" i="1" s="1"/>
  <c r="E54" i="1"/>
  <c r="L54" i="1"/>
  <c r="Q54" i="1" s="1"/>
  <c r="C55" i="1"/>
  <c r="U55" i="1" s="1"/>
  <c r="E55" i="1"/>
  <c r="L55" i="1"/>
  <c r="Q55" i="1" s="1"/>
  <c r="C56" i="1"/>
  <c r="U56" i="1" s="1"/>
  <c r="E56" i="1"/>
  <c r="L56" i="1"/>
  <c r="Q56" i="1" s="1"/>
  <c r="C57" i="1"/>
  <c r="U57" i="1" s="1"/>
  <c r="E57" i="1"/>
  <c r="L57" i="1"/>
  <c r="Q57" i="1" s="1"/>
  <c r="C58" i="1"/>
  <c r="U58" i="1" s="1"/>
  <c r="E58" i="1"/>
  <c r="L58" i="1"/>
  <c r="Q58" i="1" s="1"/>
  <c r="C59" i="1"/>
  <c r="U59" i="1" s="1"/>
  <c r="E59" i="1"/>
  <c r="L59" i="1"/>
  <c r="Q59" i="1" s="1"/>
  <c r="C60" i="1"/>
  <c r="U60" i="1" s="1"/>
  <c r="E60" i="1"/>
  <c r="L60" i="1"/>
  <c r="Q60" i="1" s="1"/>
  <c r="C61" i="1"/>
  <c r="U61" i="1" s="1"/>
  <c r="E61" i="1"/>
  <c r="L61" i="1"/>
  <c r="Q61" i="1" s="1"/>
  <c r="B62" i="1"/>
  <c r="B122" i="1" s="1"/>
  <c r="D62" i="1"/>
  <c r="L62" i="1"/>
  <c r="Q62" i="1" s="1"/>
  <c r="B63" i="1"/>
  <c r="D63" i="1"/>
  <c r="L63" i="1"/>
  <c r="Q63" i="1" s="1"/>
  <c r="B64" i="1"/>
  <c r="D64" i="1"/>
  <c r="D124" i="1" s="1"/>
  <c r="L64" i="1"/>
  <c r="Q64" i="1" s="1"/>
  <c r="B65" i="1"/>
  <c r="D65" i="1"/>
  <c r="D125" i="1" s="1"/>
  <c r="D185" i="1" s="1"/>
  <c r="E65" i="1"/>
  <c r="L65" i="1"/>
  <c r="Q65" i="1" s="1"/>
  <c r="B66" i="1"/>
  <c r="B126" i="1" s="1"/>
  <c r="D66" i="1"/>
  <c r="L66" i="1"/>
  <c r="Q66" i="1" s="1"/>
  <c r="B67" i="1"/>
  <c r="C67" i="1" s="1"/>
  <c r="D67" i="1"/>
  <c r="E67" i="1" s="1"/>
  <c r="L67" i="1"/>
  <c r="Q67" i="1" s="1"/>
  <c r="B68" i="1"/>
  <c r="B128" i="1" s="1"/>
  <c r="C128" i="1" s="1"/>
  <c r="D68" i="1"/>
  <c r="D128" i="1" s="1"/>
  <c r="E128" i="1" s="1"/>
  <c r="L68" i="1"/>
  <c r="Q68" i="1" s="1"/>
  <c r="B69" i="1"/>
  <c r="D69" i="1"/>
  <c r="D129" i="1" s="1"/>
  <c r="L69" i="1"/>
  <c r="Q69" i="1" s="1"/>
  <c r="B70" i="1"/>
  <c r="B130" i="1" s="1"/>
  <c r="D70" i="1"/>
  <c r="L70" i="1"/>
  <c r="Q70" i="1" s="1"/>
  <c r="B71" i="1"/>
  <c r="D71" i="1"/>
  <c r="D131" i="1" s="1"/>
  <c r="D191" i="1" s="1"/>
  <c r="E191" i="1" s="1"/>
  <c r="L71" i="1"/>
  <c r="Q71" i="1" s="1"/>
  <c r="B72" i="1"/>
  <c r="D72" i="1"/>
  <c r="D132" i="1" s="1"/>
  <c r="L72" i="1"/>
  <c r="Q72" i="1" s="1"/>
  <c r="B73" i="1"/>
  <c r="B133" i="1" s="1"/>
  <c r="C133" i="1" s="1"/>
  <c r="D73" i="1"/>
  <c r="D133" i="1" s="1"/>
  <c r="E133" i="1" s="1"/>
  <c r="L73" i="1"/>
  <c r="Q73" i="1" s="1"/>
  <c r="B74" i="1"/>
  <c r="C74" i="1" s="1"/>
  <c r="D74" i="1"/>
  <c r="L74" i="1"/>
  <c r="Q74" i="1" s="1"/>
  <c r="B75" i="1"/>
  <c r="B135" i="1" s="1"/>
  <c r="C75" i="1"/>
  <c r="D75" i="1"/>
  <c r="E75" i="1" s="1"/>
  <c r="L75" i="1"/>
  <c r="Q75" i="1" s="1"/>
  <c r="B76" i="1"/>
  <c r="D76" i="1"/>
  <c r="D136" i="1" s="1"/>
  <c r="L76" i="1"/>
  <c r="Q76" i="1" s="1"/>
  <c r="B77" i="1"/>
  <c r="D77" i="1"/>
  <c r="L77" i="1"/>
  <c r="Q77" i="1" s="1"/>
  <c r="B78" i="1"/>
  <c r="B138" i="1" s="1"/>
  <c r="D78" i="1"/>
  <c r="L78" i="1"/>
  <c r="Q78" i="1" s="1"/>
  <c r="B79" i="1"/>
  <c r="C79" i="1" s="1"/>
  <c r="D79" i="1"/>
  <c r="E79" i="1" s="1"/>
  <c r="L79" i="1"/>
  <c r="Q79" i="1" s="1"/>
  <c r="B80" i="1"/>
  <c r="D80" i="1"/>
  <c r="D140" i="1" s="1"/>
  <c r="L80" i="1"/>
  <c r="Q80" i="1" s="1"/>
  <c r="B81" i="1"/>
  <c r="C81" i="1" s="1"/>
  <c r="D81" i="1"/>
  <c r="D141" i="1" s="1"/>
  <c r="E81" i="1"/>
  <c r="L81" i="1"/>
  <c r="Q81" i="1" s="1"/>
  <c r="B82" i="1"/>
  <c r="B142" i="1" s="1"/>
  <c r="C142" i="1" s="1"/>
  <c r="D82" i="1"/>
  <c r="D142" i="1" s="1"/>
  <c r="E142" i="1" s="1"/>
  <c r="L82" i="1"/>
  <c r="Q82" i="1" s="1"/>
  <c r="B83" i="1"/>
  <c r="B143" i="1" s="1"/>
  <c r="D83" i="1"/>
  <c r="E83" i="1" s="1"/>
  <c r="L83" i="1"/>
  <c r="Q83" i="1" s="1"/>
  <c r="B84" i="1"/>
  <c r="C84" i="1" s="1"/>
  <c r="D84" i="1"/>
  <c r="E84" i="1" s="1"/>
  <c r="L84" i="1"/>
  <c r="Q84" i="1" s="1"/>
  <c r="B85" i="1"/>
  <c r="B145" i="1" s="1"/>
  <c r="B205" i="1" s="1"/>
  <c r="C85" i="1"/>
  <c r="D85" i="1"/>
  <c r="L85" i="1"/>
  <c r="Q85" i="1" s="1"/>
  <c r="B86" i="1"/>
  <c r="B146" i="1" s="1"/>
  <c r="D86" i="1"/>
  <c r="L86" i="1"/>
  <c r="Q86" i="1" s="1"/>
  <c r="B87" i="1"/>
  <c r="B147" i="1" s="1"/>
  <c r="C147" i="1" s="1"/>
  <c r="D87" i="1"/>
  <c r="L87" i="1"/>
  <c r="Q87" i="1" s="1"/>
  <c r="B88" i="1"/>
  <c r="D88" i="1"/>
  <c r="L88" i="1"/>
  <c r="Q88" i="1" s="1"/>
  <c r="B89" i="1"/>
  <c r="D89" i="1"/>
  <c r="L89" i="1"/>
  <c r="Q89" i="1" s="1"/>
  <c r="B90" i="1"/>
  <c r="D90" i="1"/>
  <c r="E90" i="1" s="1"/>
  <c r="L90" i="1"/>
  <c r="Q90" i="1" s="1"/>
  <c r="B91" i="1"/>
  <c r="D91" i="1"/>
  <c r="L91" i="1"/>
  <c r="Q91" i="1" s="1"/>
  <c r="B92" i="1"/>
  <c r="C92" i="1" s="1"/>
  <c r="D92" i="1"/>
  <c r="L92" i="1"/>
  <c r="Q92" i="1" s="1"/>
  <c r="B93" i="1"/>
  <c r="C93" i="1" s="1"/>
  <c r="D93" i="1"/>
  <c r="L93" i="1"/>
  <c r="Q93" i="1" s="1"/>
  <c r="B94" i="1"/>
  <c r="D94" i="1"/>
  <c r="L94" i="1"/>
  <c r="Q94" i="1" s="1"/>
  <c r="B95" i="1"/>
  <c r="C95" i="1" s="1"/>
  <c r="D95" i="1"/>
  <c r="L95" i="1"/>
  <c r="Q95" i="1" s="1"/>
  <c r="B96" i="1"/>
  <c r="C96" i="1" s="1"/>
  <c r="D96" i="1"/>
  <c r="D156" i="1" s="1"/>
  <c r="L96" i="1"/>
  <c r="Q96" i="1" s="1"/>
  <c r="B97" i="1"/>
  <c r="C97" i="1" s="1"/>
  <c r="D97" i="1"/>
  <c r="L97" i="1"/>
  <c r="Q97" i="1" s="1"/>
  <c r="B98" i="1"/>
  <c r="B158" i="1" s="1"/>
  <c r="D98" i="1"/>
  <c r="D158" i="1" s="1"/>
  <c r="L98" i="1"/>
  <c r="Q98" i="1" s="1"/>
  <c r="B99" i="1"/>
  <c r="D99" i="1"/>
  <c r="D159" i="1" s="1"/>
  <c r="D219" i="1" s="1"/>
  <c r="L99" i="1"/>
  <c r="Q99" i="1" s="1"/>
  <c r="B100" i="1"/>
  <c r="C100" i="1" s="1"/>
  <c r="D100" i="1"/>
  <c r="D160" i="1" s="1"/>
  <c r="E100" i="1"/>
  <c r="L100" i="1"/>
  <c r="Q100" i="1" s="1"/>
  <c r="B101" i="1"/>
  <c r="B161" i="1" s="1"/>
  <c r="D101" i="1"/>
  <c r="D161" i="1" s="1"/>
  <c r="L101" i="1"/>
  <c r="Q101" i="1" s="1"/>
  <c r="B102" i="1"/>
  <c r="B162" i="1" s="1"/>
  <c r="C162" i="1" s="1"/>
  <c r="D102" i="1"/>
  <c r="D162" i="1" s="1"/>
  <c r="E162" i="1" s="1"/>
  <c r="L102" i="1"/>
  <c r="Q102" i="1" s="1"/>
  <c r="B103" i="1"/>
  <c r="B163" i="1" s="1"/>
  <c r="C163" i="1" s="1"/>
  <c r="D103" i="1"/>
  <c r="D163" i="1" s="1"/>
  <c r="L103" i="1"/>
  <c r="Q103" i="1" s="1"/>
  <c r="B104" i="1"/>
  <c r="B164" i="1" s="1"/>
  <c r="D104" i="1"/>
  <c r="D164" i="1" s="1"/>
  <c r="L104" i="1"/>
  <c r="Q104" i="1" s="1"/>
  <c r="B105" i="1"/>
  <c r="D105" i="1"/>
  <c r="L105" i="1"/>
  <c r="Q105" i="1" s="1"/>
  <c r="B106" i="1"/>
  <c r="D106" i="1"/>
  <c r="L106" i="1"/>
  <c r="Q106" i="1" s="1"/>
  <c r="B107" i="1"/>
  <c r="C107" i="1" s="1"/>
  <c r="D107" i="1"/>
  <c r="L107" i="1"/>
  <c r="Q107" i="1" s="1"/>
  <c r="B108" i="1"/>
  <c r="D108" i="1"/>
  <c r="D168" i="1" s="1"/>
  <c r="E168" i="1" s="1"/>
  <c r="L108" i="1"/>
  <c r="Q108" i="1" s="1"/>
  <c r="B109" i="1"/>
  <c r="D109" i="1"/>
  <c r="D169" i="1" s="1"/>
  <c r="D229" i="1" s="1"/>
  <c r="L109" i="1"/>
  <c r="Q109" i="1" s="1"/>
  <c r="B110" i="1"/>
  <c r="D110" i="1"/>
  <c r="E110" i="1" s="1"/>
  <c r="L110" i="1"/>
  <c r="Q110" i="1" s="1"/>
  <c r="B111" i="1"/>
  <c r="B171" i="1" s="1"/>
  <c r="C171" i="1" s="1"/>
  <c r="C111" i="1"/>
  <c r="D111" i="1"/>
  <c r="D171" i="1" s="1"/>
  <c r="L111" i="1"/>
  <c r="Q111" i="1" s="1"/>
  <c r="B112" i="1"/>
  <c r="D112" i="1"/>
  <c r="D172" i="1" s="1"/>
  <c r="L112" i="1"/>
  <c r="Q112" i="1" s="1"/>
  <c r="B113" i="1"/>
  <c r="D113" i="1"/>
  <c r="D173" i="1" s="1"/>
  <c r="L113" i="1"/>
  <c r="Q113" i="1" s="1"/>
  <c r="B114" i="1"/>
  <c r="C114" i="1" s="1"/>
  <c r="D114" i="1"/>
  <c r="D174" i="1" s="1"/>
  <c r="D234" i="1" s="1"/>
  <c r="E234" i="1" s="1"/>
  <c r="L114" i="1"/>
  <c r="Q114" i="1" s="1"/>
  <c r="B115" i="1"/>
  <c r="C115" i="1" s="1"/>
  <c r="D115" i="1"/>
  <c r="D175" i="1" s="1"/>
  <c r="L115" i="1"/>
  <c r="Q115" i="1" s="1"/>
  <c r="B116" i="1"/>
  <c r="D116" i="1"/>
  <c r="D176" i="1" s="1"/>
  <c r="E176" i="1" s="1"/>
  <c r="L116" i="1"/>
  <c r="Q116" i="1" s="1"/>
  <c r="B117" i="1"/>
  <c r="D117" i="1"/>
  <c r="L117" i="1"/>
  <c r="Q117" i="1" s="1"/>
  <c r="B118" i="1"/>
  <c r="B178" i="1" s="1"/>
  <c r="D118" i="1"/>
  <c r="D178" i="1" s="1"/>
  <c r="L118" i="1"/>
  <c r="Q118" i="1" s="1"/>
  <c r="B119" i="1"/>
  <c r="B179" i="1" s="1"/>
  <c r="D119" i="1"/>
  <c r="D179" i="1" s="1"/>
  <c r="L119" i="1"/>
  <c r="Q119" i="1" s="1"/>
  <c r="B120" i="1"/>
  <c r="B180" i="1" s="1"/>
  <c r="D120" i="1"/>
  <c r="D180" i="1" s="1"/>
  <c r="L120" i="1"/>
  <c r="Q120" i="1" s="1"/>
  <c r="B121" i="1"/>
  <c r="B181" i="1" s="1"/>
  <c r="D121" i="1"/>
  <c r="D181" i="1" s="1"/>
  <c r="E181" i="1" s="1"/>
  <c r="L121" i="1"/>
  <c r="Q121" i="1" s="1"/>
  <c r="L122" i="1"/>
  <c r="Q122" i="1" s="1"/>
  <c r="L123" i="1"/>
  <c r="Q123" i="1" s="1"/>
  <c r="L124" i="1"/>
  <c r="Q124" i="1" s="1"/>
  <c r="L125" i="1"/>
  <c r="Q125" i="1" s="1"/>
  <c r="L126" i="1"/>
  <c r="Q126" i="1" s="1"/>
  <c r="L127" i="1"/>
  <c r="Q127" i="1" s="1"/>
  <c r="L128" i="1"/>
  <c r="Q128" i="1" s="1"/>
  <c r="L129" i="1"/>
  <c r="Q129" i="1" s="1"/>
  <c r="L130" i="1"/>
  <c r="Q130" i="1" s="1"/>
  <c r="L131" i="1"/>
  <c r="Q131" i="1" s="1"/>
  <c r="L132" i="1"/>
  <c r="Q132" i="1" s="1"/>
  <c r="L133" i="1"/>
  <c r="Q133" i="1" s="1"/>
  <c r="L134" i="1"/>
  <c r="Q134" i="1" s="1"/>
  <c r="L135" i="1"/>
  <c r="Q135" i="1" s="1"/>
  <c r="L136" i="1"/>
  <c r="Q136" i="1" s="1"/>
  <c r="L137" i="1"/>
  <c r="Q137" i="1" s="1"/>
  <c r="L138" i="1"/>
  <c r="Q138" i="1" s="1"/>
  <c r="L139" i="1"/>
  <c r="Q139" i="1" s="1"/>
  <c r="L140" i="1"/>
  <c r="Q140" i="1" s="1"/>
  <c r="L141" i="1"/>
  <c r="Q141" i="1" s="1"/>
  <c r="L142" i="1"/>
  <c r="Q142" i="1" s="1"/>
  <c r="L143" i="1"/>
  <c r="Q143" i="1" s="1"/>
  <c r="L144" i="1"/>
  <c r="Q144" i="1" s="1"/>
  <c r="L145" i="1"/>
  <c r="Q145" i="1" s="1"/>
  <c r="L146" i="1"/>
  <c r="Q146" i="1" s="1"/>
  <c r="L147" i="1"/>
  <c r="Q147" i="1" s="1"/>
  <c r="L148" i="1"/>
  <c r="Q148" i="1" s="1"/>
  <c r="L149" i="1"/>
  <c r="Q149" i="1" s="1"/>
  <c r="L150" i="1"/>
  <c r="Q150" i="1" s="1"/>
  <c r="L151" i="1"/>
  <c r="Q151" i="1" s="1"/>
  <c r="L152" i="1"/>
  <c r="Q152" i="1" s="1"/>
  <c r="L153" i="1"/>
  <c r="Q153" i="1" s="1"/>
  <c r="L154" i="1"/>
  <c r="Q154" i="1" s="1"/>
  <c r="L155" i="1"/>
  <c r="Q155" i="1" s="1"/>
  <c r="L156" i="1"/>
  <c r="Q156" i="1" s="1"/>
  <c r="L157" i="1"/>
  <c r="Q157" i="1" s="1"/>
  <c r="L158" i="1"/>
  <c r="Q158" i="1" s="1"/>
  <c r="L159" i="1"/>
  <c r="Q159" i="1" s="1"/>
  <c r="L160" i="1"/>
  <c r="Q160" i="1" s="1"/>
  <c r="L161" i="1"/>
  <c r="Q161" i="1" s="1"/>
  <c r="L162" i="1"/>
  <c r="Q162" i="1" s="1"/>
  <c r="L163" i="1"/>
  <c r="Q163" i="1" s="1"/>
  <c r="L164" i="1"/>
  <c r="Q164" i="1" s="1"/>
  <c r="L165" i="1"/>
  <c r="Q165" i="1" s="1"/>
  <c r="L166" i="1"/>
  <c r="Q166" i="1" s="1"/>
  <c r="L167" i="1"/>
  <c r="Q167" i="1" s="1"/>
  <c r="L168" i="1"/>
  <c r="Q168" i="1" s="1"/>
  <c r="L169" i="1"/>
  <c r="Q169" i="1" s="1"/>
  <c r="L170" i="1"/>
  <c r="Q170" i="1" s="1"/>
  <c r="L171" i="1"/>
  <c r="Q171" i="1" s="1"/>
  <c r="L172" i="1"/>
  <c r="Q172" i="1" s="1"/>
  <c r="L173" i="1"/>
  <c r="Q173" i="1" s="1"/>
  <c r="L174" i="1"/>
  <c r="Q174" i="1" s="1"/>
  <c r="L175" i="1"/>
  <c r="Q175" i="1" s="1"/>
  <c r="L176" i="1"/>
  <c r="Q176" i="1" s="1"/>
  <c r="L177" i="1"/>
  <c r="Q177" i="1" s="1"/>
  <c r="L178" i="1"/>
  <c r="Q178" i="1" s="1"/>
  <c r="L179" i="1"/>
  <c r="Q179" i="1" s="1"/>
  <c r="L180" i="1"/>
  <c r="Q180" i="1" s="1"/>
  <c r="L181" i="1"/>
  <c r="Q181" i="1" s="1"/>
  <c r="L182" i="1"/>
  <c r="Q182" i="1" s="1"/>
  <c r="L183" i="1"/>
  <c r="Q183" i="1" s="1"/>
  <c r="L184" i="1"/>
  <c r="Q184" i="1" s="1"/>
  <c r="L185" i="1"/>
  <c r="Q185" i="1" s="1"/>
  <c r="L186" i="1"/>
  <c r="Q186" i="1" s="1"/>
  <c r="L187" i="1"/>
  <c r="Q187" i="1" s="1"/>
  <c r="L188" i="1"/>
  <c r="Q188" i="1" s="1"/>
  <c r="L189" i="1"/>
  <c r="Q189" i="1" s="1"/>
  <c r="L190" i="1"/>
  <c r="Q190" i="1" s="1"/>
  <c r="L191" i="1"/>
  <c r="Q191" i="1" s="1"/>
  <c r="L192" i="1"/>
  <c r="Q192" i="1" s="1"/>
  <c r="L193" i="1"/>
  <c r="Q193" i="1" s="1"/>
  <c r="L194" i="1"/>
  <c r="Q194" i="1" s="1"/>
  <c r="L195" i="1"/>
  <c r="Q195" i="1" s="1"/>
  <c r="L196" i="1"/>
  <c r="Q196" i="1" s="1"/>
  <c r="L197" i="1"/>
  <c r="Q197" i="1" s="1"/>
  <c r="L198" i="1"/>
  <c r="Q198" i="1" s="1"/>
  <c r="L199" i="1"/>
  <c r="Q199" i="1" s="1"/>
  <c r="L200" i="1"/>
  <c r="Q200" i="1" s="1"/>
  <c r="L201" i="1"/>
  <c r="Q201" i="1" s="1"/>
  <c r="L202" i="1"/>
  <c r="Q202" i="1" s="1"/>
  <c r="L203" i="1"/>
  <c r="Q203" i="1" s="1"/>
  <c r="L204" i="1"/>
  <c r="Q204" i="1" s="1"/>
  <c r="L205" i="1"/>
  <c r="Q205" i="1" s="1"/>
  <c r="L206" i="1"/>
  <c r="Q206" i="1" s="1"/>
  <c r="L207" i="1"/>
  <c r="Q207" i="1" s="1"/>
  <c r="L208" i="1"/>
  <c r="Q208" i="1" s="1"/>
  <c r="L209" i="1"/>
  <c r="Q209" i="1" s="1"/>
  <c r="L210" i="1"/>
  <c r="Q210" i="1" s="1"/>
  <c r="L211" i="1"/>
  <c r="Q211" i="1" s="1"/>
  <c r="L212" i="1"/>
  <c r="Q212" i="1" s="1"/>
  <c r="L213" i="1"/>
  <c r="Q213" i="1" s="1"/>
  <c r="L214" i="1"/>
  <c r="Q214" i="1" s="1"/>
  <c r="L215" i="1"/>
  <c r="Q215" i="1" s="1"/>
  <c r="L216" i="1"/>
  <c r="Q216" i="1" s="1"/>
  <c r="L217" i="1"/>
  <c r="Q217" i="1" s="1"/>
  <c r="L218" i="1"/>
  <c r="Q218" i="1" s="1"/>
  <c r="L219" i="1"/>
  <c r="Q219" i="1" s="1"/>
  <c r="L220" i="1"/>
  <c r="Q220" i="1" s="1"/>
  <c r="L221" i="1"/>
  <c r="Q221" i="1" s="1"/>
  <c r="L222" i="1"/>
  <c r="Q222" i="1" s="1"/>
  <c r="L223" i="1"/>
  <c r="Q223" i="1" s="1"/>
  <c r="L224" i="1"/>
  <c r="Q224" i="1" s="1"/>
  <c r="L225" i="1"/>
  <c r="Q225" i="1" s="1"/>
  <c r="L226" i="1"/>
  <c r="Q226" i="1" s="1"/>
  <c r="L227" i="1"/>
  <c r="Q227" i="1" s="1"/>
  <c r="L228" i="1"/>
  <c r="Q228" i="1" s="1"/>
  <c r="L229" i="1"/>
  <c r="Q229" i="1" s="1"/>
  <c r="L230" i="1"/>
  <c r="Q230" i="1" s="1"/>
  <c r="L231" i="1"/>
  <c r="Q231" i="1" s="1"/>
  <c r="L232" i="1"/>
  <c r="Q232" i="1" s="1"/>
  <c r="L233" i="1"/>
  <c r="Q233" i="1" s="1"/>
  <c r="L234" i="1"/>
  <c r="Q234" i="1" s="1"/>
  <c r="L235" i="1"/>
  <c r="Q235" i="1" s="1"/>
  <c r="L236" i="1"/>
  <c r="Q236" i="1" s="1"/>
  <c r="L237" i="1"/>
  <c r="Q237" i="1" s="1"/>
  <c r="L238" i="1"/>
  <c r="Q238" i="1" s="1"/>
  <c r="L239" i="1"/>
  <c r="Q239" i="1" s="1"/>
  <c r="L240" i="1"/>
  <c r="Q240" i="1" s="1"/>
  <c r="L241" i="1"/>
  <c r="Q241" i="1" s="1"/>
  <c r="L242" i="1"/>
  <c r="Q242" i="1" s="1"/>
  <c r="L243" i="1"/>
  <c r="Q243" i="1" s="1"/>
  <c r="L244" i="1"/>
  <c r="Q244" i="1" s="1"/>
  <c r="L245" i="1"/>
  <c r="Q245" i="1" s="1"/>
  <c r="L246" i="1"/>
  <c r="Q246" i="1" s="1"/>
  <c r="L247" i="1"/>
  <c r="Q247" i="1" s="1"/>
  <c r="L248" i="1"/>
  <c r="Q248" i="1" s="1"/>
  <c r="L249" i="1"/>
  <c r="Q249" i="1" s="1"/>
  <c r="L250" i="1"/>
  <c r="Q250" i="1" s="1"/>
  <c r="L251" i="1"/>
  <c r="Q251" i="1" s="1"/>
  <c r="L252" i="1"/>
  <c r="Q252" i="1" s="1"/>
  <c r="L253" i="1"/>
  <c r="Q253" i="1" s="1"/>
  <c r="L254" i="1"/>
  <c r="Q254" i="1" s="1"/>
  <c r="L255" i="1"/>
  <c r="Q255" i="1" s="1"/>
  <c r="L256" i="1"/>
  <c r="Q256" i="1" s="1"/>
  <c r="L257" i="1"/>
  <c r="Q257" i="1" s="1"/>
  <c r="L258" i="1"/>
  <c r="Q258" i="1" s="1"/>
  <c r="L259" i="1"/>
  <c r="Q259" i="1" s="1"/>
  <c r="L260" i="1"/>
  <c r="Q260" i="1" s="1"/>
  <c r="L261" i="1"/>
  <c r="Q261" i="1" s="1"/>
  <c r="L262" i="1"/>
  <c r="Q262" i="1" s="1"/>
  <c r="L263" i="1"/>
  <c r="Q263" i="1" s="1"/>
  <c r="L264" i="1"/>
  <c r="Q264" i="1" s="1"/>
  <c r="L265" i="1"/>
  <c r="Q265" i="1" s="1"/>
  <c r="L266" i="1"/>
  <c r="Q266" i="1" s="1"/>
  <c r="L267" i="1"/>
  <c r="Q267" i="1" s="1"/>
  <c r="L268" i="1"/>
  <c r="Q268" i="1" s="1"/>
  <c r="L269" i="1"/>
  <c r="Q269" i="1" s="1"/>
  <c r="L270" i="1"/>
  <c r="Q270" i="1" s="1"/>
  <c r="L271" i="1"/>
  <c r="Q271" i="1" s="1"/>
  <c r="L272" i="1"/>
  <c r="Q272" i="1" s="1"/>
  <c r="L273" i="1"/>
  <c r="Q273" i="1" s="1"/>
  <c r="L274" i="1"/>
  <c r="Q274" i="1" s="1"/>
  <c r="L275" i="1"/>
  <c r="Q275" i="1" s="1"/>
  <c r="L276" i="1"/>
  <c r="Q276" i="1" s="1"/>
  <c r="L277" i="1"/>
  <c r="Q277" i="1" s="1"/>
  <c r="L278" i="1"/>
  <c r="Q278" i="1" s="1"/>
  <c r="L279" i="1"/>
  <c r="Q279" i="1" s="1"/>
  <c r="L280" i="1"/>
  <c r="Q280" i="1" s="1"/>
  <c r="L281" i="1"/>
  <c r="Q281" i="1" s="1"/>
  <c r="L282" i="1"/>
  <c r="Q282" i="1" s="1"/>
  <c r="L283" i="1"/>
  <c r="Q283" i="1" s="1"/>
  <c r="L284" i="1"/>
  <c r="Q284" i="1" s="1"/>
  <c r="L285" i="1"/>
  <c r="Q285" i="1" s="1"/>
  <c r="L286" i="1"/>
  <c r="Q286" i="1" s="1"/>
  <c r="L287" i="1"/>
  <c r="Q287" i="1" s="1"/>
  <c r="L288" i="1"/>
  <c r="Q288" i="1" s="1"/>
  <c r="L289" i="1"/>
  <c r="Q289" i="1" s="1"/>
  <c r="L290" i="1"/>
  <c r="Q290" i="1" s="1"/>
  <c r="L291" i="1"/>
  <c r="Q291" i="1" s="1"/>
  <c r="L292" i="1"/>
  <c r="Q292" i="1" s="1"/>
  <c r="L293" i="1"/>
  <c r="Q293" i="1" s="1"/>
  <c r="L294" i="1"/>
  <c r="Q294" i="1" s="1"/>
  <c r="L295" i="1"/>
  <c r="Q295" i="1" s="1"/>
  <c r="L296" i="1"/>
  <c r="Q296" i="1" s="1"/>
  <c r="L297" i="1"/>
  <c r="Q297" i="1" s="1"/>
  <c r="L298" i="1"/>
  <c r="Q298" i="1" s="1"/>
  <c r="L299" i="1"/>
  <c r="Q299" i="1" s="1"/>
  <c r="L300" i="1"/>
  <c r="Q300" i="1" s="1"/>
  <c r="L301" i="1"/>
  <c r="Q301" i="1" s="1"/>
  <c r="L302" i="1"/>
  <c r="Q302" i="1" s="1"/>
  <c r="L303" i="1"/>
  <c r="Q303" i="1" s="1"/>
  <c r="L304" i="1"/>
  <c r="Q304" i="1" s="1"/>
  <c r="L305" i="1"/>
  <c r="Q305" i="1" s="1"/>
  <c r="L306" i="1"/>
  <c r="Q306" i="1" s="1"/>
  <c r="L307" i="1"/>
  <c r="Q307" i="1" s="1"/>
  <c r="L308" i="1"/>
  <c r="Q308" i="1" s="1"/>
  <c r="L309" i="1"/>
  <c r="Q309" i="1" s="1"/>
  <c r="L310" i="1"/>
  <c r="Q310" i="1" s="1"/>
  <c r="L311" i="1"/>
  <c r="Q311" i="1" s="1"/>
  <c r="L312" i="1"/>
  <c r="Q312" i="1" s="1"/>
  <c r="L313" i="1"/>
  <c r="Q313" i="1" s="1"/>
  <c r="L314" i="1"/>
  <c r="Q314" i="1" s="1"/>
  <c r="L315" i="1"/>
  <c r="Q315" i="1" s="1"/>
  <c r="L316" i="1"/>
  <c r="Q316" i="1" s="1"/>
  <c r="L317" i="1"/>
  <c r="Q317" i="1" s="1"/>
  <c r="L318" i="1"/>
  <c r="Q318" i="1" s="1"/>
  <c r="L319" i="1"/>
  <c r="Q319" i="1" s="1"/>
  <c r="L320" i="1"/>
  <c r="Q320" i="1" s="1"/>
  <c r="L321" i="1"/>
  <c r="Q321" i="1" s="1"/>
  <c r="L322" i="1"/>
  <c r="Q322" i="1" s="1"/>
  <c r="L323" i="1"/>
  <c r="Q323" i="1" s="1"/>
  <c r="L324" i="1"/>
  <c r="Q324" i="1" s="1"/>
  <c r="L325" i="1"/>
  <c r="Q325" i="1" s="1"/>
  <c r="L326" i="1"/>
  <c r="Q326" i="1" s="1"/>
  <c r="L327" i="1"/>
  <c r="Q327" i="1" s="1"/>
  <c r="L328" i="1"/>
  <c r="Q328" i="1" s="1"/>
  <c r="L329" i="1"/>
  <c r="Q329" i="1" s="1"/>
  <c r="L330" i="1"/>
  <c r="Q330" i="1" s="1"/>
  <c r="L331" i="1"/>
  <c r="Q331" i="1" s="1"/>
  <c r="L332" i="1"/>
  <c r="Q332" i="1" s="1"/>
  <c r="L333" i="1"/>
  <c r="Q333" i="1" s="1"/>
  <c r="L334" i="1"/>
  <c r="Q334" i="1" s="1"/>
  <c r="L335" i="1"/>
  <c r="Q335" i="1" s="1"/>
  <c r="L336" i="1"/>
  <c r="Q336" i="1" s="1"/>
  <c r="L337" i="1"/>
  <c r="Q337" i="1" s="1"/>
  <c r="L338" i="1"/>
  <c r="Q338" i="1" s="1"/>
  <c r="L339" i="1"/>
  <c r="Q339" i="1" s="1"/>
  <c r="L340" i="1"/>
  <c r="Q340" i="1" s="1"/>
  <c r="L341" i="1"/>
  <c r="Q341" i="1" s="1"/>
  <c r="L342" i="1"/>
  <c r="Q342" i="1" s="1"/>
  <c r="L343" i="1"/>
  <c r="Q343" i="1" s="1"/>
  <c r="L344" i="1"/>
  <c r="Q344" i="1" s="1"/>
  <c r="L345" i="1"/>
  <c r="Q345" i="1" s="1"/>
  <c r="L346" i="1"/>
  <c r="Q346" i="1" s="1"/>
  <c r="L347" i="1"/>
  <c r="Q347" i="1" s="1"/>
  <c r="L348" i="1"/>
  <c r="Q348" i="1" s="1"/>
  <c r="L349" i="1"/>
  <c r="Q349" i="1" s="1"/>
  <c r="L350" i="1"/>
  <c r="Q350" i="1" s="1"/>
  <c r="L351" i="1"/>
  <c r="Q351" i="1" s="1"/>
  <c r="L352" i="1"/>
  <c r="Q352" i="1" s="1"/>
  <c r="L353" i="1"/>
  <c r="Q353" i="1" s="1"/>
  <c r="L354" i="1"/>
  <c r="Q354" i="1" s="1"/>
  <c r="L355" i="1"/>
  <c r="Q355" i="1" s="1"/>
  <c r="L356" i="1"/>
  <c r="Q356" i="1" s="1"/>
  <c r="L357" i="1"/>
  <c r="Q357" i="1" s="1"/>
  <c r="L358" i="1"/>
  <c r="Q358" i="1" s="1"/>
  <c r="L359" i="1"/>
  <c r="Q359" i="1" s="1"/>
  <c r="L360" i="1"/>
  <c r="Q360" i="1" s="1"/>
  <c r="L361" i="1"/>
  <c r="Q361" i="1" s="1"/>
  <c r="L362" i="1"/>
  <c r="Q362" i="1" s="1"/>
  <c r="L363" i="1"/>
  <c r="Q363" i="1" s="1"/>
  <c r="L364" i="1"/>
  <c r="Q364" i="1" s="1"/>
  <c r="L365" i="1"/>
  <c r="Q365" i="1" s="1"/>
  <c r="L366" i="1"/>
  <c r="Q366" i="1" s="1"/>
  <c r="L367" i="1"/>
  <c r="Q367" i="1" s="1"/>
  <c r="L368" i="1"/>
  <c r="Q368" i="1" s="1"/>
  <c r="L369" i="1"/>
  <c r="Q369" i="1" s="1"/>
  <c r="L370" i="1"/>
  <c r="Q370" i="1" s="1"/>
  <c r="L371" i="1"/>
  <c r="Q371" i="1" s="1"/>
  <c r="L372" i="1"/>
  <c r="Q372" i="1" s="1"/>
  <c r="L373" i="1"/>
  <c r="Q373" i="1" s="1"/>
  <c r="L374" i="1"/>
  <c r="Q374" i="1" s="1"/>
  <c r="L375" i="1"/>
  <c r="Q375" i="1" s="1"/>
  <c r="L376" i="1"/>
  <c r="Q376" i="1" s="1"/>
  <c r="L377" i="1"/>
  <c r="Q377" i="1" s="1"/>
  <c r="L378" i="1"/>
  <c r="Q378" i="1" s="1"/>
  <c r="L379" i="1"/>
  <c r="Q379" i="1" s="1"/>
  <c r="L380" i="1"/>
  <c r="Q380" i="1" s="1"/>
  <c r="L381" i="1"/>
  <c r="Q381" i="1" s="1"/>
  <c r="L382" i="1"/>
  <c r="Q382" i="1" s="1"/>
  <c r="L383" i="1"/>
  <c r="Q383" i="1" s="1"/>
  <c r="L384" i="1"/>
  <c r="Q384" i="1" s="1"/>
  <c r="L385" i="1"/>
  <c r="Q385" i="1" s="1"/>
  <c r="L386" i="1"/>
  <c r="Q386" i="1" s="1"/>
  <c r="L387" i="1"/>
  <c r="Q387" i="1" s="1"/>
  <c r="L388" i="1"/>
  <c r="Q388" i="1" s="1"/>
  <c r="L389" i="1"/>
  <c r="Q389" i="1" s="1"/>
  <c r="L390" i="1"/>
  <c r="Q390" i="1" s="1"/>
  <c r="L391" i="1"/>
  <c r="Q391" i="1" s="1"/>
  <c r="L392" i="1"/>
  <c r="Q392" i="1" s="1"/>
  <c r="L393" i="1"/>
  <c r="Q393" i="1" s="1"/>
  <c r="L394" i="1"/>
  <c r="Q394" i="1" s="1"/>
  <c r="L395" i="1"/>
  <c r="Q395" i="1" s="1"/>
  <c r="L396" i="1"/>
  <c r="Q396" i="1" s="1"/>
  <c r="L397" i="1"/>
  <c r="Q397" i="1" s="1"/>
  <c r="L398" i="1"/>
  <c r="Q398" i="1" s="1"/>
  <c r="L399" i="1"/>
  <c r="Q399" i="1" s="1"/>
  <c r="L400" i="1"/>
  <c r="Q400" i="1" s="1"/>
  <c r="L401" i="1"/>
  <c r="Q401" i="1" s="1"/>
  <c r="L402" i="1"/>
  <c r="Q402" i="1" s="1"/>
  <c r="L403" i="1"/>
  <c r="Q403" i="1" s="1"/>
  <c r="L404" i="1"/>
  <c r="Q404" i="1" s="1"/>
  <c r="L405" i="1"/>
  <c r="Q405" i="1" s="1"/>
  <c r="L406" i="1"/>
  <c r="Q406" i="1" s="1"/>
  <c r="L407" i="1"/>
  <c r="Q407" i="1" s="1"/>
  <c r="L408" i="1"/>
  <c r="Q408" i="1" s="1"/>
  <c r="L409" i="1"/>
  <c r="Q409" i="1" s="1"/>
  <c r="L410" i="1"/>
  <c r="Q410" i="1" s="1"/>
  <c r="L411" i="1"/>
  <c r="Q411" i="1" s="1"/>
  <c r="L412" i="1"/>
  <c r="Q412" i="1" s="1"/>
  <c r="L413" i="1"/>
  <c r="Q413" i="1" s="1"/>
  <c r="L414" i="1"/>
  <c r="Q414" i="1" s="1"/>
  <c r="L415" i="1"/>
  <c r="Q415" i="1" s="1"/>
  <c r="L416" i="1"/>
  <c r="Q416" i="1" s="1"/>
  <c r="L417" i="1"/>
  <c r="Q417" i="1" s="1"/>
  <c r="L418" i="1"/>
  <c r="Q418" i="1" s="1"/>
  <c r="L419" i="1"/>
  <c r="Q419" i="1" s="1"/>
  <c r="L420" i="1"/>
  <c r="Q420" i="1" s="1"/>
  <c r="L421" i="1"/>
  <c r="Q421" i="1" s="1"/>
  <c r="L422" i="1"/>
  <c r="Q422" i="1" s="1"/>
  <c r="L423" i="1"/>
  <c r="Q423" i="1" s="1"/>
  <c r="L424" i="1"/>
  <c r="Q424" i="1" s="1"/>
  <c r="L425" i="1"/>
  <c r="Q425" i="1" s="1"/>
  <c r="L426" i="1"/>
  <c r="Q426" i="1" s="1"/>
  <c r="L427" i="1"/>
  <c r="Q427" i="1" s="1"/>
  <c r="L428" i="1"/>
  <c r="Q428" i="1" s="1"/>
  <c r="L429" i="1"/>
  <c r="Q429" i="1" s="1"/>
  <c r="L430" i="1"/>
  <c r="Q430" i="1" s="1"/>
  <c r="L431" i="1"/>
  <c r="Q431" i="1" s="1"/>
  <c r="L432" i="1"/>
  <c r="Q432" i="1" s="1"/>
  <c r="L433" i="1"/>
  <c r="Q433" i="1" s="1"/>
  <c r="L434" i="1"/>
  <c r="Q434" i="1" s="1"/>
  <c r="L435" i="1"/>
  <c r="Q435" i="1" s="1"/>
  <c r="L436" i="1"/>
  <c r="Q436" i="1" s="1"/>
  <c r="L437" i="1"/>
  <c r="Q437" i="1" s="1"/>
  <c r="L438" i="1"/>
  <c r="Q438" i="1" s="1"/>
  <c r="L439" i="1"/>
  <c r="Q439" i="1" s="1"/>
  <c r="L440" i="1"/>
  <c r="Q440" i="1" s="1"/>
  <c r="L441" i="1"/>
  <c r="Q441" i="1" s="1"/>
  <c r="L442" i="1"/>
  <c r="Q442" i="1" s="1"/>
  <c r="L443" i="1"/>
  <c r="Q443" i="1" s="1"/>
  <c r="L444" i="1"/>
  <c r="Q444" i="1" s="1"/>
  <c r="L445" i="1"/>
  <c r="Q445" i="1" s="1"/>
  <c r="L446" i="1"/>
  <c r="Q446" i="1" s="1"/>
  <c r="L447" i="1"/>
  <c r="Q447" i="1" s="1"/>
  <c r="L448" i="1"/>
  <c r="Q448" i="1" s="1"/>
  <c r="L449" i="1"/>
  <c r="Q449" i="1" s="1"/>
  <c r="L450" i="1"/>
  <c r="Q450" i="1" s="1"/>
  <c r="L451" i="1"/>
  <c r="Q451" i="1" s="1"/>
  <c r="L452" i="1"/>
  <c r="Q452" i="1" s="1"/>
  <c r="L453" i="1"/>
  <c r="Q453" i="1" s="1"/>
  <c r="L454" i="1"/>
  <c r="Q454" i="1" s="1"/>
  <c r="L455" i="1"/>
  <c r="Q455" i="1" s="1"/>
  <c r="L456" i="1"/>
  <c r="Q456" i="1" s="1"/>
  <c r="L457" i="1"/>
  <c r="Q457" i="1" s="1"/>
  <c r="L458" i="1"/>
  <c r="Q458" i="1" s="1"/>
  <c r="L459" i="1"/>
  <c r="Q459" i="1" s="1"/>
  <c r="L460" i="1"/>
  <c r="Q460" i="1" s="1"/>
  <c r="L461" i="1"/>
  <c r="Q461" i="1" s="1"/>
  <c r="L462" i="1"/>
  <c r="Q462" i="1" s="1"/>
  <c r="L463" i="1"/>
  <c r="Q463" i="1" s="1"/>
  <c r="L464" i="1"/>
  <c r="Q464" i="1" s="1"/>
  <c r="L465" i="1"/>
  <c r="Q465" i="1" s="1"/>
  <c r="L466" i="1"/>
  <c r="Q466" i="1" s="1"/>
  <c r="L467" i="1"/>
  <c r="Q467" i="1" s="1"/>
  <c r="L468" i="1"/>
  <c r="Q468" i="1" s="1"/>
  <c r="L469" i="1"/>
  <c r="Q469" i="1" s="1"/>
  <c r="L470" i="1"/>
  <c r="Q470" i="1" s="1"/>
  <c r="L471" i="1"/>
  <c r="Q471" i="1" s="1"/>
  <c r="L472" i="1"/>
  <c r="Q472" i="1" s="1"/>
  <c r="L473" i="1"/>
  <c r="Q473" i="1" s="1"/>
  <c r="L474" i="1"/>
  <c r="Q474" i="1" s="1"/>
  <c r="L475" i="1"/>
  <c r="Q475" i="1" s="1"/>
  <c r="L476" i="1"/>
  <c r="Q476" i="1" s="1"/>
  <c r="L477" i="1"/>
  <c r="Q477" i="1" s="1"/>
  <c r="L478" i="1"/>
  <c r="Q478" i="1" s="1"/>
  <c r="L479" i="1"/>
  <c r="Q479" i="1" s="1"/>
  <c r="L480" i="1"/>
  <c r="Q480" i="1" s="1"/>
  <c r="L481" i="1"/>
  <c r="Q481" i="1" s="1"/>
  <c r="L482" i="1"/>
  <c r="Q482" i="1" s="1"/>
  <c r="L483" i="1"/>
  <c r="Q483" i="1" s="1"/>
  <c r="L484" i="1"/>
  <c r="Q484" i="1" s="1"/>
  <c r="L485" i="1"/>
  <c r="Q485" i="1" s="1"/>
  <c r="L486" i="1"/>
  <c r="Q486" i="1" s="1"/>
  <c r="L487" i="1"/>
  <c r="Q487" i="1" s="1"/>
  <c r="L488" i="1"/>
  <c r="Q488" i="1" s="1"/>
  <c r="L489" i="1"/>
  <c r="Q489" i="1" s="1"/>
  <c r="L490" i="1"/>
  <c r="Q490" i="1" s="1"/>
  <c r="L491" i="1"/>
  <c r="Q491" i="1" s="1"/>
  <c r="L492" i="1"/>
  <c r="Q492" i="1" s="1"/>
  <c r="L493" i="1"/>
  <c r="Q493" i="1" s="1"/>
  <c r="L494" i="1"/>
  <c r="Q494" i="1" s="1"/>
  <c r="L495" i="1"/>
  <c r="Q495" i="1" s="1"/>
  <c r="L496" i="1"/>
  <c r="Q496" i="1" s="1"/>
  <c r="L497" i="1"/>
  <c r="Q497" i="1" s="1"/>
  <c r="L498" i="1"/>
  <c r="Q498" i="1" s="1"/>
  <c r="L499" i="1"/>
  <c r="Q499" i="1" s="1"/>
  <c r="L500" i="1"/>
  <c r="Q500" i="1" s="1"/>
  <c r="L501" i="1"/>
  <c r="Q501" i="1" s="1"/>
  <c r="L502" i="1"/>
  <c r="Q502" i="1" s="1"/>
  <c r="L503" i="1"/>
  <c r="Q503" i="1" s="1"/>
  <c r="L504" i="1"/>
  <c r="Q504" i="1" s="1"/>
  <c r="L505" i="1"/>
  <c r="Q505" i="1" s="1"/>
  <c r="L506" i="1"/>
  <c r="Q506" i="1" s="1"/>
  <c r="L507" i="1"/>
  <c r="Q507" i="1" s="1"/>
  <c r="L508" i="1"/>
  <c r="Q508" i="1" s="1"/>
  <c r="L509" i="1"/>
  <c r="Q509" i="1" s="1"/>
  <c r="L510" i="1"/>
  <c r="Q510" i="1" s="1"/>
  <c r="L511" i="1"/>
  <c r="Q511" i="1" s="1"/>
  <c r="L512" i="1"/>
  <c r="Q512" i="1" s="1"/>
  <c r="L513" i="1"/>
  <c r="Q513" i="1" s="1"/>
  <c r="L514" i="1"/>
  <c r="Q514" i="1" s="1"/>
  <c r="L515" i="1"/>
  <c r="Q515" i="1" s="1"/>
  <c r="L516" i="1"/>
  <c r="Q516" i="1" s="1"/>
  <c r="L517" i="1"/>
  <c r="Q517" i="1" s="1"/>
  <c r="L518" i="1"/>
  <c r="Q518" i="1" s="1"/>
  <c r="L519" i="1"/>
  <c r="Q519" i="1" s="1"/>
  <c r="L520" i="1"/>
  <c r="Q520" i="1" s="1"/>
  <c r="L521" i="1"/>
  <c r="Q521" i="1" s="1"/>
  <c r="L522" i="1"/>
  <c r="Q522" i="1" s="1"/>
  <c r="L523" i="1"/>
  <c r="Q523" i="1" s="1"/>
  <c r="L524" i="1"/>
  <c r="Q524" i="1" s="1"/>
  <c r="L525" i="1"/>
  <c r="Q525" i="1" s="1"/>
  <c r="L526" i="1"/>
  <c r="Q526" i="1" s="1"/>
  <c r="L527" i="1"/>
  <c r="Q527" i="1" s="1"/>
  <c r="L528" i="1"/>
  <c r="Q528" i="1" s="1"/>
  <c r="L529" i="1"/>
  <c r="Q529" i="1" s="1"/>
  <c r="L530" i="1"/>
  <c r="Q530" i="1" s="1"/>
  <c r="L531" i="1"/>
  <c r="Q531" i="1" s="1"/>
  <c r="L532" i="1"/>
  <c r="Q532" i="1" s="1"/>
  <c r="L533" i="1"/>
  <c r="Q533" i="1" s="1"/>
  <c r="L534" i="1"/>
  <c r="Q534" i="1" s="1"/>
  <c r="L535" i="1"/>
  <c r="Q535" i="1" s="1"/>
  <c r="L536" i="1"/>
  <c r="Q536" i="1" s="1"/>
  <c r="L537" i="1"/>
  <c r="Q537" i="1" s="1"/>
  <c r="L538" i="1"/>
  <c r="Q538" i="1" s="1"/>
  <c r="L539" i="1"/>
  <c r="Q539" i="1" s="1"/>
  <c r="L540" i="1"/>
  <c r="Q540" i="1" s="1"/>
  <c r="L541" i="1"/>
  <c r="Q541" i="1" s="1"/>
  <c r="L542" i="1"/>
  <c r="Q542" i="1" s="1"/>
  <c r="L543" i="1"/>
  <c r="Q543" i="1" s="1"/>
  <c r="L544" i="1"/>
  <c r="Q544" i="1" s="1"/>
  <c r="L545" i="1"/>
  <c r="Q545" i="1" s="1"/>
  <c r="L546" i="1"/>
  <c r="Q546" i="1" s="1"/>
  <c r="L547" i="1"/>
  <c r="Q547" i="1" s="1"/>
  <c r="L548" i="1"/>
  <c r="Q548" i="1" s="1"/>
  <c r="L549" i="1"/>
  <c r="Q549" i="1" s="1"/>
  <c r="L550" i="1"/>
  <c r="Q550" i="1" s="1"/>
  <c r="L551" i="1"/>
  <c r="Q551" i="1" s="1"/>
  <c r="L552" i="1"/>
  <c r="Q552" i="1" s="1"/>
  <c r="L553" i="1"/>
  <c r="Q553" i="1" s="1"/>
  <c r="L554" i="1"/>
  <c r="Q554" i="1" s="1"/>
  <c r="L555" i="1"/>
  <c r="Q555" i="1" s="1"/>
  <c r="L556" i="1"/>
  <c r="Q556" i="1" s="1"/>
  <c r="L557" i="1"/>
  <c r="Q557" i="1" s="1"/>
  <c r="L558" i="1"/>
  <c r="Q558" i="1" s="1"/>
  <c r="L559" i="1"/>
  <c r="Q559" i="1" s="1"/>
  <c r="L560" i="1"/>
  <c r="Q560" i="1" s="1"/>
  <c r="L561" i="1"/>
  <c r="Q561" i="1" s="1"/>
  <c r="L562" i="1"/>
  <c r="Q562" i="1" s="1"/>
  <c r="L563" i="1"/>
  <c r="Q563" i="1" s="1"/>
  <c r="L564" i="1"/>
  <c r="Q564" i="1" s="1"/>
  <c r="L565" i="1"/>
  <c r="Q565" i="1" s="1"/>
  <c r="L566" i="1"/>
  <c r="Q566" i="1" s="1"/>
  <c r="L567" i="1"/>
  <c r="Q567" i="1" s="1"/>
  <c r="L568" i="1"/>
  <c r="Q568" i="1" s="1"/>
  <c r="L569" i="1"/>
  <c r="Q569" i="1" s="1"/>
  <c r="L570" i="1"/>
  <c r="Q570" i="1" s="1"/>
  <c r="L571" i="1"/>
  <c r="Q571" i="1" s="1"/>
  <c r="L572" i="1"/>
  <c r="Q572" i="1" s="1"/>
  <c r="L573" i="1"/>
  <c r="Q573" i="1" s="1"/>
  <c r="L574" i="1"/>
  <c r="Q574" i="1" s="1"/>
  <c r="L575" i="1"/>
  <c r="Q575" i="1" s="1"/>
  <c r="L576" i="1"/>
  <c r="Q576" i="1" s="1"/>
  <c r="L577" i="1"/>
  <c r="Q577" i="1" s="1"/>
  <c r="L578" i="1"/>
  <c r="Q578" i="1" s="1"/>
  <c r="L579" i="1"/>
  <c r="Q579" i="1" s="1"/>
  <c r="L580" i="1"/>
  <c r="Q580" i="1" s="1"/>
  <c r="L581" i="1"/>
  <c r="Q581" i="1" s="1"/>
  <c r="L582" i="1"/>
  <c r="Q582" i="1" s="1"/>
  <c r="L583" i="1"/>
  <c r="Q583" i="1" s="1"/>
  <c r="L584" i="1"/>
  <c r="Q584" i="1" s="1"/>
  <c r="L585" i="1"/>
  <c r="Q585" i="1" s="1"/>
  <c r="L586" i="1"/>
  <c r="Q586" i="1" s="1"/>
  <c r="L587" i="1"/>
  <c r="Q587" i="1" s="1"/>
  <c r="L588" i="1"/>
  <c r="Q588" i="1" s="1"/>
  <c r="L589" i="1"/>
  <c r="Q589" i="1" s="1"/>
  <c r="L590" i="1"/>
  <c r="Q590" i="1" s="1"/>
  <c r="L591" i="1"/>
  <c r="Q591" i="1" s="1"/>
  <c r="L592" i="1"/>
  <c r="Q592" i="1" s="1"/>
  <c r="L593" i="1"/>
  <c r="Q593" i="1" s="1"/>
  <c r="L594" i="1"/>
  <c r="Q594" i="1" s="1"/>
  <c r="L595" i="1"/>
  <c r="Q595" i="1" s="1"/>
  <c r="L596" i="1"/>
  <c r="Q596" i="1" s="1"/>
  <c r="L597" i="1"/>
  <c r="Q597" i="1" s="1"/>
  <c r="L598" i="1"/>
  <c r="Q598" i="1" s="1"/>
  <c r="L599" i="1"/>
  <c r="Q599" i="1" s="1"/>
  <c r="L600" i="1"/>
  <c r="Q600" i="1" s="1"/>
  <c r="L601" i="1"/>
  <c r="Q601" i="1" s="1"/>
  <c r="C54" i="7"/>
  <c r="A54" i="7"/>
  <c r="D54" i="7"/>
  <c r="U133" i="1" l="1"/>
  <c r="E98" i="1"/>
  <c r="C78" i="1"/>
  <c r="E73" i="1"/>
  <c r="C66" i="1"/>
  <c r="U111" i="1"/>
  <c r="U84" i="1"/>
  <c r="U79" i="1"/>
  <c r="U78" i="1"/>
  <c r="J7" i="1" a="1"/>
  <c r="J7" i="1" s="1"/>
  <c r="O7" i="1" s="1"/>
  <c r="U7" i="1"/>
  <c r="U142" i="1"/>
  <c r="U162" i="1"/>
  <c r="U97" i="1"/>
  <c r="U66" i="1"/>
  <c r="U96" i="1"/>
  <c r="U85" i="1"/>
  <c r="U75" i="1"/>
  <c r="U100" i="1"/>
  <c r="U95" i="1"/>
  <c r="J4" i="1" a="1"/>
  <c r="J4" i="1" s="1"/>
  <c r="O4" i="1" s="1"/>
  <c r="U4" i="1"/>
  <c r="C120" i="1"/>
  <c r="U120" i="1" s="1"/>
  <c r="U115" i="1"/>
  <c r="U171" i="1"/>
  <c r="K10" i="1" a="1"/>
  <c r="K10" i="1" s="1"/>
  <c r="N10" i="1" s="1"/>
  <c r="T10" i="1" s="1"/>
  <c r="U10" i="1"/>
  <c r="U74" i="1"/>
  <c r="K3" i="1" a="1"/>
  <c r="K3" i="1" s="1"/>
  <c r="N3" i="1" s="1"/>
  <c r="T3" i="1" s="1"/>
  <c r="U3" i="1"/>
  <c r="U114" i="1"/>
  <c r="J8" i="1" a="1"/>
  <c r="J8" i="1" s="1"/>
  <c r="O8" i="1" s="1"/>
  <c r="U8" i="1"/>
  <c r="U92" i="1"/>
  <c r="U81" i="1"/>
  <c r="U147" i="1"/>
  <c r="K12" i="1" a="1"/>
  <c r="K12" i="1" s="1"/>
  <c r="N12" i="1" s="1"/>
  <c r="T12" i="1" s="1"/>
  <c r="U12" i="1"/>
  <c r="U67" i="1"/>
  <c r="U107" i="1"/>
  <c r="J11" i="1" a="1"/>
  <c r="J11" i="1" s="1"/>
  <c r="O11" i="1" s="1"/>
  <c r="U11" i="1"/>
  <c r="J5" i="1" a="1"/>
  <c r="J5" i="1" s="1"/>
  <c r="O5" i="1" s="1"/>
  <c r="U5" i="1"/>
  <c r="U163" i="1"/>
  <c r="U93" i="1"/>
  <c r="U128" i="1"/>
  <c r="J2" i="1" a="1"/>
  <c r="J2" i="1" s="1"/>
  <c r="O2" i="1" s="1"/>
  <c r="U2" i="1"/>
  <c r="E114" i="1"/>
  <c r="E69" i="1"/>
  <c r="C119" i="1"/>
  <c r="U119" i="1" s="1"/>
  <c r="C118" i="1"/>
  <c r="U118" i="1" s="1"/>
  <c r="C103" i="1"/>
  <c r="U103" i="1" s="1"/>
  <c r="E121" i="1"/>
  <c r="E102" i="1"/>
  <c r="E82" i="1"/>
  <c r="D150" i="1"/>
  <c r="E150" i="1" s="1"/>
  <c r="C102" i="1"/>
  <c r="U102" i="1" s="1"/>
  <c r="C98" i="1"/>
  <c r="U98" i="1" s="1"/>
  <c r="E64" i="1"/>
  <c r="E115" i="1"/>
  <c r="E101" i="1"/>
  <c r="C82" i="1"/>
  <c r="U82" i="1" s="1"/>
  <c r="E118" i="1"/>
  <c r="E109" i="1"/>
  <c r="E104" i="1"/>
  <c r="E96" i="1"/>
  <c r="C86" i="1"/>
  <c r="U86" i="1" s="1"/>
  <c r="C73" i="1"/>
  <c r="U73" i="1" s="1"/>
  <c r="E76" i="1"/>
  <c r="E72" i="1"/>
  <c r="C121" i="1"/>
  <c r="U121" i="1" s="1"/>
  <c r="E103" i="1"/>
  <c r="C68" i="1"/>
  <c r="U68" i="1" s="1"/>
  <c r="E120" i="1"/>
  <c r="E80" i="1"/>
  <c r="D238" i="1"/>
  <c r="D298" i="1" s="1"/>
  <c r="E178" i="1"/>
  <c r="D239" i="1"/>
  <c r="D299" i="1" s="1"/>
  <c r="E179" i="1"/>
  <c r="B239" i="1"/>
  <c r="B299" i="1" s="1"/>
  <c r="C179" i="1"/>
  <c r="U179" i="1" s="1"/>
  <c r="D196" i="1"/>
  <c r="E196" i="1" s="1"/>
  <c r="E136" i="1"/>
  <c r="K20" i="1" a="1"/>
  <c r="K20" i="1" s="1"/>
  <c r="C104" i="1"/>
  <c r="U104" i="1" s="1"/>
  <c r="D170" i="1"/>
  <c r="E170" i="1" s="1"/>
  <c r="D222" i="1"/>
  <c r="D282" i="1" s="1"/>
  <c r="K25" i="1" a="1"/>
  <c r="K25" i="1" s="1"/>
  <c r="N25" i="1" s="1"/>
  <c r="T25" i="1" s="1"/>
  <c r="E125" i="1"/>
  <c r="E119" i="1"/>
  <c r="E111" i="1"/>
  <c r="E99" i="1"/>
  <c r="E68" i="1"/>
  <c r="E159" i="1"/>
  <c r="C145" i="1"/>
  <c r="E113" i="1"/>
  <c r="C101" i="1"/>
  <c r="U101" i="1" s="1"/>
  <c r="C70" i="1"/>
  <c r="U70" i="1" s="1"/>
  <c r="C62" i="1"/>
  <c r="U62" i="1" s="1"/>
  <c r="J12" i="1" a="1"/>
  <c r="J12" i="1" s="1"/>
  <c r="N20" i="1"/>
  <c r="T20" i="1" s="1"/>
  <c r="B241" i="1"/>
  <c r="C241" i="1" s="1"/>
  <c r="C181" i="1"/>
  <c r="U181" i="1" s="1"/>
  <c r="K5" i="1" a="1"/>
  <c r="K5" i="1" s="1"/>
  <c r="K2" i="1" a="1"/>
  <c r="K2" i="1" s="1"/>
  <c r="K8" i="1" a="1"/>
  <c r="K8" i="1" s="1"/>
  <c r="K11" i="1" a="1"/>
  <c r="K11" i="1" s="1"/>
  <c r="K7" i="1" a="1"/>
  <c r="K7" i="1" s="1"/>
  <c r="J3" i="1" a="1"/>
  <c r="J3" i="1" s="1"/>
  <c r="C87" i="1"/>
  <c r="D236" i="1"/>
  <c r="E116" i="1"/>
  <c r="E112" i="1"/>
  <c r="E108" i="1"/>
  <c r="C83" i="1"/>
  <c r="U83" i="1" s="1"/>
  <c r="D202" i="1"/>
  <c r="E202" i="1" s="1"/>
  <c r="B134" i="1"/>
  <c r="C134" i="1" s="1"/>
  <c r="J25" i="1" a="1"/>
  <c r="J25" i="1" s="1"/>
  <c r="K46" i="1" a="1"/>
  <c r="K46" i="1" s="1"/>
  <c r="B155" i="1"/>
  <c r="C155" i="1" s="1"/>
  <c r="D143" i="1"/>
  <c r="D203" i="1" s="1"/>
  <c r="E203" i="1" s="1"/>
  <c r="B167" i="1"/>
  <c r="C167" i="1" s="1"/>
  <c r="U167" i="1" s="1"/>
  <c r="B175" i="1"/>
  <c r="B152" i="1"/>
  <c r="B212" i="1" s="1"/>
  <c r="B272" i="1" s="1"/>
  <c r="B223" i="1"/>
  <c r="B283" i="1" s="1"/>
  <c r="E174" i="1"/>
  <c r="E71" i="1"/>
  <c r="K26" i="1" a="1"/>
  <c r="K26" i="1" s="1"/>
  <c r="D192" i="1"/>
  <c r="E192" i="1" s="1"/>
  <c r="E132" i="1"/>
  <c r="E124" i="1"/>
  <c r="D184" i="1"/>
  <c r="D244" i="1" s="1"/>
  <c r="E140" i="1"/>
  <c r="D200" i="1"/>
  <c r="E200" i="1" s="1"/>
  <c r="B224" i="1"/>
  <c r="B284" i="1" s="1"/>
  <c r="C284" i="1" s="1"/>
  <c r="C164" i="1"/>
  <c r="U164" i="1" s="1"/>
  <c r="D223" i="1"/>
  <c r="E223" i="1" s="1"/>
  <c r="E163" i="1"/>
  <c r="E156" i="1"/>
  <c r="D216" i="1"/>
  <c r="E216" i="1" s="1"/>
  <c r="D189" i="1"/>
  <c r="E129" i="1"/>
  <c r="B188" i="1"/>
  <c r="B248" i="1" s="1"/>
  <c r="D139" i="1"/>
  <c r="E131" i="1"/>
  <c r="B141" i="1"/>
  <c r="B201" i="1" s="1"/>
  <c r="D188" i="1"/>
  <c r="E188" i="1" s="1"/>
  <c r="B157" i="1"/>
  <c r="F37" i="1"/>
  <c r="J37" i="1" s="1" a="1"/>
  <c r="J37" i="1" s="1"/>
  <c r="K42" i="1" a="1"/>
  <c r="K42" i="1" s="1"/>
  <c r="B156" i="1"/>
  <c r="C156" i="1" s="1"/>
  <c r="U156" i="1" s="1"/>
  <c r="B231" i="1"/>
  <c r="D144" i="1"/>
  <c r="D204" i="1" s="1"/>
  <c r="D241" i="1"/>
  <c r="B207" i="1"/>
  <c r="B267" i="1" s="1"/>
  <c r="B139" i="1"/>
  <c r="K4" i="1" a="1"/>
  <c r="K4" i="1" s="1"/>
  <c r="D294" i="1"/>
  <c r="E169" i="1"/>
  <c r="B144" i="1"/>
  <c r="D251" i="1"/>
  <c r="B160" i="1"/>
  <c r="C160" i="1" s="1"/>
  <c r="U160" i="1" s="1"/>
  <c r="J10" i="1" a="1"/>
  <c r="J10" i="1" s="1"/>
  <c r="D228" i="1"/>
  <c r="E228" i="1" s="1"/>
  <c r="B193" i="1"/>
  <c r="B123" i="1"/>
  <c r="C63" i="1"/>
  <c r="C126" i="1"/>
  <c r="U126" i="1" s="1"/>
  <c r="B186" i="1"/>
  <c r="B221" i="1"/>
  <c r="C161" i="1"/>
  <c r="U161" i="1" s="1"/>
  <c r="J6" i="1" a="1"/>
  <c r="J6" i="1" s="1"/>
  <c r="K6" i="1" a="1"/>
  <c r="K6" i="1" s="1"/>
  <c r="J9" i="1" a="1"/>
  <c r="J9" i="1" s="1"/>
  <c r="K9" i="1" a="1"/>
  <c r="K9" i="1" s="1"/>
  <c r="B195" i="1"/>
  <c r="C135" i="1"/>
  <c r="F45" i="1"/>
  <c r="F57" i="1" s="1"/>
  <c r="J57" i="1" s="1" a="1"/>
  <c r="J57" i="1" s="1"/>
  <c r="J33" i="1" a="1"/>
  <c r="J33" i="1" s="1"/>
  <c r="K33" i="1" a="1"/>
  <c r="K33" i="1" s="1"/>
  <c r="E70" i="1"/>
  <c r="D130" i="1"/>
  <c r="F48" i="1"/>
  <c r="J48" i="1" s="1" a="1"/>
  <c r="J48" i="1" s="1"/>
  <c r="J36" i="1" a="1"/>
  <c r="J36" i="1" s="1"/>
  <c r="E175" i="1"/>
  <c r="D235" i="1"/>
  <c r="E235" i="1" s="1"/>
  <c r="C130" i="1"/>
  <c r="U130" i="1" s="1"/>
  <c r="B190" i="1"/>
  <c r="J24" i="1" a="1"/>
  <c r="J24" i="1" s="1"/>
  <c r="K24" i="1" a="1"/>
  <c r="K24" i="1" s="1"/>
  <c r="E85" i="1"/>
  <c r="D145" i="1"/>
  <c r="C138" i="1"/>
  <c r="B198" i="1"/>
  <c r="C94" i="1"/>
  <c r="U94" i="1" s="1"/>
  <c r="B154" i="1"/>
  <c r="C89" i="1"/>
  <c r="U89" i="1" s="1"/>
  <c r="B149" i="1"/>
  <c r="B202" i="1"/>
  <c r="B262" i="1" s="1"/>
  <c r="C105" i="1"/>
  <c r="U105" i="1" s="1"/>
  <c r="B165" i="1"/>
  <c r="E158" i="1"/>
  <c r="D218" i="1"/>
  <c r="D278" i="1" s="1"/>
  <c r="D177" i="1"/>
  <c r="D237" i="1" s="1"/>
  <c r="E117" i="1"/>
  <c r="E93" i="1"/>
  <c r="D153" i="1"/>
  <c r="E153" i="1" s="1"/>
  <c r="B218" i="1"/>
  <c r="B278" i="1" s="1"/>
  <c r="C158" i="1"/>
  <c r="U158" i="1" s="1"/>
  <c r="B127" i="1"/>
  <c r="C117" i="1"/>
  <c r="U117" i="1" s="1"/>
  <c r="B177" i="1"/>
  <c r="D233" i="1"/>
  <c r="E173" i="1"/>
  <c r="E229" i="1"/>
  <c r="D289" i="1"/>
  <c r="E180" i="1"/>
  <c r="D240" i="1"/>
  <c r="C113" i="1"/>
  <c r="U113" i="1" s="1"/>
  <c r="B173" i="1"/>
  <c r="B233" i="1" s="1"/>
  <c r="C109" i="1"/>
  <c r="U109" i="1" s="1"/>
  <c r="B169" i="1"/>
  <c r="D224" i="1"/>
  <c r="E164" i="1"/>
  <c r="D221" i="1"/>
  <c r="E161" i="1"/>
  <c r="E77" i="1"/>
  <c r="D137" i="1"/>
  <c r="J21" i="1" a="1"/>
  <c r="J21" i="1" s="1"/>
  <c r="D245" i="1"/>
  <c r="E185" i="1"/>
  <c r="C112" i="1"/>
  <c r="U112" i="1" s="1"/>
  <c r="B172" i="1"/>
  <c r="B232" i="1" s="1"/>
  <c r="C108" i="1"/>
  <c r="U108" i="1" s="1"/>
  <c r="B168" i="1"/>
  <c r="C168" i="1" s="1"/>
  <c r="U168" i="1" s="1"/>
  <c r="K51" i="1" a="1"/>
  <c r="K51" i="1" s="1"/>
  <c r="J51" i="1" a="1"/>
  <c r="J51" i="1" s="1"/>
  <c r="J14" i="1" a="1"/>
  <c r="J14" i="1" s="1"/>
  <c r="K14" i="1" a="1"/>
  <c r="K14" i="1" s="1"/>
  <c r="J17" i="1" a="1"/>
  <c r="J17" i="1" s="1"/>
  <c r="K17" i="1" a="1"/>
  <c r="K17" i="1" s="1"/>
  <c r="B222" i="1"/>
  <c r="D231" i="1"/>
  <c r="E171" i="1"/>
  <c r="D135" i="1"/>
  <c r="K22" i="1" a="1"/>
  <c r="K22" i="1" s="1"/>
  <c r="J22" i="1" a="1"/>
  <c r="J22" i="1" s="1"/>
  <c r="E160" i="1"/>
  <c r="D220" i="1"/>
  <c r="D280" i="1" s="1"/>
  <c r="D279" i="1"/>
  <c r="E279" i="1" s="1"/>
  <c r="E219" i="1"/>
  <c r="K21" i="1" a="1"/>
  <c r="K21" i="1" s="1"/>
  <c r="B153" i="1"/>
  <c r="K36" i="1" a="1"/>
  <c r="K36" i="1" s="1"/>
  <c r="D127" i="1"/>
  <c r="J30" i="1" a="1"/>
  <c r="J30" i="1" s="1"/>
  <c r="K30" i="1" a="1"/>
  <c r="K30" i="1" s="1"/>
  <c r="F123" i="1"/>
  <c r="F135" i="1" s="1"/>
  <c r="F147" i="1" s="1"/>
  <c r="F159" i="1" s="1"/>
  <c r="F171" i="1" s="1"/>
  <c r="K111" i="1" a="1"/>
  <c r="K111" i="1" s="1"/>
  <c r="J111" i="1" a="1"/>
  <c r="J111" i="1" s="1"/>
  <c r="B265" i="1"/>
  <c r="C205" i="1"/>
  <c r="B203" i="1"/>
  <c r="C143" i="1"/>
  <c r="E172" i="1"/>
  <c r="D232" i="1"/>
  <c r="D146" i="1"/>
  <c r="E86" i="1"/>
  <c r="K75" i="1" a="1"/>
  <c r="K75" i="1" s="1"/>
  <c r="J75" i="1" a="1"/>
  <c r="J75" i="1" s="1"/>
  <c r="F71" i="1"/>
  <c r="F83" i="1" s="1"/>
  <c r="K59" i="1" a="1"/>
  <c r="K59" i="1" s="1"/>
  <c r="J59" i="1" a="1"/>
  <c r="J59" i="1" s="1"/>
  <c r="E141" i="1"/>
  <c r="D201" i="1"/>
  <c r="C106" i="1"/>
  <c r="U106" i="1" s="1"/>
  <c r="B166" i="1"/>
  <c r="F28" i="1"/>
  <c r="J16" i="1" a="1"/>
  <c r="J16" i="1" s="1"/>
  <c r="D193" i="1"/>
  <c r="C91" i="1"/>
  <c r="U91" i="1" s="1"/>
  <c r="B151" i="1"/>
  <c r="C122" i="1"/>
  <c r="B182" i="1"/>
  <c r="C80" i="1"/>
  <c r="U80" i="1" s="1"/>
  <c r="B140" i="1"/>
  <c r="K32" i="1" a="1"/>
  <c r="K32" i="1" s="1"/>
  <c r="J32" i="1" a="1"/>
  <c r="J32" i="1" s="1"/>
  <c r="J39" i="1" a="1"/>
  <c r="J39" i="1" s="1"/>
  <c r="K39" i="1" a="1"/>
  <c r="K39" i="1" s="1"/>
  <c r="B150" i="1"/>
  <c r="C90" i="1"/>
  <c r="U90" i="1" s="1"/>
  <c r="F55" i="1"/>
  <c r="F67" i="1" s="1"/>
  <c r="F79" i="1" s="1"/>
  <c r="J43" i="1" a="1"/>
  <c r="J43" i="1" s="1"/>
  <c r="K43" i="1" a="1"/>
  <c r="K43" i="1" s="1"/>
  <c r="D148" i="1"/>
  <c r="E88" i="1"/>
  <c r="J18" i="1" a="1"/>
  <c r="J18" i="1" s="1"/>
  <c r="K18" i="1" a="1"/>
  <c r="K18" i="1" s="1"/>
  <c r="D165" i="1"/>
  <c r="E105" i="1"/>
  <c r="B238" i="1"/>
  <c r="C178" i="1"/>
  <c r="U178" i="1" s="1"/>
  <c r="C146" i="1"/>
  <c r="B206" i="1"/>
  <c r="C116" i="1"/>
  <c r="U116" i="1" s="1"/>
  <c r="B176" i="1"/>
  <c r="K31" i="1" a="1"/>
  <c r="K31" i="1" s="1"/>
  <c r="J31" i="1" a="1"/>
  <c r="J31" i="1" s="1"/>
  <c r="B174" i="1"/>
  <c r="B131" i="1"/>
  <c r="C71" i="1"/>
  <c r="U71" i="1" s="1"/>
  <c r="C180" i="1"/>
  <c r="U180" i="1" s="1"/>
  <c r="B240" i="1"/>
  <c r="J29" i="1" a="1"/>
  <c r="J29" i="1" s="1"/>
  <c r="K29" i="1" a="1"/>
  <c r="K29" i="1" s="1"/>
  <c r="C76" i="1"/>
  <c r="U76" i="1" s="1"/>
  <c r="B136" i="1"/>
  <c r="F58" i="1"/>
  <c r="C99" i="1"/>
  <c r="U99" i="1" s="1"/>
  <c r="B159" i="1"/>
  <c r="E107" i="1"/>
  <c r="D167" i="1"/>
  <c r="C77" i="1"/>
  <c r="U77" i="1" s="1"/>
  <c r="B137" i="1"/>
  <c r="E94" i="1"/>
  <c r="D154" i="1"/>
  <c r="K47" i="1" a="1"/>
  <c r="K47" i="1" s="1"/>
  <c r="J47" i="1" a="1"/>
  <c r="J47" i="1" s="1"/>
  <c r="J27" i="1" a="1"/>
  <c r="J27" i="1" s="1"/>
  <c r="K27" i="1" a="1"/>
  <c r="K27" i="1" s="1"/>
  <c r="J23" i="1" a="1"/>
  <c r="J23" i="1" s="1"/>
  <c r="K23" i="1" a="1"/>
  <c r="K23" i="1" s="1"/>
  <c r="K41" i="1" a="1"/>
  <c r="K41" i="1" s="1"/>
  <c r="F53" i="1"/>
  <c r="J41" i="1" a="1"/>
  <c r="J41" i="1" s="1"/>
  <c r="E91" i="1"/>
  <c r="D151" i="1"/>
  <c r="E87" i="1"/>
  <c r="D147" i="1"/>
  <c r="E78" i="1"/>
  <c r="D138" i="1"/>
  <c r="J44" i="1" a="1"/>
  <c r="J44" i="1" s="1"/>
  <c r="K44" i="1" a="1"/>
  <c r="K44" i="1" s="1"/>
  <c r="F56" i="1"/>
  <c r="K56" i="1" s="1" a="1"/>
  <c r="K56" i="1" s="1"/>
  <c r="E89" i="1"/>
  <c r="D149" i="1"/>
  <c r="E74" i="1"/>
  <c r="D134" i="1"/>
  <c r="B132" i="1"/>
  <c r="C72" i="1"/>
  <c r="U72" i="1" s="1"/>
  <c r="F54" i="1"/>
  <c r="J42" i="1" a="1"/>
  <c r="J42" i="1" s="1"/>
  <c r="C110" i="1"/>
  <c r="U110" i="1" s="1"/>
  <c r="B170" i="1"/>
  <c r="D126" i="1"/>
  <c r="E66" i="1"/>
  <c r="B124" i="1"/>
  <c r="C64" i="1"/>
  <c r="U64" i="1" s="1"/>
  <c r="D122" i="1"/>
  <c r="E62" i="1"/>
  <c r="K16" i="1" a="1"/>
  <c r="K16" i="1" s="1"/>
  <c r="J34" i="1" a="1"/>
  <c r="J34" i="1" s="1"/>
  <c r="K34" i="1" a="1"/>
  <c r="K34" i="1" s="1"/>
  <c r="F38" i="1"/>
  <c r="J26" i="1" a="1"/>
  <c r="J26" i="1" s="1"/>
  <c r="K19" i="1" a="1"/>
  <c r="K19" i="1" s="1"/>
  <c r="J19" i="1" a="1"/>
  <c r="J19" i="1" s="1"/>
  <c r="E97" i="1"/>
  <c r="D157" i="1"/>
  <c r="E92" i="1"/>
  <c r="D152" i="1"/>
  <c r="K15" i="1" a="1"/>
  <c r="K15" i="1" s="1"/>
  <c r="J15" i="1" a="1"/>
  <c r="J15" i="1" s="1"/>
  <c r="D166" i="1"/>
  <c r="E106" i="1"/>
  <c r="E95" i="1"/>
  <c r="D155" i="1"/>
  <c r="C69" i="1"/>
  <c r="U69" i="1" s="1"/>
  <c r="B129" i="1"/>
  <c r="J13" i="1" a="1"/>
  <c r="J13" i="1" s="1"/>
  <c r="K13" i="1" a="1"/>
  <c r="K13" i="1" s="1"/>
  <c r="B148" i="1"/>
  <c r="C88" i="1"/>
  <c r="U88" i="1" s="1"/>
  <c r="E63" i="1"/>
  <c r="D123" i="1"/>
  <c r="K35" i="1" a="1"/>
  <c r="K35" i="1" s="1"/>
  <c r="J35" i="1" a="1"/>
  <c r="J35" i="1" s="1"/>
  <c r="J20" i="1" a="1"/>
  <c r="J20" i="1" s="1"/>
  <c r="C65" i="1"/>
  <c r="U65" i="1" s="1"/>
  <c r="B125" i="1"/>
  <c r="J46" i="1" a="1"/>
  <c r="J46" i="1" s="1"/>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406" i="3"/>
  <c r="I407" i="3"/>
  <c r="I408" i="3"/>
  <c r="I409" i="3"/>
  <c r="I410" i="3"/>
  <c r="I411" i="3"/>
  <c r="I412" i="3"/>
  <c r="I413" i="3"/>
  <c r="I414" i="3"/>
  <c r="I415" i="3"/>
  <c r="I416" i="3"/>
  <c r="I417" i="3"/>
  <c r="I418" i="3"/>
  <c r="I419" i="3"/>
  <c r="I420" i="3"/>
  <c r="I421" i="3"/>
  <c r="I422" i="3"/>
  <c r="I423" i="3"/>
  <c r="I424" i="3"/>
  <c r="I425" i="3"/>
  <c r="I426" i="3"/>
  <c r="I427" i="3"/>
  <c r="I428" i="3"/>
  <c r="I429" i="3"/>
  <c r="I430" i="3"/>
  <c r="I431" i="3"/>
  <c r="I432" i="3"/>
  <c r="I433" i="3"/>
  <c r="I434" i="3"/>
  <c r="I435" i="3"/>
  <c r="I436" i="3"/>
  <c r="I437" i="3"/>
  <c r="I438" i="3"/>
  <c r="I439" i="3"/>
  <c r="I440" i="3"/>
  <c r="I441" i="3"/>
  <c r="I442" i="3"/>
  <c r="I443"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I485" i="3"/>
  <c r="I486" i="3"/>
  <c r="I487" i="3"/>
  <c r="I488" i="3"/>
  <c r="I489" i="3"/>
  <c r="I490" i="3"/>
  <c r="I491" i="3"/>
  <c r="I492" i="3"/>
  <c r="I493" i="3"/>
  <c r="I494" i="3"/>
  <c r="I495" i="3"/>
  <c r="I496" i="3"/>
  <c r="I497" i="3"/>
  <c r="I498" i="3"/>
  <c r="I499" i="3"/>
  <c r="I500" i="3"/>
  <c r="I501" i="3"/>
  <c r="I502" i="3"/>
  <c r="I503" i="3"/>
  <c r="I504" i="3"/>
  <c r="I505" i="3"/>
  <c r="I506" i="3"/>
  <c r="I507" i="3"/>
  <c r="I508" i="3"/>
  <c r="I509" i="3"/>
  <c r="I510" i="3"/>
  <c r="I511" i="3"/>
  <c r="I512" i="3"/>
  <c r="I513" i="3"/>
  <c r="I514" i="3"/>
  <c r="I515" i="3"/>
  <c r="I516" i="3"/>
  <c r="I517" i="3"/>
  <c r="I518" i="3"/>
  <c r="I519" i="3"/>
  <c r="I520" i="3"/>
  <c r="I521" i="3"/>
  <c r="I522" i="3"/>
  <c r="I523" i="3"/>
  <c r="I524" i="3"/>
  <c r="I525" i="3"/>
  <c r="I526" i="3"/>
  <c r="I527" i="3"/>
  <c r="I528" i="3"/>
  <c r="I529" i="3"/>
  <c r="I530" i="3"/>
  <c r="I531" i="3"/>
  <c r="I532" i="3"/>
  <c r="I533" i="3"/>
  <c r="I534" i="3"/>
  <c r="I535" i="3"/>
  <c r="I536" i="3"/>
  <c r="I537" i="3"/>
  <c r="I538" i="3"/>
  <c r="I539" i="3"/>
  <c r="I540" i="3"/>
  <c r="I541" i="3"/>
  <c r="I542" i="3"/>
  <c r="I543" i="3"/>
  <c r="I544" i="3"/>
  <c r="I545" i="3"/>
  <c r="I546" i="3"/>
  <c r="I547" i="3"/>
  <c r="I548" i="3"/>
  <c r="I549" i="3"/>
  <c r="I550" i="3"/>
  <c r="I551" i="3"/>
  <c r="I552" i="3"/>
  <c r="I553" i="3"/>
  <c r="I554" i="3"/>
  <c r="I555" i="3"/>
  <c r="I556" i="3"/>
  <c r="I557" i="3"/>
  <c r="I558" i="3"/>
  <c r="I559" i="3"/>
  <c r="I560" i="3"/>
  <c r="I561" i="3"/>
  <c r="I562" i="3"/>
  <c r="I563" i="3"/>
  <c r="I564" i="3"/>
  <c r="I565" i="3"/>
  <c r="I566" i="3"/>
  <c r="I567" i="3"/>
  <c r="I568" i="3"/>
  <c r="I569" i="3"/>
  <c r="I570" i="3"/>
  <c r="I571" i="3"/>
  <c r="I572" i="3"/>
  <c r="I573" i="3"/>
  <c r="I574" i="3"/>
  <c r="I575" i="3"/>
  <c r="I576" i="3"/>
  <c r="I577" i="3"/>
  <c r="I578" i="3"/>
  <c r="I579" i="3"/>
  <c r="I580" i="3"/>
  <c r="I581" i="3"/>
  <c r="I582" i="3"/>
  <c r="I583" i="3"/>
  <c r="I584" i="3"/>
  <c r="I585" i="3"/>
  <c r="I586" i="3"/>
  <c r="I587" i="3"/>
  <c r="I588" i="3"/>
  <c r="I589" i="3"/>
  <c r="I590" i="3"/>
  <c r="I591" i="3"/>
  <c r="I592" i="3"/>
  <c r="I593" i="3"/>
  <c r="I594" i="3"/>
  <c r="I595" i="3"/>
  <c r="I596" i="3"/>
  <c r="I597" i="3"/>
  <c r="I598" i="3"/>
  <c r="I599" i="3"/>
  <c r="I600" i="3"/>
  <c r="I601" i="3"/>
  <c r="I2" i="3"/>
  <c r="D489" i="3"/>
  <c r="D549" i="3" s="1"/>
  <c r="D482" i="3"/>
  <c r="D542" i="3" s="1"/>
  <c r="D435" i="3"/>
  <c r="D495" i="3" s="1"/>
  <c r="D555" i="3" s="1"/>
  <c r="D423" i="3"/>
  <c r="D483" i="3" s="1"/>
  <c r="D543" i="3" s="1"/>
  <c r="D360" i="3"/>
  <c r="D420" i="3" s="1"/>
  <c r="D480" i="3" s="1"/>
  <c r="D540" i="3" s="1"/>
  <c r="D600" i="3" s="1"/>
  <c r="D319" i="3"/>
  <c r="D379" i="3" s="1"/>
  <c r="D439" i="3" s="1"/>
  <c r="D499" i="3" s="1"/>
  <c r="D559" i="3" s="1"/>
  <c r="D300" i="3"/>
  <c r="D292" i="3"/>
  <c r="D352" i="3" s="1"/>
  <c r="D412" i="3" s="1"/>
  <c r="D472" i="3" s="1"/>
  <c r="D532" i="3" s="1"/>
  <c r="D592" i="3" s="1"/>
  <c r="D281" i="3"/>
  <c r="D341" i="3" s="1"/>
  <c r="D401" i="3" s="1"/>
  <c r="D461" i="3" s="1"/>
  <c r="D521" i="3" s="1"/>
  <c r="D581" i="3" s="1"/>
  <c r="B236" i="3"/>
  <c r="D234" i="3"/>
  <c r="D294" i="3" s="1"/>
  <c r="D354" i="3" s="1"/>
  <c r="D414" i="3" s="1"/>
  <c r="D474" i="3" s="1"/>
  <c r="D534" i="3" s="1"/>
  <c r="D594" i="3" s="1"/>
  <c r="B220" i="3"/>
  <c r="C220" i="3" s="1"/>
  <c r="D206" i="3"/>
  <c r="D266" i="3" s="1"/>
  <c r="D326" i="3" s="1"/>
  <c r="D386" i="3" s="1"/>
  <c r="D446" i="3" s="1"/>
  <c r="D506" i="3" s="1"/>
  <c r="D566" i="3" s="1"/>
  <c r="B206" i="3"/>
  <c r="B266" i="3" s="1"/>
  <c r="B205" i="3"/>
  <c r="B265" i="3" s="1"/>
  <c r="D201" i="3"/>
  <c r="D261" i="3" s="1"/>
  <c r="D321" i="3" s="1"/>
  <c r="D381" i="3" s="1"/>
  <c r="D441" i="3" s="1"/>
  <c r="D501" i="3" s="1"/>
  <c r="D561" i="3" s="1"/>
  <c r="C199" i="3"/>
  <c r="D195" i="3"/>
  <c r="D255" i="3" s="1"/>
  <c r="D315" i="3" s="1"/>
  <c r="D375" i="3" s="1"/>
  <c r="D190" i="3"/>
  <c r="D250" i="3" s="1"/>
  <c r="D310" i="3" s="1"/>
  <c r="D370" i="3" s="1"/>
  <c r="D430" i="3" s="1"/>
  <c r="D490" i="3" s="1"/>
  <c r="D550" i="3" s="1"/>
  <c r="D177" i="3"/>
  <c r="D237" i="3" s="1"/>
  <c r="D297" i="3" s="1"/>
  <c r="D357" i="3" s="1"/>
  <c r="D417" i="3" s="1"/>
  <c r="D477" i="3" s="1"/>
  <c r="D537" i="3" s="1"/>
  <c r="D597" i="3" s="1"/>
  <c r="B177" i="3"/>
  <c r="B174" i="3"/>
  <c r="B234" i="3" s="1"/>
  <c r="B294" i="3" s="1"/>
  <c r="B173" i="3"/>
  <c r="B233" i="3" s="1"/>
  <c r="C233" i="3" s="1"/>
  <c r="B172" i="3"/>
  <c r="B171" i="3"/>
  <c r="B167" i="3"/>
  <c r="B227" i="3" s="1"/>
  <c r="C227" i="3" s="1"/>
  <c r="B160" i="3"/>
  <c r="C160" i="3" s="1"/>
  <c r="D158" i="3"/>
  <c r="D218" i="3" s="1"/>
  <c r="D278" i="3" s="1"/>
  <c r="D338" i="3" s="1"/>
  <c r="D398" i="3" s="1"/>
  <c r="D458" i="3" s="1"/>
  <c r="D518" i="3" s="1"/>
  <c r="D578" i="3" s="1"/>
  <c r="D155" i="3"/>
  <c r="D215" i="3" s="1"/>
  <c r="D275" i="3" s="1"/>
  <c r="D335" i="3" s="1"/>
  <c r="D395" i="3" s="1"/>
  <c r="D455" i="3" s="1"/>
  <c r="D515" i="3" s="1"/>
  <c r="D575" i="3" s="1"/>
  <c r="D153" i="3"/>
  <c r="D213" i="3" s="1"/>
  <c r="D273" i="3" s="1"/>
  <c r="D333" i="3" s="1"/>
  <c r="D393" i="3" s="1"/>
  <c r="D453" i="3" s="1"/>
  <c r="D513" i="3" s="1"/>
  <c r="D573" i="3" s="1"/>
  <c r="B152" i="3"/>
  <c r="C152" i="3" s="1"/>
  <c r="D150" i="3"/>
  <c r="D210" i="3" s="1"/>
  <c r="D270" i="3" s="1"/>
  <c r="D330" i="3" s="1"/>
  <c r="D390" i="3" s="1"/>
  <c r="D450" i="3" s="1"/>
  <c r="D510" i="3" s="1"/>
  <c r="D570" i="3" s="1"/>
  <c r="B150" i="3"/>
  <c r="D147" i="3"/>
  <c r="D207" i="3" s="1"/>
  <c r="D267" i="3" s="1"/>
  <c r="D327" i="3" s="1"/>
  <c r="D387" i="3" s="1"/>
  <c r="D447" i="3" s="1"/>
  <c r="D507" i="3" s="1"/>
  <c r="D567" i="3" s="1"/>
  <c r="C146" i="3"/>
  <c r="B141" i="3"/>
  <c r="B201" i="3" s="1"/>
  <c r="C139" i="3"/>
  <c r="B129" i="3"/>
  <c r="C129" i="3" s="1"/>
  <c r="D127" i="3"/>
  <c r="D187" i="3" s="1"/>
  <c r="D247" i="3" s="1"/>
  <c r="D307" i="3" s="1"/>
  <c r="D367" i="3" s="1"/>
  <c r="D427" i="3" s="1"/>
  <c r="D487" i="3" s="1"/>
  <c r="D547" i="3" s="1"/>
  <c r="D121" i="3"/>
  <c r="D181" i="3" s="1"/>
  <c r="D241" i="3" s="1"/>
  <c r="D301" i="3" s="1"/>
  <c r="D361" i="3" s="1"/>
  <c r="D421" i="3" s="1"/>
  <c r="D481" i="3" s="1"/>
  <c r="D541" i="3" s="1"/>
  <c r="D601" i="3" s="1"/>
  <c r="B121" i="3"/>
  <c r="C121" i="3" s="1"/>
  <c r="D120" i="3"/>
  <c r="D180" i="3" s="1"/>
  <c r="D240" i="3" s="1"/>
  <c r="B120" i="3"/>
  <c r="C120" i="3" s="1"/>
  <c r="D119" i="3"/>
  <c r="D179" i="3" s="1"/>
  <c r="D239" i="3" s="1"/>
  <c r="D299" i="3" s="1"/>
  <c r="D359" i="3" s="1"/>
  <c r="D419" i="3" s="1"/>
  <c r="D479" i="3" s="1"/>
  <c r="D539" i="3" s="1"/>
  <c r="D599" i="3" s="1"/>
  <c r="B119" i="3"/>
  <c r="C119" i="3" s="1"/>
  <c r="D118" i="3"/>
  <c r="D178" i="3" s="1"/>
  <c r="D238" i="3" s="1"/>
  <c r="D298" i="3" s="1"/>
  <c r="D358" i="3" s="1"/>
  <c r="D418" i="3" s="1"/>
  <c r="D478" i="3" s="1"/>
  <c r="D538" i="3" s="1"/>
  <c r="D598" i="3" s="1"/>
  <c r="B118" i="3"/>
  <c r="B178" i="3" s="1"/>
  <c r="C178" i="3" s="1"/>
  <c r="D117" i="3"/>
  <c r="B117" i="3"/>
  <c r="C117" i="3" s="1"/>
  <c r="D116" i="3"/>
  <c r="D176" i="3" s="1"/>
  <c r="D236" i="3" s="1"/>
  <c r="D296" i="3" s="1"/>
  <c r="D356" i="3" s="1"/>
  <c r="D416" i="3" s="1"/>
  <c r="D476" i="3" s="1"/>
  <c r="D536" i="3" s="1"/>
  <c r="D596" i="3" s="1"/>
  <c r="C116" i="3"/>
  <c r="B116" i="3"/>
  <c r="B176" i="3" s="1"/>
  <c r="C176" i="3" s="1"/>
  <c r="D115" i="3"/>
  <c r="D175" i="3" s="1"/>
  <c r="D235" i="3" s="1"/>
  <c r="D295" i="3" s="1"/>
  <c r="D355" i="3" s="1"/>
  <c r="D415" i="3" s="1"/>
  <c r="D475" i="3" s="1"/>
  <c r="D535" i="3" s="1"/>
  <c r="D595" i="3" s="1"/>
  <c r="B115" i="3"/>
  <c r="B175" i="3" s="1"/>
  <c r="C175" i="3" s="1"/>
  <c r="D114" i="3"/>
  <c r="D174" i="3" s="1"/>
  <c r="B114" i="3"/>
  <c r="C114" i="3" s="1"/>
  <c r="D113" i="3"/>
  <c r="D173" i="3" s="1"/>
  <c r="D233" i="3" s="1"/>
  <c r="D293" i="3" s="1"/>
  <c r="D353" i="3" s="1"/>
  <c r="D413" i="3" s="1"/>
  <c r="D473" i="3" s="1"/>
  <c r="D533" i="3" s="1"/>
  <c r="D593" i="3" s="1"/>
  <c r="B113" i="3"/>
  <c r="C113" i="3" s="1"/>
  <c r="D112" i="3"/>
  <c r="D172" i="3" s="1"/>
  <c r="D232" i="3" s="1"/>
  <c r="B112" i="3"/>
  <c r="C112" i="3" s="1"/>
  <c r="D111" i="3"/>
  <c r="D171" i="3" s="1"/>
  <c r="D231" i="3" s="1"/>
  <c r="D291" i="3" s="1"/>
  <c r="D351" i="3" s="1"/>
  <c r="D411" i="3" s="1"/>
  <c r="D471" i="3" s="1"/>
  <c r="D531" i="3" s="1"/>
  <c r="D591" i="3" s="1"/>
  <c r="B111" i="3"/>
  <c r="C111" i="3" s="1"/>
  <c r="D110" i="3"/>
  <c r="D170" i="3" s="1"/>
  <c r="D230" i="3" s="1"/>
  <c r="D290" i="3" s="1"/>
  <c r="D350" i="3" s="1"/>
  <c r="D410" i="3" s="1"/>
  <c r="D470" i="3" s="1"/>
  <c r="D530" i="3" s="1"/>
  <c r="D590" i="3" s="1"/>
  <c r="B110" i="3"/>
  <c r="B170" i="3" s="1"/>
  <c r="B230" i="3" s="1"/>
  <c r="D109" i="3"/>
  <c r="D169" i="3" s="1"/>
  <c r="D229" i="3" s="1"/>
  <c r="D289" i="3" s="1"/>
  <c r="D349" i="3" s="1"/>
  <c r="D409" i="3" s="1"/>
  <c r="D469" i="3" s="1"/>
  <c r="D529" i="3" s="1"/>
  <c r="D589" i="3" s="1"/>
  <c r="B109" i="3"/>
  <c r="B169" i="3" s="1"/>
  <c r="D108" i="3"/>
  <c r="D168" i="3" s="1"/>
  <c r="D228" i="3" s="1"/>
  <c r="D288" i="3" s="1"/>
  <c r="D348" i="3" s="1"/>
  <c r="D408" i="3" s="1"/>
  <c r="D468" i="3" s="1"/>
  <c r="D528" i="3" s="1"/>
  <c r="D588" i="3" s="1"/>
  <c r="B108" i="3"/>
  <c r="D107" i="3"/>
  <c r="D167" i="3" s="1"/>
  <c r="D227" i="3" s="1"/>
  <c r="D287" i="3" s="1"/>
  <c r="D347" i="3" s="1"/>
  <c r="D407" i="3" s="1"/>
  <c r="D467" i="3" s="1"/>
  <c r="D527" i="3" s="1"/>
  <c r="D587" i="3" s="1"/>
  <c r="B107" i="3"/>
  <c r="C107" i="3" s="1"/>
  <c r="D106" i="3"/>
  <c r="D166" i="3" s="1"/>
  <c r="D226" i="3" s="1"/>
  <c r="D286" i="3" s="1"/>
  <c r="D346" i="3" s="1"/>
  <c r="D406" i="3" s="1"/>
  <c r="D466" i="3" s="1"/>
  <c r="D526" i="3" s="1"/>
  <c r="D586" i="3" s="1"/>
  <c r="B106" i="3"/>
  <c r="C106" i="3" s="1"/>
  <c r="D105" i="3"/>
  <c r="D165" i="3" s="1"/>
  <c r="D225" i="3" s="1"/>
  <c r="D285" i="3" s="1"/>
  <c r="D345" i="3" s="1"/>
  <c r="D405" i="3" s="1"/>
  <c r="D465" i="3" s="1"/>
  <c r="D525" i="3" s="1"/>
  <c r="D585" i="3" s="1"/>
  <c r="B105" i="3"/>
  <c r="B165" i="3" s="1"/>
  <c r="B225" i="3" s="1"/>
  <c r="D104" i="3"/>
  <c r="D164" i="3" s="1"/>
  <c r="D224" i="3" s="1"/>
  <c r="D284" i="3" s="1"/>
  <c r="D344" i="3" s="1"/>
  <c r="D404" i="3" s="1"/>
  <c r="D464" i="3" s="1"/>
  <c r="D524" i="3" s="1"/>
  <c r="D584" i="3" s="1"/>
  <c r="B104" i="3"/>
  <c r="B164" i="3" s="1"/>
  <c r="D103" i="3"/>
  <c r="D163" i="3" s="1"/>
  <c r="D223" i="3" s="1"/>
  <c r="D283" i="3" s="1"/>
  <c r="D343" i="3" s="1"/>
  <c r="D403" i="3" s="1"/>
  <c r="D463" i="3" s="1"/>
  <c r="D523" i="3" s="1"/>
  <c r="D583" i="3" s="1"/>
  <c r="B103" i="3"/>
  <c r="C103" i="3" s="1"/>
  <c r="D102" i="3"/>
  <c r="D162" i="3" s="1"/>
  <c r="D222" i="3" s="1"/>
  <c r="D282" i="3" s="1"/>
  <c r="D342" i="3" s="1"/>
  <c r="D402" i="3" s="1"/>
  <c r="D462" i="3" s="1"/>
  <c r="D522" i="3" s="1"/>
  <c r="D582" i="3" s="1"/>
  <c r="B102" i="3"/>
  <c r="B162" i="3" s="1"/>
  <c r="B222" i="3" s="1"/>
  <c r="D101" i="3"/>
  <c r="D161" i="3" s="1"/>
  <c r="D221" i="3" s="1"/>
  <c r="B101" i="3"/>
  <c r="C101" i="3" s="1"/>
  <c r="D100" i="3"/>
  <c r="D160" i="3" s="1"/>
  <c r="D220" i="3" s="1"/>
  <c r="D280" i="3" s="1"/>
  <c r="D340" i="3" s="1"/>
  <c r="D400" i="3" s="1"/>
  <c r="D460" i="3" s="1"/>
  <c r="D520" i="3" s="1"/>
  <c r="D580" i="3" s="1"/>
  <c r="B100" i="3"/>
  <c r="C100" i="3" s="1"/>
  <c r="D99" i="3"/>
  <c r="D159" i="3" s="1"/>
  <c r="D219" i="3" s="1"/>
  <c r="D279" i="3" s="1"/>
  <c r="D339" i="3" s="1"/>
  <c r="D399" i="3" s="1"/>
  <c r="D459" i="3" s="1"/>
  <c r="D519" i="3" s="1"/>
  <c r="D579" i="3" s="1"/>
  <c r="B99" i="3"/>
  <c r="D98" i="3"/>
  <c r="B98" i="3"/>
  <c r="C98" i="3" s="1"/>
  <c r="D97" i="3"/>
  <c r="D157" i="3" s="1"/>
  <c r="D217" i="3" s="1"/>
  <c r="D277" i="3" s="1"/>
  <c r="D337" i="3" s="1"/>
  <c r="D397" i="3" s="1"/>
  <c r="D457" i="3" s="1"/>
  <c r="D517" i="3" s="1"/>
  <c r="D577" i="3" s="1"/>
  <c r="B97" i="3"/>
  <c r="B157" i="3" s="1"/>
  <c r="D96" i="3"/>
  <c r="D156" i="3" s="1"/>
  <c r="D216" i="3" s="1"/>
  <c r="D276" i="3" s="1"/>
  <c r="D336" i="3" s="1"/>
  <c r="D396" i="3" s="1"/>
  <c r="D456" i="3" s="1"/>
  <c r="D516" i="3" s="1"/>
  <c r="D576" i="3" s="1"/>
  <c r="B96" i="3"/>
  <c r="D95" i="3"/>
  <c r="B95" i="3"/>
  <c r="D94" i="3"/>
  <c r="D154" i="3" s="1"/>
  <c r="D214" i="3" s="1"/>
  <c r="D274" i="3" s="1"/>
  <c r="D334" i="3" s="1"/>
  <c r="D394" i="3" s="1"/>
  <c r="D454" i="3" s="1"/>
  <c r="D514" i="3" s="1"/>
  <c r="D574" i="3" s="1"/>
  <c r="B94" i="3"/>
  <c r="D93" i="3"/>
  <c r="B93" i="3"/>
  <c r="B153" i="3" s="1"/>
  <c r="D92" i="3"/>
  <c r="D152" i="3" s="1"/>
  <c r="D212" i="3" s="1"/>
  <c r="D272" i="3" s="1"/>
  <c r="D332" i="3" s="1"/>
  <c r="D392" i="3" s="1"/>
  <c r="D452" i="3" s="1"/>
  <c r="D512" i="3" s="1"/>
  <c r="D572" i="3" s="1"/>
  <c r="B92" i="3"/>
  <c r="C92" i="3" s="1"/>
  <c r="D91" i="3"/>
  <c r="D151" i="3" s="1"/>
  <c r="D211" i="3" s="1"/>
  <c r="D271" i="3" s="1"/>
  <c r="D331" i="3" s="1"/>
  <c r="D391" i="3" s="1"/>
  <c r="D451" i="3" s="1"/>
  <c r="D511" i="3" s="1"/>
  <c r="D571" i="3" s="1"/>
  <c r="B91" i="3"/>
  <c r="C91" i="3" s="1"/>
  <c r="D90" i="3"/>
  <c r="B90" i="3"/>
  <c r="C90" i="3" s="1"/>
  <c r="D89" i="3"/>
  <c r="D149" i="3" s="1"/>
  <c r="D209" i="3" s="1"/>
  <c r="D269" i="3" s="1"/>
  <c r="D329" i="3" s="1"/>
  <c r="D389" i="3" s="1"/>
  <c r="D449" i="3" s="1"/>
  <c r="D509" i="3" s="1"/>
  <c r="D569" i="3" s="1"/>
  <c r="B89" i="3"/>
  <c r="D88" i="3"/>
  <c r="D148" i="3" s="1"/>
  <c r="D208" i="3" s="1"/>
  <c r="D268" i="3" s="1"/>
  <c r="D328" i="3" s="1"/>
  <c r="D388" i="3" s="1"/>
  <c r="D448" i="3" s="1"/>
  <c r="D508" i="3" s="1"/>
  <c r="D568" i="3" s="1"/>
  <c r="B88" i="3"/>
  <c r="C88" i="3" s="1"/>
  <c r="D87" i="3"/>
  <c r="B87" i="3"/>
  <c r="C87" i="3" s="1"/>
  <c r="D86" i="3"/>
  <c r="D146" i="3" s="1"/>
  <c r="B86" i="3"/>
  <c r="B146" i="3" s="1"/>
  <c r="D85" i="3"/>
  <c r="D145" i="3" s="1"/>
  <c r="D205" i="3" s="1"/>
  <c r="D265" i="3" s="1"/>
  <c r="D325" i="3" s="1"/>
  <c r="D385" i="3" s="1"/>
  <c r="D445" i="3" s="1"/>
  <c r="D505" i="3" s="1"/>
  <c r="D565" i="3" s="1"/>
  <c r="C85" i="3"/>
  <c r="B85" i="3"/>
  <c r="B145" i="3" s="1"/>
  <c r="C145" i="3" s="1"/>
  <c r="D84" i="3"/>
  <c r="D144" i="3" s="1"/>
  <c r="D204" i="3" s="1"/>
  <c r="D264" i="3" s="1"/>
  <c r="D324" i="3" s="1"/>
  <c r="D384" i="3" s="1"/>
  <c r="D444" i="3" s="1"/>
  <c r="D504" i="3" s="1"/>
  <c r="D564" i="3" s="1"/>
  <c r="B84" i="3"/>
  <c r="C84" i="3" s="1"/>
  <c r="D83" i="3"/>
  <c r="D143" i="3" s="1"/>
  <c r="D203" i="3" s="1"/>
  <c r="D263" i="3" s="1"/>
  <c r="D323" i="3" s="1"/>
  <c r="D383" i="3" s="1"/>
  <c r="D443" i="3" s="1"/>
  <c r="D503" i="3" s="1"/>
  <c r="D563" i="3" s="1"/>
  <c r="B83" i="3"/>
  <c r="C83" i="3" s="1"/>
  <c r="D82" i="3"/>
  <c r="D142" i="3" s="1"/>
  <c r="D202" i="3" s="1"/>
  <c r="D262" i="3" s="1"/>
  <c r="D322" i="3" s="1"/>
  <c r="D382" i="3" s="1"/>
  <c r="D442" i="3" s="1"/>
  <c r="D502" i="3" s="1"/>
  <c r="D562" i="3" s="1"/>
  <c r="B82" i="3"/>
  <c r="C82" i="3" s="1"/>
  <c r="D81" i="3"/>
  <c r="D141" i="3" s="1"/>
  <c r="B81" i="3"/>
  <c r="C81" i="3" s="1"/>
  <c r="D80" i="3"/>
  <c r="D140" i="3" s="1"/>
  <c r="D200" i="3" s="1"/>
  <c r="D260" i="3" s="1"/>
  <c r="D320" i="3" s="1"/>
  <c r="D380" i="3" s="1"/>
  <c r="D440" i="3" s="1"/>
  <c r="D500" i="3" s="1"/>
  <c r="D560" i="3" s="1"/>
  <c r="B80" i="3"/>
  <c r="C80" i="3" s="1"/>
  <c r="D79" i="3"/>
  <c r="D139" i="3" s="1"/>
  <c r="D199" i="3" s="1"/>
  <c r="D259" i="3" s="1"/>
  <c r="B79" i="3"/>
  <c r="B139" i="3" s="1"/>
  <c r="B199" i="3" s="1"/>
  <c r="B259" i="3" s="1"/>
  <c r="D78" i="3"/>
  <c r="D138" i="3" s="1"/>
  <c r="D198" i="3" s="1"/>
  <c r="D258" i="3" s="1"/>
  <c r="D318" i="3" s="1"/>
  <c r="D378" i="3" s="1"/>
  <c r="D438" i="3" s="1"/>
  <c r="D498" i="3" s="1"/>
  <c r="D558" i="3" s="1"/>
  <c r="C78" i="3"/>
  <c r="B78" i="3"/>
  <c r="B138" i="3" s="1"/>
  <c r="D77" i="3"/>
  <c r="D137" i="3" s="1"/>
  <c r="D197" i="3" s="1"/>
  <c r="D257" i="3" s="1"/>
  <c r="D317" i="3" s="1"/>
  <c r="D377" i="3" s="1"/>
  <c r="D437" i="3" s="1"/>
  <c r="D497" i="3" s="1"/>
  <c r="D557" i="3" s="1"/>
  <c r="B77" i="3"/>
  <c r="B137" i="3" s="1"/>
  <c r="D76" i="3"/>
  <c r="D136" i="3" s="1"/>
  <c r="D196" i="3" s="1"/>
  <c r="D256" i="3" s="1"/>
  <c r="D316" i="3" s="1"/>
  <c r="D376" i="3" s="1"/>
  <c r="D436" i="3" s="1"/>
  <c r="D496" i="3" s="1"/>
  <c r="D556" i="3" s="1"/>
  <c r="B76" i="3"/>
  <c r="B136" i="3" s="1"/>
  <c r="B196" i="3" s="1"/>
  <c r="B256" i="3" s="1"/>
  <c r="D75" i="3"/>
  <c r="D135" i="3" s="1"/>
  <c r="B75" i="3"/>
  <c r="D74" i="3"/>
  <c r="D134" i="3" s="1"/>
  <c r="D194" i="3" s="1"/>
  <c r="D254" i="3" s="1"/>
  <c r="D314" i="3" s="1"/>
  <c r="D374" i="3" s="1"/>
  <c r="D434" i="3" s="1"/>
  <c r="D494" i="3" s="1"/>
  <c r="D554" i="3" s="1"/>
  <c r="B74" i="3"/>
  <c r="B134" i="3" s="1"/>
  <c r="B194" i="3" s="1"/>
  <c r="D73" i="3"/>
  <c r="D133" i="3" s="1"/>
  <c r="D193" i="3" s="1"/>
  <c r="D253" i="3" s="1"/>
  <c r="D313" i="3" s="1"/>
  <c r="D373" i="3" s="1"/>
  <c r="D433" i="3" s="1"/>
  <c r="D493" i="3" s="1"/>
  <c r="D553" i="3" s="1"/>
  <c r="B73" i="3"/>
  <c r="B133" i="3" s="1"/>
  <c r="B193" i="3" s="1"/>
  <c r="D72" i="3"/>
  <c r="D132" i="3" s="1"/>
  <c r="D192" i="3" s="1"/>
  <c r="D252" i="3" s="1"/>
  <c r="D312" i="3" s="1"/>
  <c r="D372" i="3" s="1"/>
  <c r="D432" i="3" s="1"/>
  <c r="D492" i="3" s="1"/>
  <c r="D552" i="3" s="1"/>
  <c r="B72" i="3"/>
  <c r="B132" i="3" s="1"/>
  <c r="D71" i="3"/>
  <c r="D131" i="3" s="1"/>
  <c r="D191" i="3" s="1"/>
  <c r="D251" i="3" s="1"/>
  <c r="D311" i="3" s="1"/>
  <c r="D371" i="3" s="1"/>
  <c r="D431" i="3" s="1"/>
  <c r="D491" i="3" s="1"/>
  <c r="D551" i="3" s="1"/>
  <c r="B71" i="3"/>
  <c r="B131" i="3" s="1"/>
  <c r="D70" i="3"/>
  <c r="D130" i="3" s="1"/>
  <c r="B70" i="3"/>
  <c r="B130" i="3" s="1"/>
  <c r="D69" i="3"/>
  <c r="D129" i="3" s="1"/>
  <c r="D189" i="3" s="1"/>
  <c r="D249" i="3" s="1"/>
  <c r="D309" i="3" s="1"/>
  <c r="D369" i="3" s="1"/>
  <c r="D429" i="3" s="1"/>
  <c r="B69" i="3"/>
  <c r="C69" i="3" s="1"/>
  <c r="D68" i="3"/>
  <c r="D128" i="3" s="1"/>
  <c r="D188" i="3" s="1"/>
  <c r="D248" i="3" s="1"/>
  <c r="D308" i="3" s="1"/>
  <c r="D368" i="3" s="1"/>
  <c r="D428" i="3" s="1"/>
  <c r="D488" i="3" s="1"/>
  <c r="D548" i="3" s="1"/>
  <c r="B68" i="3"/>
  <c r="C68" i="3" s="1"/>
  <c r="D67" i="3"/>
  <c r="B67" i="3"/>
  <c r="D66" i="3"/>
  <c r="D126" i="3" s="1"/>
  <c r="D186" i="3" s="1"/>
  <c r="D246" i="3" s="1"/>
  <c r="D306" i="3" s="1"/>
  <c r="D366" i="3" s="1"/>
  <c r="D426" i="3" s="1"/>
  <c r="D486" i="3" s="1"/>
  <c r="D546" i="3" s="1"/>
  <c r="B66" i="3"/>
  <c r="B126" i="3" s="1"/>
  <c r="D65" i="3"/>
  <c r="D125" i="3" s="1"/>
  <c r="D185" i="3" s="1"/>
  <c r="D245" i="3" s="1"/>
  <c r="D305" i="3" s="1"/>
  <c r="D365" i="3" s="1"/>
  <c r="D425" i="3" s="1"/>
  <c r="D485" i="3" s="1"/>
  <c r="D545" i="3" s="1"/>
  <c r="B65" i="3"/>
  <c r="B125" i="3" s="1"/>
  <c r="D64" i="3"/>
  <c r="D124" i="3" s="1"/>
  <c r="D184" i="3" s="1"/>
  <c r="D244" i="3" s="1"/>
  <c r="D304" i="3" s="1"/>
  <c r="D364" i="3" s="1"/>
  <c r="D424" i="3" s="1"/>
  <c r="D484" i="3" s="1"/>
  <c r="D544" i="3" s="1"/>
  <c r="B64" i="3"/>
  <c r="B124" i="3" s="1"/>
  <c r="D63" i="3"/>
  <c r="D123" i="3" s="1"/>
  <c r="D183" i="3" s="1"/>
  <c r="D243" i="3" s="1"/>
  <c r="D303" i="3" s="1"/>
  <c r="D363" i="3" s="1"/>
  <c r="B63" i="3"/>
  <c r="C63" i="3" s="1"/>
  <c r="D62" i="3"/>
  <c r="D122" i="3" s="1"/>
  <c r="D182" i="3" s="1"/>
  <c r="D242" i="3" s="1"/>
  <c r="D302" i="3" s="1"/>
  <c r="D362" i="3" s="1"/>
  <c r="D422" i="3" s="1"/>
  <c r="B62" i="3"/>
  <c r="C61" i="3"/>
  <c r="C60" i="3"/>
  <c r="C59" i="3"/>
  <c r="C58" i="3"/>
  <c r="C57" i="3"/>
  <c r="C56" i="3"/>
  <c r="C55" i="3"/>
  <c r="C54" i="3"/>
  <c r="C53" i="3"/>
  <c r="C52" i="3"/>
  <c r="C51" i="3"/>
  <c r="C50" i="3"/>
  <c r="C49" i="3"/>
  <c r="C48" i="3"/>
  <c r="C47" i="3"/>
  <c r="C46" i="3"/>
  <c r="C45" i="3"/>
  <c r="C44" i="3"/>
  <c r="F43" i="3"/>
  <c r="F55" i="3" s="1"/>
  <c r="F67" i="3" s="1"/>
  <c r="F79" i="3" s="1"/>
  <c r="F91" i="3" s="1"/>
  <c r="F103" i="3" s="1"/>
  <c r="F115" i="3" s="1"/>
  <c r="F127" i="3" s="1"/>
  <c r="F139" i="3" s="1"/>
  <c r="F151" i="3" s="1"/>
  <c r="F163" i="3" s="1"/>
  <c r="F175" i="3" s="1"/>
  <c r="F187" i="3" s="1"/>
  <c r="F199" i="3" s="1"/>
  <c r="F211" i="3" s="1"/>
  <c r="F223" i="3" s="1"/>
  <c r="F235" i="3" s="1"/>
  <c r="F247" i="3" s="1"/>
  <c r="F259" i="3" s="1"/>
  <c r="F271" i="3" s="1"/>
  <c r="F283" i="3" s="1"/>
  <c r="F295" i="3" s="1"/>
  <c r="F307" i="3" s="1"/>
  <c r="F319" i="3" s="1"/>
  <c r="F331" i="3" s="1"/>
  <c r="F343" i="3" s="1"/>
  <c r="F355" i="3" s="1"/>
  <c r="F367" i="3" s="1"/>
  <c r="F379" i="3" s="1"/>
  <c r="F391" i="3" s="1"/>
  <c r="F403" i="3" s="1"/>
  <c r="F415" i="3" s="1"/>
  <c r="F427" i="3" s="1"/>
  <c r="F439" i="3" s="1"/>
  <c r="F451" i="3" s="1"/>
  <c r="F463" i="3" s="1"/>
  <c r="F475" i="3" s="1"/>
  <c r="F487" i="3" s="1"/>
  <c r="F499" i="3" s="1"/>
  <c r="F511" i="3" s="1"/>
  <c r="F523" i="3" s="1"/>
  <c r="F535" i="3" s="1"/>
  <c r="F547" i="3" s="1"/>
  <c r="F559" i="3" s="1"/>
  <c r="F571" i="3" s="1"/>
  <c r="F583" i="3" s="1"/>
  <c r="F595" i="3" s="1"/>
  <c r="E43" i="3"/>
  <c r="E55" i="3" s="1"/>
  <c r="E67" i="3" s="1"/>
  <c r="E79" i="3" s="1"/>
  <c r="E91" i="3" s="1"/>
  <c r="E103" i="3" s="1"/>
  <c r="E115" i="3" s="1"/>
  <c r="E127" i="3" s="1"/>
  <c r="E139" i="3" s="1"/>
  <c r="E151" i="3" s="1"/>
  <c r="E163" i="3" s="1"/>
  <c r="E175" i="3" s="1"/>
  <c r="E187" i="3" s="1"/>
  <c r="E199" i="3" s="1"/>
  <c r="E211" i="3" s="1"/>
  <c r="E223" i="3" s="1"/>
  <c r="E235" i="3" s="1"/>
  <c r="E247" i="3" s="1"/>
  <c r="E259" i="3" s="1"/>
  <c r="E271" i="3" s="1"/>
  <c r="E283" i="3" s="1"/>
  <c r="E295" i="3" s="1"/>
  <c r="E307" i="3" s="1"/>
  <c r="E319" i="3" s="1"/>
  <c r="E331" i="3" s="1"/>
  <c r="E343" i="3" s="1"/>
  <c r="E355" i="3" s="1"/>
  <c r="E367" i="3" s="1"/>
  <c r="E379" i="3" s="1"/>
  <c r="E391" i="3" s="1"/>
  <c r="E403" i="3" s="1"/>
  <c r="E415" i="3" s="1"/>
  <c r="E427" i="3" s="1"/>
  <c r="E439" i="3" s="1"/>
  <c r="E451" i="3" s="1"/>
  <c r="E463" i="3" s="1"/>
  <c r="E475" i="3" s="1"/>
  <c r="E487" i="3" s="1"/>
  <c r="E499" i="3" s="1"/>
  <c r="E511" i="3" s="1"/>
  <c r="E523" i="3" s="1"/>
  <c r="E535" i="3" s="1"/>
  <c r="E547" i="3" s="1"/>
  <c r="E559" i="3" s="1"/>
  <c r="E571" i="3" s="1"/>
  <c r="E583" i="3" s="1"/>
  <c r="E595" i="3" s="1"/>
  <c r="C43" i="3"/>
  <c r="C42" i="3"/>
  <c r="C41" i="3"/>
  <c r="C40" i="3"/>
  <c r="C39" i="3"/>
  <c r="C38" i="3"/>
  <c r="C37" i="3"/>
  <c r="E36" i="3"/>
  <c r="E48" i="3" s="1"/>
  <c r="E60" i="3" s="1"/>
  <c r="E72" i="3" s="1"/>
  <c r="E84" i="3" s="1"/>
  <c r="E96" i="3" s="1"/>
  <c r="E108" i="3" s="1"/>
  <c r="E120" i="3" s="1"/>
  <c r="E132" i="3" s="1"/>
  <c r="E144" i="3" s="1"/>
  <c r="E156" i="3" s="1"/>
  <c r="E168" i="3" s="1"/>
  <c r="E180" i="3" s="1"/>
  <c r="E192" i="3" s="1"/>
  <c r="E204" i="3" s="1"/>
  <c r="E216" i="3" s="1"/>
  <c r="E228" i="3" s="1"/>
  <c r="E240" i="3" s="1"/>
  <c r="E252" i="3" s="1"/>
  <c r="E264" i="3" s="1"/>
  <c r="E276" i="3" s="1"/>
  <c r="E288" i="3" s="1"/>
  <c r="E300" i="3" s="1"/>
  <c r="E312" i="3" s="1"/>
  <c r="E324" i="3" s="1"/>
  <c r="E336" i="3" s="1"/>
  <c r="E348" i="3" s="1"/>
  <c r="E360" i="3" s="1"/>
  <c r="E372" i="3" s="1"/>
  <c r="E384" i="3" s="1"/>
  <c r="E396" i="3" s="1"/>
  <c r="E408" i="3" s="1"/>
  <c r="E420" i="3" s="1"/>
  <c r="E432" i="3" s="1"/>
  <c r="E444" i="3" s="1"/>
  <c r="E456" i="3" s="1"/>
  <c r="E468" i="3" s="1"/>
  <c r="E480" i="3" s="1"/>
  <c r="E492" i="3" s="1"/>
  <c r="E504" i="3" s="1"/>
  <c r="E516" i="3" s="1"/>
  <c r="E528" i="3" s="1"/>
  <c r="E540" i="3" s="1"/>
  <c r="E552" i="3" s="1"/>
  <c r="E564" i="3" s="1"/>
  <c r="E576" i="3" s="1"/>
  <c r="E588" i="3" s="1"/>
  <c r="E600" i="3" s="1"/>
  <c r="C36" i="3"/>
  <c r="C35" i="3"/>
  <c r="C34" i="3"/>
  <c r="C33" i="3"/>
  <c r="F32" i="3"/>
  <c r="F44" i="3" s="1"/>
  <c r="F56" i="3" s="1"/>
  <c r="F68" i="3" s="1"/>
  <c r="F80" i="3" s="1"/>
  <c r="F92" i="3" s="1"/>
  <c r="F104" i="3" s="1"/>
  <c r="F116" i="3" s="1"/>
  <c r="F128" i="3" s="1"/>
  <c r="F140" i="3" s="1"/>
  <c r="F152" i="3" s="1"/>
  <c r="F164" i="3" s="1"/>
  <c r="F176" i="3" s="1"/>
  <c r="F188" i="3" s="1"/>
  <c r="F200" i="3" s="1"/>
  <c r="F212" i="3" s="1"/>
  <c r="F224" i="3" s="1"/>
  <c r="F236" i="3" s="1"/>
  <c r="F248" i="3" s="1"/>
  <c r="F260" i="3" s="1"/>
  <c r="F272" i="3" s="1"/>
  <c r="F284" i="3" s="1"/>
  <c r="F296" i="3" s="1"/>
  <c r="F308" i="3" s="1"/>
  <c r="F320" i="3" s="1"/>
  <c r="F332" i="3" s="1"/>
  <c r="F344" i="3" s="1"/>
  <c r="F356" i="3" s="1"/>
  <c r="F368" i="3" s="1"/>
  <c r="F380" i="3" s="1"/>
  <c r="F392" i="3" s="1"/>
  <c r="F404" i="3" s="1"/>
  <c r="F416" i="3" s="1"/>
  <c r="F428" i="3" s="1"/>
  <c r="F440" i="3" s="1"/>
  <c r="F452" i="3" s="1"/>
  <c r="F464" i="3" s="1"/>
  <c r="F476" i="3" s="1"/>
  <c r="F488" i="3" s="1"/>
  <c r="F500" i="3" s="1"/>
  <c r="F512" i="3" s="1"/>
  <c r="F524" i="3" s="1"/>
  <c r="F536" i="3" s="1"/>
  <c r="F548" i="3" s="1"/>
  <c r="F560" i="3" s="1"/>
  <c r="F572" i="3" s="1"/>
  <c r="F584" i="3" s="1"/>
  <c r="F596" i="3" s="1"/>
  <c r="C32" i="3"/>
  <c r="C31" i="3"/>
  <c r="C30" i="3"/>
  <c r="C29" i="3"/>
  <c r="C28" i="3"/>
  <c r="F27" i="3"/>
  <c r="F39" i="3" s="1"/>
  <c r="F51" i="3" s="1"/>
  <c r="F63" i="3" s="1"/>
  <c r="F75" i="3" s="1"/>
  <c r="F87" i="3" s="1"/>
  <c r="F99" i="3" s="1"/>
  <c r="F111" i="3" s="1"/>
  <c r="F123" i="3" s="1"/>
  <c r="F135" i="3" s="1"/>
  <c r="F147" i="3" s="1"/>
  <c r="F159" i="3" s="1"/>
  <c r="F171" i="3" s="1"/>
  <c r="F183" i="3" s="1"/>
  <c r="F195" i="3" s="1"/>
  <c r="F207" i="3" s="1"/>
  <c r="F219" i="3" s="1"/>
  <c r="F231" i="3" s="1"/>
  <c r="F243" i="3" s="1"/>
  <c r="F255" i="3" s="1"/>
  <c r="F267" i="3" s="1"/>
  <c r="F279" i="3" s="1"/>
  <c r="F291" i="3" s="1"/>
  <c r="F303" i="3" s="1"/>
  <c r="F315" i="3" s="1"/>
  <c r="F327" i="3" s="1"/>
  <c r="F339" i="3" s="1"/>
  <c r="F351" i="3" s="1"/>
  <c r="F363" i="3" s="1"/>
  <c r="F375" i="3" s="1"/>
  <c r="F387" i="3" s="1"/>
  <c r="F399" i="3" s="1"/>
  <c r="F411" i="3" s="1"/>
  <c r="F423" i="3" s="1"/>
  <c r="F435" i="3" s="1"/>
  <c r="F447" i="3" s="1"/>
  <c r="F459" i="3" s="1"/>
  <c r="F471" i="3" s="1"/>
  <c r="F483" i="3" s="1"/>
  <c r="F495" i="3" s="1"/>
  <c r="F507" i="3" s="1"/>
  <c r="F519" i="3" s="1"/>
  <c r="F531" i="3" s="1"/>
  <c r="F543" i="3" s="1"/>
  <c r="F555" i="3" s="1"/>
  <c r="F567" i="3" s="1"/>
  <c r="F579" i="3" s="1"/>
  <c r="F591" i="3" s="1"/>
  <c r="E27" i="3"/>
  <c r="E39" i="3" s="1"/>
  <c r="E51" i="3" s="1"/>
  <c r="E63" i="3" s="1"/>
  <c r="E75" i="3" s="1"/>
  <c r="E87" i="3" s="1"/>
  <c r="E99" i="3" s="1"/>
  <c r="E111" i="3" s="1"/>
  <c r="E123" i="3" s="1"/>
  <c r="E135" i="3" s="1"/>
  <c r="E147" i="3" s="1"/>
  <c r="E159" i="3" s="1"/>
  <c r="E171" i="3" s="1"/>
  <c r="E183" i="3" s="1"/>
  <c r="E195" i="3" s="1"/>
  <c r="E207" i="3" s="1"/>
  <c r="E219" i="3" s="1"/>
  <c r="E231" i="3" s="1"/>
  <c r="E243" i="3" s="1"/>
  <c r="E255" i="3" s="1"/>
  <c r="E267" i="3" s="1"/>
  <c r="E279" i="3" s="1"/>
  <c r="E291" i="3" s="1"/>
  <c r="E303" i="3" s="1"/>
  <c r="E315" i="3" s="1"/>
  <c r="E327" i="3" s="1"/>
  <c r="E339" i="3" s="1"/>
  <c r="E351" i="3" s="1"/>
  <c r="E363" i="3" s="1"/>
  <c r="E375" i="3" s="1"/>
  <c r="E387" i="3" s="1"/>
  <c r="E399" i="3" s="1"/>
  <c r="E411" i="3" s="1"/>
  <c r="E423" i="3" s="1"/>
  <c r="E435" i="3" s="1"/>
  <c r="E447" i="3" s="1"/>
  <c r="E459" i="3" s="1"/>
  <c r="E471" i="3" s="1"/>
  <c r="E483" i="3" s="1"/>
  <c r="E495" i="3" s="1"/>
  <c r="E507" i="3" s="1"/>
  <c r="E519" i="3" s="1"/>
  <c r="E531" i="3" s="1"/>
  <c r="E543" i="3" s="1"/>
  <c r="E555" i="3" s="1"/>
  <c r="E567" i="3" s="1"/>
  <c r="E579" i="3" s="1"/>
  <c r="E591" i="3" s="1"/>
  <c r="C27" i="3"/>
  <c r="C26" i="3"/>
  <c r="F25" i="3"/>
  <c r="F37" i="3" s="1"/>
  <c r="F49" i="3" s="1"/>
  <c r="F61" i="3" s="1"/>
  <c r="F73" i="3" s="1"/>
  <c r="F85" i="3" s="1"/>
  <c r="F97" i="3" s="1"/>
  <c r="F109" i="3" s="1"/>
  <c r="F121" i="3" s="1"/>
  <c r="F133" i="3" s="1"/>
  <c r="F145" i="3" s="1"/>
  <c r="F157" i="3" s="1"/>
  <c r="F169" i="3" s="1"/>
  <c r="F181" i="3" s="1"/>
  <c r="F193" i="3" s="1"/>
  <c r="F205" i="3" s="1"/>
  <c r="F217" i="3" s="1"/>
  <c r="F229" i="3" s="1"/>
  <c r="F241" i="3" s="1"/>
  <c r="F253" i="3" s="1"/>
  <c r="F265" i="3" s="1"/>
  <c r="F277" i="3" s="1"/>
  <c r="F289" i="3" s="1"/>
  <c r="F301" i="3" s="1"/>
  <c r="F313" i="3" s="1"/>
  <c r="F325" i="3" s="1"/>
  <c r="F337" i="3" s="1"/>
  <c r="F349" i="3" s="1"/>
  <c r="F361" i="3" s="1"/>
  <c r="F373" i="3" s="1"/>
  <c r="F385" i="3" s="1"/>
  <c r="F397" i="3" s="1"/>
  <c r="F409" i="3" s="1"/>
  <c r="F421" i="3" s="1"/>
  <c r="F433" i="3" s="1"/>
  <c r="F445" i="3" s="1"/>
  <c r="F457" i="3" s="1"/>
  <c r="F469" i="3" s="1"/>
  <c r="F481" i="3" s="1"/>
  <c r="F493" i="3" s="1"/>
  <c r="F505" i="3" s="1"/>
  <c r="F517" i="3" s="1"/>
  <c r="F529" i="3" s="1"/>
  <c r="F541" i="3" s="1"/>
  <c r="F553" i="3" s="1"/>
  <c r="F565" i="3" s="1"/>
  <c r="F577" i="3" s="1"/>
  <c r="F589" i="3" s="1"/>
  <c r="F601" i="3" s="1"/>
  <c r="E25" i="3"/>
  <c r="E37" i="3" s="1"/>
  <c r="E49" i="3" s="1"/>
  <c r="E61" i="3" s="1"/>
  <c r="E73" i="3" s="1"/>
  <c r="E85" i="3" s="1"/>
  <c r="E97" i="3" s="1"/>
  <c r="E109" i="3" s="1"/>
  <c r="E121" i="3" s="1"/>
  <c r="E133" i="3" s="1"/>
  <c r="E145" i="3" s="1"/>
  <c r="E157" i="3" s="1"/>
  <c r="E169" i="3" s="1"/>
  <c r="E181" i="3" s="1"/>
  <c r="E193" i="3" s="1"/>
  <c r="E205" i="3" s="1"/>
  <c r="E217" i="3" s="1"/>
  <c r="E229" i="3" s="1"/>
  <c r="E241" i="3" s="1"/>
  <c r="E253" i="3" s="1"/>
  <c r="E265" i="3" s="1"/>
  <c r="E277" i="3" s="1"/>
  <c r="E289" i="3" s="1"/>
  <c r="E301" i="3" s="1"/>
  <c r="E313" i="3" s="1"/>
  <c r="E325" i="3" s="1"/>
  <c r="E337" i="3" s="1"/>
  <c r="E349" i="3" s="1"/>
  <c r="E361" i="3" s="1"/>
  <c r="E373" i="3" s="1"/>
  <c r="E385" i="3" s="1"/>
  <c r="E397" i="3" s="1"/>
  <c r="E409" i="3" s="1"/>
  <c r="E421" i="3" s="1"/>
  <c r="E433" i="3" s="1"/>
  <c r="E445" i="3" s="1"/>
  <c r="E457" i="3" s="1"/>
  <c r="E469" i="3" s="1"/>
  <c r="E481" i="3" s="1"/>
  <c r="E493" i="3" s="1"/>
  <c r="E505" i="3" s="1"/>
  <c r="E517" i="3" s="1"/>
  <c r="E529" i="3" s="1"/>
  <c r="E541" i="3" s="1"/>
  <c r="E553" i="3" s="1"/>
  <c r="E565" i="3" s="1"/>
  <c r="E577" i="3" s="1"/>
  <c r="E589" i="3" s="1"/>
  <c r="E601" i="3" s="1"/>
  <c r="C25" i="3"/>
  <c r="F24" i="3"/>
  <c r="F36" i="3" s="1"/>
  <c r="F48" i="3" s="1"/>
  <c r="F60" i="3" s="1"/>
  <c r="F72" i="3" s="1"/>
  <c r="F84" i="3" s="1"/>
  <c r="F96" i="3" s="1"/>
  <c r="F108" i="3" s="1"/>
  <c r="F120" i="3" s="1"/>
  <c r="F132" i="3" s="1"/>
  <c r="F144" i="3" s="1"/>
  <c r="F156" i="3" s="1"/>
  <c r="F168" i="3" s="1"/>
  <c r="F180" i="3" s="1"/>
  <c r="F192" i="3" s="1"/>
  <c r="F204" i="3" s="1"/>
  <c r="F216" i="3" s="1"/>
  <c r="F228" i="3" s="1"/>
  <c r="F240" i="3" s="1"/>
  <c r="F252" i="3" s="1"/>
  <c r="F264" i="3" s="1"/>
  <c r="F276" i="3" s="1"/>
  <c r="F288" i="3" s="1"/>
  <c r="F300" i="3" s="1"/>
  <c r="F312" i="3" s="1"/>
  <c r="F324" i="3" s="1"/>
  <c r="F336" i="3" s="1"/>
  <c r="F348" i="3" s="1"/>
  <c r="F360" i="3" s="1"/>
  <c r="F372" i="3" s="1"/>
  <c r="F384" i="3" s="1"/>
  <c r="F396" i="3" s="1"/>
  <c r="F408" i="3" s="1"/>
  <c r="F420" i="3" s="1"/>
  <c r="F432" i="3" s="1"/>
  <c r="F444" i="3" s="1"/>
  <c r="F456" i="3" s="1"/>
  <c r="F468" i="3" s="1"/>
  <c r="F480" i="3" s="1"/>
  <c r="F492" i="3" s="1"/>
  <c r="F504" i="3" s="1"/>
  <c r="F516" i="3" s="1"/>
  <c r="F528" i="3" s="1"/>
  <c r="F540" i="3" s="1"/>
  <c r="F552" i="3" s="1"/>
  <c r="F564" i="3" s="1"/>
  <c r="F576" i="3" s="1"/>
  <c r="F588" i="3" s="1"/>
  <c r="F600" i="3" s="1"/>
  <c r="E24" i="3"/>
  <c r="C24" i="3"/>
  <c r="F23" i="3"/>
  <c r="F35" i="3" s="1"/>
  <c r="F47" i="3" s="1"/>
  <c r="F59" i="3" s="1"/>
  <c r="F71" i="3" s="1"/>
  <c r="F83" i="3" s="1"/>
  <c r="F95" i="3" s="1"/>
  <c r="F107" i="3" s="1"/>
  <c r="F119" i="3" s="1"/>
  <c r="F131" i="3" s="1"/>
  <c r="F143" i="3" s="1"/>
  <c r="F155" i="3" s="1"/>
  <c r="F167" i="3" s="1"/>
  <c r="F179" i="3" s="1"/>
  <c r="F191" i="3" s="1"/>
  <c r="F203" i="3" s="1"/>
  <c r="F215" i="3" s="1"/>
  <c r="F227" i="3" s="1"/>
  <c r="F239" i="3" s="1"/>
  <c r="F251" i="3" s="1"/>
  <c r="F263" i="3" s="1"/>
  <c r="F275" i="3" s="1"/>
  <c r="F287" i="3" s="1"/>
  <c r="F299" i="3" s="1"/>
  <c r="F311" i="3" s="1"/>
  <c r="F323" i="3" s="1"/>
  <c r="F335" i="3" s="1"/>
  <c r="F347" i="3" s="1"/>
  <c r="F359" i="3" s="1"/>
  <c r="F371" i="3" s="1"/>
  <c r="F383" i="3" s="1"/>
  <c r="F395" i="3" s="1"/>
  <c r="F407" i="3" s="1"/>
  <c r="F419" i="3" s="1"/>
  <c r="F431" i="3" s="1"/>
  <c r="F443" i="3" s="1"/>
  <c r="F455" i="3" s="1"/>
  <c r="F467" i="3" s="1"/>
  <c r="F479" i="3" s="1"/>
  <c r="F491" i="3" s="1"/>
  <c r="F503" i="3" s="1"/>
  <c r="F515" i="3" s="1"/>
  <c r="F527" i="3" s="1"/>
  <c r="F539" i="3" s="1"/>
  <c r="F551" i="3" s="1"/>
  <c r="F563" i="3" s="1"/>
  <c r="F575" i="3" s="1"/>
  <c r="F587" i="3" s="1"/>
  <c r="F599" i="3" s="1"/>
  <c r="E23" i="3"/>
  <c r="E35" i="3" s="1"/>
  <c r="E47" i="3" s="1"/>
  <c r="E59" i="3" s="1"/>
  <c r="E71" i="3" s="1"/>
  <c r="E83" i="3" s="1"/>
  <c r="E95" i="3" s="1"/>
  <c r="E107" i="3" s="1"/>
  <c r="E119" i="3" s="1"/>
  <c r="E131" i="3" s="1"/>
  <c r="E143" i="3" s="1"/>
  <c r="E155" i="3" s="1"/>
  <c r="E167" i="3" s="1"/>
  <c r="E179" i="3" s="1"/>
  <c r="E191" i="3" s="1"/>
  <c r="E203" i="3" s="1"/>
  <c r="E215" i="3" s="1"/>
  <c r="E227" i="3" s="1"/>
  <c r="E239" i="3" s="1"/>
  <c r="E251" i="3" s="1"/>
  <c r="E263" i="3" s="1"/>
  <c r="E275" i="3" s="1"/>
  <c r="E287" i="3" s="1"/>
  <c r="E299" i="3" s="1"/>
  <c r="E311" i="3" s="1"/>
  <c r="E323" i="3" s="1"/>
  <c r="E335" i="3" s="1"/>
  <c r="E347" i="3" s="1"/>
  <c r="E359" i="3" s="1"/>
  <c r="E371" i="3" s="1"/>
  <c r="E383" i="3" s="1"/>
  <c r="E395" i="3" s="1"/>
  <c r="E407" i="3" s="1"/>
  <c r="E419" i="3" s="1"/>
  <c r="E431" i="3" s="1"/>
  <c r="E443" i="3" s="1"/>
  <c r="E455" i="3" s="1"/>
  <c r="E467" i="3" s="1"/>
  <c r="E479" i="3" s="1"/>
  <c r="E491" i="3" s="1"/>
  <c r="E503" i="3" s="1"/>
  <c r="E515" i="3" s="1"/>
  <c r="E527" i="3" s="1"/>
  <c r="E539" i="3" s="1"/>
  <c r="E551" i="3" s="1"/>
  <c r="E563" i="3" s="1"/>
  <c r="E575" i="3" s="1"/>
  <c r="E587" i="3" s="1"/>
  <c r="E599" i="3" s="1"/>
  <c r="C23" i="3"/>
  <c r="F22" i="3"/>
  <c r="F34" i="3" s="1"/>
  <c r="F46" i="3" s="1"/>
  <c r="F58" i="3" s="1"/>
  <c r="F70" i="3" s="1"/>
  <c r="F82" i="3" s="1"/>
  <c r="F94" i="3" s="1"/>
  <c r="F106" i="3" s="1"/>
  <c r="F118" i="3" s="1"/>
  <c r="F130" i="3" s="1"/>
  <c r="F142" i="3" s="1"/>
  <c r="F154" i="3" s="1"/>
  <c r="F166" i="3" s="1"/>
  <c r="F178" i="3" s="1"/>
  <c r="F190" i="3" s="1"/>
  <c r="F202" i="3" s="1"/>
  <c r="F214" i="3" s="1"/>
  <c r="F226" i="3" s="1"/>
  <c r="F238" i="3" s="1"/>
  <c r="F250" i="3" s="1"/>
  <c r="F262" i="3" s="1"/>
  <c r="F274" i="3" s="1"/>
  <c r="F286" i="3" s="1"/>
  <c r="F298" i="3" s="1"/>
  <c r="F310" i="3" s="1"/>
  <c r="F322" i="3" s="1"/>
  <c r="F334" i="3" s="1"/>
  <c r="F346" i="3" s="1"/>
  <c r="F358" i="3" s="1"/>
  <c r="F370" i="3" s="1"/>
  <c r="F382" i="3" s="1"/>
  <c r="F394" i="3" s="1"/>
  <c r="F406" i="3" s="1"/>
  <c r="F418" i="3" s="1"/>
  <c r="F430" i="3" s="1"/>
  <c r="F442" i="3" s="1"/>
  <c r="F454" i="3" s="1"/>
  <c r="F466" i="3" s="1"/>
  <c r="F478" i="3" s="1"/>
  <c r="F490" i="3" s="1"/>
  <c r="F502" i="3" s="1"/>
  <c r="F514" i="3" s="1"/>
  <c r="F526" i="3" s="1"/>
  <c r="F538" i="3" s="1"/>
  <c r="F550" i="3" s="1"/>
  <c r="F562" i="3" s="1"/>
  <c r="F574" i="3" s="1"/>
  <c r="F586" i="3" s="1"/>
  <c r="F598" i="3" s="1"/>
  <c r="E22" i="3"/>
  <c r="E34" i="3" s="1"/>
  <c r="E46" i="3" s="1"/>
  <c r="E58" i="3" s="1"/>
  <c r="E70" i="3" s="1"/>
  <c r="E82" i="3" s="1"/>
  <c r="E94" i="3" s="1"/>
  <c r="E106" i="3" s="1"/>
  <c r="E118" i="3" s="1"/>
  <c r="E130" i="3" s="1"/>
  <c r="E142" i="3" s="1"/>
  <c r="E154" i="3" s="1"/>
  <c r="E166" i="3" s="1"/>
  <c r="E178" i="3" s="1"/>
  <c r="E190" i="3" s="1"/>
  <c r="E202" i="3" s="1"/>
  <c r="E214" i="3" s="1"/>
  <c r="E226" i="3" s="1"/>
  <c r="E238" i="3" s="1"/>
  <c r="E250" i="3" s="1"/>
  <c r="E262" i="3" s="1"/>
  <c r="E274" i="3" s="1"/>
  <c r="E286" i="3" s="1"/>
  <c r="E298" i="3" s="1"/>
  <c r="E310" i="3" s="1"/>
  <c r="E322" i="3" s="1"/>
  <c r="E334" i="3" s="1"/>
  <c r="E346" i="3" s="1"/>
  <c r="E358" i="3" s="1"/>
  <c r="E370" i="3" s="1"/>
  <c r="E382" i="3" s="1"/>
  <c r="E394" i="3" s="1"/>
  <c r="E406" i="3" s="1"/>
  <c r="E418" i="3" s="1"/>
  <c r="E430" i="3" s="1"/>
  <c r="E442" i="3" s="1"/>
  <c r="E454" i="3" s="1"/>
  <c r="E466" i="3" s="1"/>
  <c r="E478" i="3" s="1"/>
  <c r="E490" i="3" s="1"/>
  <c r="E502" i="3" s="1"/>
  <c r="E514" i="3" s="1"/>
  <c r="E526" i="3" s="1"/>
  <c r="E538" i="3" s="1"/>
  <c r="E550" i="3" s="1"/>
  <c r="E562" i="3" s="1"/>
  <c r="E574" i="3" s="1"/>
  <c r="E586" i="3" s="1"/>
  <c r="E598" i="3" s="1"/>
  <c r="C22" i="3"/>
  <c r="F21" i="3"/>
  <c r="F33" i="3" s="1"/>
  <c r="F45" i="3" s="1"/>
  <c r="F57" i="3" s="1"/>
  <c r="F69" i="3" s="1"/>
  <c r="F81" i="3" s="1"/>
  <c r="F93" i="3" s="1"/>
  <c r="F105" i="3" s="1"/>
  <c r="F117" i="3" s="1"/>
  <c r="F129" i="3" s="1"/>
  <c r="F141" i="3" s="1"/>
  <c r="F153" i="3" s="1"/>
  <c r="F165" i="3" s="1"/>
  <c r="F177" i="3" s="1"/>
  <c r="F189" i="3" s="1"/>
  <c r="F201" i="3" s="1"/>
  <c r="F213" i="3" s="1"/>
  <c r="F225" i="3" s="1"/>
  <c r="F237" i="3" s="1"/>
  <c r="F249" i="3" s="1"/>
  <c r="F261" i="3" s="1"/>
  <c r="F273" i="3" s="1"/>
  <c r="F285" i="3" s="1"/>
  <c r="F297" i="3" s="1"/>
  <c r="F309" i="3" s="1"/>
  <c r="F321" i="3" s="1"/>
  <c r="F333" i="3" s="1"/>
  <c r="F345" i="3" s="1"/>
  <c r="F357" i="3" s="1"/>
  <c r="F369" i="3" s="1"/>
  <c r="F381" i="3" s="1"/>
  <c r="F393" i="3" s="1"/>
  <c r="F405" i="3" s="1"/>
  <c r="F417" i="3" s="1"/>
  <c r="F429" i="3" s="1"/>
  <c r="F441" i="3" s="1"/>
  <c r="F453" i="3" s="1"/>
  <c r="F465" i="3" s="1"/>
  <c r="F477" i="3" s="1"/>
  <c r="F489" i="3" s="1"/>
  <c r="F501" i="3" s="1"/>
  <c r="F513" i="3" s="1"/>
  <c r="F525" i="3" s="1"/>
  <c r="F537" i="3" s="1"/>
  <c r="F549" i="3" s="1"/>
  <c r="F561" i="3" s="1"/>
  <c r="F573" i="3" s="1"/>
  <c r="F585" i="3" s="1"/>
  <c r="F597" i="3" s="1"/>
  <c r="E21" i="3"/>
  <c r="E33" i="3" s="1"/>
  <c r="E45" i="3" s="1"/>
  <c r="E57" i="3" s="1"/>
  <c r="E69" i="3" s="1"/>
  <c r="E81" i="3" s="1"/>
  <c r="E93" i="3" s="1"/>
  <c r="E105" i="3" s="1"/>
  <c r="E117" i="3" s="1"/>
  <c r="E129" i="3" s="1"/>
  <c r="E141" i="3" s="1"/>
  <c r="E153" i="3" s="1"/>
  <c r="E165" i="3" s="1"/>
  <c r="E177" i="3" s="1"/>
  <c r="E189" i="3" s="1"/>
  <c r="E201" i="3" s="1"/>
  <c r="E213" i="3" s="1"/>
  <c r="E225" i="3" s="1"/>
  <c r="E237" i="3" s="1"/>
  <c r="E249" i="3" s="1"/>
  <c r="E261" i="3" s="1"/>
  <c r="E273" i="3" s="1"/>
  <c r="E285" i="3" s="1"/>
  <c r="E297" i="3" s="1"/>
  <c r="E309" i="3" s="1"/>
  <c r="E321" i="3" s="1"/>
  <c r="E333" i="3" s="1"/>
  <c r="E345" i="3" s="1"/>
  <c r="E357" i="3" s="1"/>
  <c r="E369" i="3" s="1"/>
  <c r="E381" i="3" s="1"/>
  <c r="E393" i="3" s="1"/>
  <c r="E405" i="3" s="1"/>
  <c r="E417" i="3" s="1"/>
  <c r="E429" i="3" s="1"/>
  <c r="E441" i="3" s="1"/>
  <c r="E453" i="3" s="1"/>
  <c r="E465" i="3" s="1"/>
  <c r="E477" i="3" s="1"/>
  <c r="E489" i="3" s="1"/>
  <c r="E501" i="3" s="1"/>
  <c r="E513" i="3" s="1"/>
  <c r="E525" i="3" s="1"/>
  <c r="E537" i="3" s="1"/>
  <c r="E549" i="3" s="1"/>
  <c r="E561" i="3" s="1"/>
  <c r="E573" i="3" s="1"/>
  <c r="E585" i="3" s="1"/>
  <c r="E597" i="3" s="1"/>
  <c r="C21" i="3"/>
  <c r="F20" i="3"/>
  <c r="E20" i="3"/>
  <c r="E32" i="3" s="1"/>
  <c r="E44" i="3" s="1"/>
  <c r="E56" i="3" s="1"/>
  <c r="E68" i="3" s="1"/>
  <c r="E80" i="3" s="1"/>
  <c r="E92" i="3" s="1"/>
  <c r="E104" i="3" s="1"/>
  <c r="E116" i="3" s="1"/>
  <c r="E128" i="3" s="1"/>
  <c r="E140" i="3" s="1"/>
  <c r="E152" i="3" s="1"/>
  <c r="E164" i="3" s="1"/>
  <c r="E176" i="3" s="1"/>
  <c r="E188" i="3" s="1"/>
  <c r="E200" i="3" s="1"/>
  <c r="E212" i="3" s="1"/>
  <c r="E224" i="3" s="1"/>
  <c r="E236" i="3" s="1"/>
  <c r="E248" i="3" s="1"/>
  <c r="E260" i="3" s="1"/>
  <c r="E272" i="3" s="1"/>
  <c r="E284" i="3" s="1"/>
  <c r="E296" i="3" s="1"/>
  <c r="E308" i="3" s="1"/>
  <c r="E320" i="3" s="1"/>
  <c r="E332" i="3" s="1"/>
  <c r="E344" i="3" s="1"/>
  <c r="E356" i="3" s="1"/>
  <c r="E368" i="3" s="1"/>
  <c r="E380" i="3" s="1"/>
  <c r="E392" i="3" s="1"/>
  <c r="E404" i="3" s="1"/>
  <c r="E416" i="3" s="1"/>
  <c r="E428" i="3" s="1"/>
  <c r="E440" i="3" s="1"/>
  <c r="E452" i="3" s="1"/>
  <c r="E464" i="3" s="1"/>
  <c r="E476" i="3" s="1"/>
  <c r="E488" i="3" s="1"/>
  <c r="E500" i="3" s="1"/>
  <c r="E512" i="3" s="1"/>
  <c r="E524" i="3" s="1"/>
  <c r="E536" i="3" s="1"/>
  <c r="E548" i="3" s="1"/>
  <c r="E560" i="3" s="1"/>
  <c r="E572" i="3" s="1"/>
  <c r="E584" i="3" s="1"/>
  <c r="E596" i="3" s="1"/>
  <c r="C20" i="3"/>
  <c r="F19" i="3"/>
  <c r="F31" i="3" s="1"/>
  <c r="E19" i="3"/>
  <c r="E31" i="3" s="1"/>
  <c r="C19" i="3"/>
  <c r="F18" i="3"/>
  <c r="F30" i="3" s="1"/>
  <c r="F42" i="3" s="1"/>
  <c r="F54" i="3" s="1"/>
  <c r="F66" i="3" s="1"/>
  <c r="F78" i="3" s="1"/>
  <c r="F90" i="3" s="1"/>
  <c r="F102" i="3" s="1"/>
  <c r="F114" i="3" s="1"/>
  <c r="F126" i="3" s="1"/>
  <c r="F138" i="3" s="1"/>
  <c r="F150" i="3" s="1"/>
  <c r="F162" i="3" s="1"/>
  <c r="F174" i="3" s="1"/>
  <c r="F186" i="3" s="1"/>
  <c r="F198" i="3" s="1"/>
  <c r="F210" i="3" s="1"/>
  <c r="F222" i="3" s="1"/>
  <c r="F234" i="3" s="1"/>
  <c r="F246" i="3" s="1"/>
  <c r="F258" i="3" s="1"/>
  <c r="F270" i="3" s="1"/>
  <c r="F282" i="3" s="1"/>
  <c r="F294" i="3" s="1"/>
  <c r="F306" i="3" s="1"/>
  <c r="F318" i="3" s="1"/>
  <c r="F330" i="3" s="1"/>
  <c r="F342" i="3" s="1"/>
  <c r="F354" i="3" s="1"/>
  <c r="F366" i="3" s="1"/>
  <c r="F378" i="3" s="1"/>
  <c r="F390" i="3" s="1"/>
  <c r="F402" i="3" s="1"/>
  <c r="F414" i="3" s="1"/>
  <c r="F426" i="3" s="1"/>
  <c r="F438" i="3" s="1"/>
  <c r="F450" i="3" s="1"/>
  <c r="F462" i="3" s="1"/>
  <c r="F474" i="3" s="1"/>
  <c r="F486" i="3" s="1"/>
  <c r="F498" i="3" s="1"/>
  <c r="F510" i="3" s="1"/>
  <c r="F522" i="3" s="1"/>
  <c r="F534" i="3" s="1"/>
  <c r="F546" i="3" s="1"/>
  <c r="F558" i="3" s="1"/>
  <c r="F570" i="3" s="1"/>
  <c r="F582" i="3" s="1"/>
  <c r="F594" i="3" s="1"/>
  <c r="E18" i="3"/>
  <c r="E30" i="3" s="1"/>
  <c r="E42" i="3" s="1"/>
  <c r="E54" i="3" s="1"/>
  <c r="E66" i="3" s="1"/>
  <c r="E78" i="3" s="1"/>
  <c r="E90" i="3" s="1"/>
  <c r="E102" i="3" s="1"/>
  <c r="E114" i="3" s="1"/>
  <c r="E126" i="3" s="1"/>
  <c r="E138" i="3" s="1"/>
  <c r="E150" i="3" s="1"/>
  <c r="E162" i="3" s="1"/>
  <c r="E174" i="3" s="1"/>
  <c r="E186" i="3" s="1"/>
  <c r="E198" i="3" s="1"/>
  <c r="E210" i="3" s="1"/>
  <c r="E222" i="3" s="1"/>
  <c r="E234" i="3" s="1"/>
  <c r="E246" i="3" s="1"/>
  <c r="E258" i="3" s="1"/>
  <c r="E270" i="3" s="1"/>
  <c r="E282" i="3" s="1"/>
  <c r="E294" i="3" s="1"/>
  <c r="E306" i="3" s="1"/>
  <c r="E318" i="3" s="1"/>
  <c r="E330" i="3" s="1"/>
  <c r="E342" i="3" s="1"/>
  <c r="E354" i="3" s="1"/>
  <c r="E366" i="3" s="1"/>
  <c r="E378" i="3" s="1"/>
  <c r="E390" i="3" s="1"/>
  <c r="E402" i="3" s="1"/>
  <c r="E414" i="3" s="1"/>
  <c r="E426" i="3" s="1"/>
  <c r="E438" i="3" s="1"/>
  <c r="E450" i="3" s="1"/>
  <c r="E462" i="3" s="1"/>
  <c r="E474" i="3" s="1"/>
  <c r="E486" i="3" s="1"/>
  <c r="E498" i="3" s="1"/>
  <c r="E510" i="3" s="1"/>
  <c r="E522" i="3" s="1"/>
  <c r="E534" i="3" s="1"/>
  <c r="E546" i="3" s="1"/>
  <c r="E558" i="3" s="1"/>
  <c r="E570" i="3" s="1"/>
  <c r="E582" i="3" s="1"/>
  <c r="E594" i="3" s="1"/>
  <c r="C18" i="3"/>
  <c r="F17" i="3"/>
  <c r="F29" i="3" s="1"/>
  <c r="F41" i="3" s="1"/>
  <c r="F53" i="3" s="1"/>
  <c r="F65" i="3" s="1"/>
  <c r="F77" i="3" s="1"/>
  <c r="F89" i="3" s="1"/>
  <c r="F101" i="3" s="1"/>
  <c r="F113" i="3" s="1"/>
  <c r="F125" i="3" s="1"/>
  <c r="F137" i="3" s="1"/>
  <c r="F149" i="3" s="1"/>
  <c r="F161" i="3" s="1"/>
  <c r="F173" i="3" s="1"/>
  <c r="F185" i="3" s="1"/>
  <c r="F197" i="3" s="1"/>
  <c r="F209" i="3" s="1"/>
  <c r="F221" i="3" s="1"/>
  <c r="F233" i="3" s="1"/>
  <c r="F245" i="3" s="1"/>
  <c r="F257" i="3" s="1"/>
  <c r="F269" i="3" s="1"/>
  <c r="F281" i="3" s="1"/>
  <c r="F293" i="3" s="1"/>
  <c r="F305" i="3" s="1"/>
  <c r="F317" i="3" s="1"/>
  <c r="F329" i="3" s="1"/>
  <c r="F341" i="3" s="1"/>
  <c r="F353" i="3" s="1"/>
  <c r="F365" i="3" s="1"/>
  <c r="F377" i="3" s="1"/>
  <c r="F389" i="3" s="1"/>
  <c r="F401" i="3" s="1"/>
  <c r="F413" i="3" s="1"/>
  <c r="F425" i="3" s="1"/>
  <c r="F437" i="3" s="1"/>
  <c r="F449" i="3" s="1"/>
  <c r="F461" i="3" s="1"/>
  <c r="F473" i="3" s="1"/>
  <c r="F485" i="3" s="1"/>
  <c r="F497" i="3" s="1"/>
  <c r="F509" i="3" s="1"/>
  <c r="F521" i="3" s="1"/>
  <c r="F533" i="3" s="1"/>
  <c r="F545" i="3" s="1"/>
  <c r="F557" i="3" s="1"/>
  <c r="F569" i="3" s="1"/>
  <c r="F581" i="3" s="1"/>
  <c r="F593" i="3" s="1"/>
  <c r="E17" i="3"/>
  <c r="E29" i="3" s="1"/>
  <c r="E41" i="3" s="1"/>
  <c r="E53" i="3" s="1"/>
  <c r="E65" i="3" s="1"/>
  <c r="E77" i="3" s="1"/>
  <c r="E89" i="3" s="1"/>
  <c r="E101" i="3" s="1"/>
  <c r="E113" i="3" s="1"/>
  <c r="E125" i="3" s="1"/>
  <c r="E137" i="3" s="1"/>
  <c r="E149" i="3" s="1"/>
  <c r="E161" i="3" s="1"/>
  <c r="E173" i="3" s="1"/>
  <c r="E185" i="3" s="1"/>
  <c r="E197" i="3" s="1"/>
  <c r="E209" i="3" s="1"/>
  <c r="E221" i="3" s="1"/>
  <c r="E233" i="3" s="1"/>
  <c r="E245" i="3" s="1"/>
  <c r="E257" i="3" s="1"/>
  <c r="E269" i="3" s="1"/>
  <c r="E281" i="3" s="1"/>
  <c r="E293" i="3" s="1"/>
  <c r="E305" i="3" s="1"/>
  <c r="E317" i="3" s="1"/>
  <c r="E329" i="3" s="1"/>
  <c r="E341" i="3" s="1"/>
  <c r="E353" i="3" s="1"/>
  <c r="E365" i="3" s="1"/>
  <c r="E377" i="3" s="1"/>
  <c r="E389" i="3" s="1"/>
  <c r="E401" i="3" s="1"/>
  <c r="E413" i="3" s="1"/>
  <c r="E425" i="3" s="1"/>
  <c r="E437" i="3" s="1"/>
  <c r="E449" i="3" s="1"/>
  <c r="E461" i="3" s="1"/>
  <c r="E473" i="3" s="1"/>
  <c r="E485" i="3" s="1"/>
  <c r="E497" i="3" s="1"/>
  <c r="E509" i="3" s="1"/>
  <c r="E521" i="3" s="1"/>
  <c r="E533" i="3" s="1"/>
  <c r="E545" i="3" s="1"/>
  <c r="E557" i="3" s="1"/>
  <c r="E569" i="3" s="1"/>
  <c r="E581" i="3" s="1"/>
  <c r="E593" i="3" s="1"/>
  <c r="C17" i="3"/>
  <c r="F16" i="3"/>
  <c r="F28" i="3" s="1"/>
  <c r="F40" i="3" s="1"/>
  <c r="F52" i="3" s="1"/>
  <c r="F64" i="3" s="1"/>
  <c r="F76" i="3" s="1"/>
  <c r="F88" i="3" s="1"/>
  <c r="F100" i="3" s="1"/>
  <c r="F112" i="3" s="1"/>
  <c r="F124" i="3" s="1"/>
  <c r="F136" i="3" s="1"/>
  <c r="F148" i="3" s="1"/>
  <c r="F160" i="3" s="1"/>
  <c r="F172" i="3" s="1"/>
  <c r="F184" i="3" s="1"/>
  <c r="F196" i="3" s="1"/>
  <c r="F208" i="3" s="1"/>
  <c r="F220" i="3" s="1"/>
  <c r="F232" i="3" s="1"/>
  <c r="F244" i="3" s="1"/>
  <c r="F256" i="3" s="1"/>
  <c r="F268" i="3" s="1"/>
  <c r="F280" i="3" s="1"/>
  <c r="F292" i="3" s="1"/>
  <c r="F304" i="3" s="1"/>
  <c r="F316" i="3" s="1"/>
  <c r="F328" i="3" s="1"/>
  <c r="F340" i="3" s="1"/>
  <c r="F352" i="3" s="1"/>
  <c r="F364" i="3" s="1"/>
  <c r="F376" i="3" s="1"/>
  <c r="F388" i="3" s="1"/>
  <c r="F400" i="3" s="1"/>
  <c r="F412" i="3" s="1"/>
  <c r="F424" i="3" s="1"/>
  <c r="F436" i="3" s="1"/>
  <c r="F448" i="3" s="1"/>
  <c r="F460" i="3" s="1"/>
  <c r="F472" i="3" s="1"/>
  <c r="F484" i="3" s="1"/>
  <c r="F496" i="3" s="1"/>
  <c r="F508" i="3" s="1"/>
  <c r="F520" i="3" s="1"/>
  <c r="F532" i="3" s="1"/>
  <c r="F544" i="3" s="1"/>
  <c r="F556" i="3" s="1"/>
  <c r="F568" i="3" s="1"/>
  <c r="F580" i="3" s="1"/>
  <c r="F592" i="3" s="1"/>
  <c r="E16" i="3"/>
  <c r="E28" i="3" s="1"/>
  <c r="E40" i="3" s="1"/>
  <c r="E52" i="3" s="1"/>
  <c r="E64" i="3" s="1"/>
  <c r="E76" i="3" s="1"/>
  <c r="E88" i="3" s="1"/>
  <c r="E100" i="3" s="1"/>
  <c r="E112" i="3" s="1"/>
  <c r="E124" i="3" s="1"/>
  <c r="E136" i="3" s="1"/>
  <c r="E148" i="3" s="1"/>
  <c r="E160" i="3" s="1"/>
  <c r="E172" i="3" s="1"/>
  <c r="E184" i="3" s="1"/>
  <c r="E196" i="3" s="1"/>
  <c r="E208" i="3" s="1"/>
  <c r="E220" i="3" s="1"/>
  <c r="E232" i="3" s="1"/>
  <c r="E244" i="3" s="1"/>
  <c r="E256" i="3" s="1"/>
  <c r="E268" i="3" s="1"/>
  <c r="E280" i="3" s="1"/>
  <c r="E292" i="3" s="1"/>
  <c r="E304" i="3" s="1"/>
  <c r="E316" i="3" s="1"/>
  <c r="E328" i="3" s="1"/>
  <c r="E340" i="3" s="1"/>
  <c r="E352" i="3" s="1"/>
  <c r="E364" i="3" s="1"/>
  <c r="E376" i="3" s="1"/>
  <c r="E388" i="3" s="1"/>
  <c r="E400" i="3" s="1"/>
  <c r="E412" i="3" s="1"/>
  <c r="E424" i="3" s="1"/>
  <c r="E436" i="3" s="1"/>
  <c r="E448" i="3" s="1"/>
  <c r="E460" i="3" s="1"/>
  <c r="E472" i="3" s="1"/>
  <c r="E484" i="3" s="1"/>
  <c r="E496" i="3" s="1"/>
  <c r="E508" i="3" s="1"/>
  <c r="E520" i="3" s="1"/>
  <c r="E532" i="3" s="1"/>
  <c r="E544" i="3" s="1"/>
  <c r="E556" i="3" s="1"/>
  <c r="E568" i="3" s="1"/>
  <c r="E580" i="3" s="1"/>
  <c r="E592" i="3" s="1"/>
  <c r="C16" i="3"/>
  <c r="F15" i="3"/>
  <c r="E15" i="3"/>
  <c r="C15" i="3"/>
  <c r="F14" i="3"/>
  <c r="F26" i="3" s="1"/>
  <c r="F38" i="3" s="1"/>
  <c r="F50" i="3" s="1"/>
  <c r="F62" i="3" s="1"/>
  <c r="F74" i="3" s="1"/>
  <c r="F86" i="3" s="1"/>
  <c r="F98" i="3" s="1"/>
  <c r="F110" i="3" s="1"/>
  <c r="F122" i="3" s="1"/>
  <c r="F134" i="3" s="1"/>
  <c r="F146" i="3" s="1"/>
  <c r="F158" i="3" s="1"/>
  <c r="F170" i="3" s="1"/>
  <c r="F182" i="3" s="1"/>
  <c r="F194" i="3" s="1"/>
  <c r="F206" i="3" s="1"/>
  <c r="F218" i="3" s="1"/>
  <c r="F230" i="3" s="1"/>
  <c r="F242" i="3" s="1"/>
  <c r="F254" i="3" s="1"/>
  <c r="F266" i="3" s="1"/>
  <c r="F278" i="3" s="1"/>
  <c r="F290" i="3" s="1"/>
  <c r="F302" i="3" s="1"/>
  <c r="F314" i="3" s="1"/>
  <c r="F326" i="3" s="1"/>
  <c r="F338" i="3" s="1"/>
  <c r="F350" i="3" s="1"/>
  <c r="F362" i="3" s="1"/>
  <c r="F374" i="3" s="1"/>
  <c r="F386" i="3" s="1"/>
  <c r="F398" i="3" s="1"/>
  <c r="F410" i="3" s="1"/>
  <c r="F422" i="3" s="1"/>
  <c r="F434" i="3" s="1"/>
  <c r="F446" i="3" s="1"/>
  <c r="F458" i="3" s="1"/>
  <c r="F470" i="3" s="1"/>
  <c r="F482" i="3" s="1"/>
  <c r="F494" i="3" s="1"/>
  <c r="F506" i="3" s="1"/>
  <c r="F518" i="3" s="1"/>
  <c r="F530" i="3" s="1"/>
  <c r="F542" i="3" s="1"/>
  <c r="F554" i="3" s="1"/>
  <c r="F566" i="3" s="1"/>
  <c r="F578" i="3" s="1"/>
  <c r="F590" i="3" s="1"/>
  <c r="E14" i="3"/>
  <c r="E26" i="3" s="1"/>
  <c r="E38" i="3" s="1"/>
  <c r="E50" i="3" s="1"/>
  <c r="E62" i="3" s="1"/>
  <c r="E74" i="3" s="1"/>
  <c r="E86" i="3" s="1"/>
  <c r="E98" i="3" s="1"/>
  <c r="E110" i="3" s="1"/>
  <c r="E122" i="3" s="1"/>
  <c r="E134" i="3" s="1"/>
  <c r="E146" i="3" s="1"/>
  <c r="E158" i="3" s="1"/>
  <c r="E170" i="3" s="1"/>
  <c r="E182" i="3" s="1"/>
  <c r="E194" i="3" s="1"/>
  <c r="E206" i="3" s="1"/>
  <c r="E218" i="3" s="1"/>
  <c r="E230" i="3" s="1"/>
  <c r="E242" i="3" s="1"/>
  <c r="E254" i="3" s="1"/>
  <c r="E266" i="3" s="1"/>
  <c r="E278" i="3" s="1"/>
  <c r="E290" i="3" s="1"/>
  <c r="E302" i="3" s="1"/>
  <c r="E314" i="3" s="1"/>
  <c r="E326" i="3" s="1"/>
  <c r="E338" i="3" s="1"/>
  <c r="E350" i="3" s="1"/>
  <c r="E362" i="3" s="1"/>
  <c r="E374" i="3" s="1"/>
  <c r="E386" i="3" s="1"/>
  <c r="E398" i="3" s="1"/>
  <c r="E410" i="3" s="1"/>
  <c r="E422" i="3" s="1"/>
  <c r="E434" i="3" s="1"/>
  <c r="E446" i="3" s="1"/>
  <c r="E458" i="3" s="1"/>
  <c r="E470" i="3" s="1"/>
  <c r="E482" i="3" s="1"/>
  <c r="E494" i="3" s="1"/>
  <c r="E506" i="3" s="1"/>
  <c r="E518" i="3" s="1"/>
  <c r="E530" i="3" s="1"/>
  <c r="E542" i="3" s="1"/>
  <c r="E554" i="3" s="1"/>
  <c r="E566" i="3" s="1"/>
  <c r="E578" i="3" s="1"/>
  <c r="E590" i="3" s="1"/>
  <c r="C14" i="3"/>
  <c r="C13" i="3"/>
  <c r="C12" i="3"/>
  <c r="C11" i="3"/>
  <c r="C10" i="3"/>
  <c r="C9" i="3"/>
  <c r="C8" i="3"/>
  <c r="C7" i="3"/>
  <c r="C6" i="3"/>
  <c r="C5" i="3"/>
  <c r="C4" i="3"/>
  <c r="C3" i="3"/>
  <c r="C2" i="3"/>
  <c r="U143" i="1" l="1"/>
  <c r="D210" i="1"/>
  <c r="D270" i="1" s="1"/>
  <c r="U145" i="1"/>
  <c r="M3" i="1"/>
  <c r="M7" i="1"/>
  <c r="R7" i="1" s="1"/>
  <c r="M5" i="1"/>
  <c r="M10" i="1"/>
  <c r="M4" i="1"/>
  <c r="R4" i="1" s="1"/>
  <c r="U122" i="1"/>
  <c r="M8" i="1"/>
  <c r="R8" i="1" s="1"/>
  <c r="M2" i="1"/>
  <c r="R2" i="1" s="1"/>
  <c r="U134" i="1"/>
  <c r="J87" i="1" a="1"/>
  <c r="J87" i="1" s="1"/>
  <c r="U87" i="1"/>
  <c r="M11" i="1"/>
  <c r="R11" i="1" s="1"/>
  <c r="J63" i="1" a="1"/>
  <c r="J63" i="1" s="1"/>
  <c r="O63" i="1" s="1"/>
  <c r="U63" i="1"/>
  <c r="U155" i="1"/>
  <c r="U241" i="1"/>
  <c r="U146" i="1"/>
  <c r="C239" i="1"/>
  <c r="U239" i="1" s="1"/>
  <c r="U138" i="1"/>
  <c r="U135" i="1"/>
  <c r="D283" i="1"/>
  <c r="E283" i="1" s="1"/>
  <c r="O39" i="1"/>
  <c r="M39" i="1"/>
  <c r="R39" i="1" s="1"/>
  <c r="O23" i="1"/>
  <c r="M23" i="1"/>
  <c r="R23" i="1" s="1"/>
  <c r="O75" i="1"/>
  <c r="M75" i="1"/>
  <c r="R75" i="1" s="1"/>
  <c r="O14" i="1"/>
  <c r="M14" i="1"/>
  <c r="R14" i="1" s="1"/>
  <c r="O34" i="1"/>
  <c r="M34" i="1"/>
  <c r="R34" i="1" s="1"/>
  <c r="O29" i="1"/>
  <c r="M29" i="1"/>
  <c r="R29" i="1" s="1"/>
  <c r="O51" i="1"/>
  <c r="M51" i="1"/>
  <c r="R51" i="1" s="1"/>
  <c r="O24" i="1"/>
  <c r="M24" i="1"/>
  <c r="R24" i="1" s="1"/>
  <c r="O27" i="1"/>
  <c r="M27" i="1"/>
  <c r="R27" i="1" s="1"/>
  <c r="O9" i="1"/>
  <c r="M9" i="1"/>
  <c r="R9" i="1" s="1"/>
  <c r="O18" i="1"/>
  <c r="M18" i="1"/>
  <c r="R18" i="1" s="1"/>
  <c r="O87" i="1"/>
  <c r="O36" i="1"/>
  <c r="M36" i="1"/>
  <c r="R36" i="1" s="1"/>
  <c r="O20" i="1"/>
  <c r="P20" i="1" s="1"/>
  <c r="S20" i="1" s="1"/>
  <c r="M20" i="1"/>
  <c r="R20" i="1" s="1"/>
  <c r="O31" i="1"/>
  <c r="M31" i="1"/>
  <c r="R31" i="1" s="1"/>
  <c r="O16" i="1"/>
  <c r="M16" i="1"/>
  <c r="R16" i="1" s="1"/>
  <c r="O22" i="1"/>
  <c r="M22" i="1"/>
  <c r="R22" i="1" s="1"/>
  <c r="O48" i="1"/>
  <c r="O26" i="1"/>
  <c r="M26" i="1"/>
  <c r="R26" i="1" s="1"/>
  <c r="O30" i="1"/>
  <c r="M30" i="1"/>
  <c r="R30" i="1" s="1"/>
  <c r="O13" i="1"/>
  <c r="M13" i="1"/>
  <c r="R13" i="1" s="1"/>
  <c r="O47" i="1"/>
  <c r="M47" i="1"/>
  <c r="R47" i="1" s="1"/>
  <c r="O46" i="1"/>
  <c r="M46" i="1"/>
  <c r="R46" i="1" s="1"/>
  <c r="O6" i="1"/>
  <c r="M6" i="1"/>
  <c r="R6" i="1" s="1"/>
  <c r="O44" i="1"/>
  <c r="M44" i="1"/>
  <c r="R44" i="1" s="1"/>
  <c r="O15" i="1"/>
  <c r="M15" i="1"/>
  <c r="R15" i="1" s="1"/>
  <c r="O35" i="1"/>
  <c r="M35" i="1"/>
  <c r="R35" i="1" s="1"/>
  <c r="O43" i="1"/>
  <c r="M43" i="1"/>
  <c r="R43" i="1" s="1"/>
  <c r="O59" i="1"/>
  <c r="M59" i="1"/>
  <c r="R59" i="1" s="1"/>
  <c r="O32" i="1"/>
  <c r="M32" i="1"/>
  <c r="R32" i="1" s="1"/>
  <c r="O17" i="1"/>
  <c r="M17" i="1"/>
  <c r="R17" i="1" s="1"/>
  <c r="O12" i="1"/>
  <c r="P12" i="1" s="1"/>
  <c r="S12" i="1" s="1"/>
  <c r="M12" i="1"/>
  <c r="R12" i="1" s="1"/>
  <c r="O21" i="1"/>
  <c r="M21" i="1"/>
  <c r="R21" i="1" s="1"/>
  <c r="O111" i="1"/>
  <c r="M111" i="1"/>
  <c r="R111" i="1" s="1"/>
  <c r="O42" i="1"/>
  <c r="M42" i="1"/>
  <c r="R42" i="1" s="1"/>
  <c r="O33" i="1"/>
  <c r="M33" i="1"/>
  <c r="R33" i="1" s="1"/>
  <c r="O19" i="1"/>
  <c r="M19" i="1"/>
  <c r="R19" i="1" s="1"/>
  <c r="O41" i="1"/>
  <c r="M41" i="1"/>
  <c r="R41" i="1" s="1"/>
  <c r="O57" i="1"/>
  <c r="O37" i="1"/>
  <c r="O25" i="1"/>
  <c r="P25" i="1" s="1"/>
  <c r="S25" i="1" s="1"/>
  <c r="M25" i="1"/>
  <c r="R25" i="1" s="1"/>
  <c r="E238" i="1"/>
  <c r="R10" i="1"/>
  <c r="O10" i="1"/>
  <c r="P10" i="1" s="1"/>
  <c r="S10" i="1" s="1"/>
  <c r="R3" i="1"/>
  <c r="O3" i="1"/>
  <c r="P3" i="1" s="1"/>
  <c r="S3" i="1" s="1"/>
  <c r="E239" i="1"/>
  <c r="C141" i="1"/>
  <c r="U141" i="1" s="1"/>
  <c r="D230" i="1"/>
  <c r="E230" i="1" s="1"/>
  <c r="D262" i="1"/>
  <c r="E262" i="1" s="1"/>
  <c r="D256" i="1"/>
  <c r="E256" i="1" s="1"/>
  <c r="D252" i="1"/>
  <c r="D312" i="1" s="1"/>
  <c r="B228" i="1"/>
  <c r="B288" i="1" s="1"/>
  <c r="C212" i="1"/>
  <c r="D248" i="1"/>
  <c r="E248" i="1" s="1"/>
  <c r="D213" i="1"/>
  <c r="E213" i="1" s="1"/>
  <c r="E222" i="1"/>
  <c r="C188" i="1"/>
  <c r="U188" i="1" s="1"/>
  <c r="C224" i="1"/>
  <c r="U224" i="1" s="1"/>
  <c r="C223" i="1"/>
  <c r="U223" i="1" s="1"/>
  <c r="D260" i="1"/>
  <c r="E260" i="1" s="1"/>
  <c r="E143" i="1"/>
  <c r="N56" i="1"/>
  <c r="T56" i="1" s="1"/>
  <c r="N44" i="1"/>
  <c r="T44" i="1" s="1"/>
  <c r="N33" i="1"/>
  <c r="K63" i="1" a="1"/>
  <c r="K63" i="1" s="1"/>
  <c r="N24" i="1"/>
  <c r="B235" i="1"/>
  <c r="C175" i="1"/>
  <c r="U175" i="1" s="1"/>
  <c r="K87" i="1" a="1"/>
  <c r="K87" i="1" s="1"/>
  <c r="N42" i="1"/>
  <c r="T42" i="1" s="1"/>
  <c r="N36" i="1"/>
  <c r="E144" i="1"/>
  <c r="B215" i="1"/>
  <c r="B275" i="1" s="1"/>
  <c r="K57" i="1" a="1"/>
  <c r="K57" i="1" s="1"/>
  <c r="M57" i="1" s="1"/>
  <c r="B227" i="1"/>
  <c r="B287" i="1" s="1"/>
  <c r="B220" i="1"/>
  <c r="C220" i="1" s="1"/>
  <c r="U220" i="1" s="1"/>
  <c r="B301" i="1"/>
  <c r="C301" i="1" s="1"/>
  <c r="K45" i="1" a="1"/>
  <c r="K45" i="1" s="1"/>
  <c r="N39" i="1"/>
  <c r="T39" i="1" s="1"/>
  <c r="N21" i="1"/>
  <c r="N32" i="1"/>
  <c r="T32" i="1" s="1"/>
  <c r="D296" i="1"/>
  <c r="E236" i="1"/>
  <c r="N27" i="1"/>
  <c r="T27" i="1" s="1"/>
  <c r="N18" i="1"/>
  <c r="T18" i="1" s="1"/>
  <c r="N11" i="1"/>
  <c r="N47" i="1"/>
  <c r="T47" i="1" s="1"/>
  <c r="N13" i="1"/>
  <c r="T13" i="1" s="1"/>
  <c r="N2" i="1"/>
  <c r="N5" i="1"/>
  <c r="R5" i="1"/>
  <c r="N9" i="1"/>
  <c r="T9" i="1" s="1"/>
  <c r="F69" i="1"/>
  <c r="F81" i="1" s="1"/>
  <c r="K81" i="1" s="1" a="1"/>
  <c r="K81" i="1" s="1"/>
  <c r="D263" i="1"/>
  <c r="E263" i="1" s="1"/>
  <c r="N14" i="1"/>
  <c r="J45" i="1" a="1"/>
  <c r="J45" i="1" s="1"/>
  <c r="B194" i="1"/>
  <c r="B254" i="1" s="1"/>
  <c r="N23" i="1"/>
  <c r="T23" i="1" s="1"/>
  <c r="N35" i="1"/>
  <c r="T35" i="1" s="1"/>
  <c r="N31" i="1"/>
  <c r="T31" i="1" s="1"/>
  <c r="N30" i="1"/>
  <c r="T30" i="1" s="1"/>
  <c r="N22" i="1"/>
  <c r="N7" i="1"/>
  <c r="D276" i="1"/>
  <c r="E276" i="1" s="1"/>
  <c r="N19" i="1"/>
  <c r="T19" i="1" s="1"/>
  <c r="N75" i="1"/>
  <c r="T75" i="1" s="1"/>
  <c r="C152" i="1"/>
  <c r="U152" i="1" s="1"/>
  <c r="N8" i="1"/>
  <c r="N43" i="1"/>
  <c r="T43" i="1" s="1"/>
  <c r="N34" i="1"/>
  <c r="T34" i="1" s="1"/>
  <c r="N29" i="1"/>
  <c r="T29" i="1" s="1"/>
  <c r="N46" i="1"/>
  <c r="T46" i="1" s="1"/>
  <c r="N17" i="1"/>
  <c r="T17" i="1" s="1"/>
  <c r="N16" i="1"/>
  <c r="T16" i="1" s="1"/>
  <c r="N111" i="1"/>
  <c r="T111" i="1" s="1"/>
  <c r="N51" i="1"/>
  <c r="N15" i="1"/>
  <c r="T15" i="1" s="1"/>
  <c r="B216" i="1"/>
  <c r="C216" i="1" s="1"/>
  <c r="U216" i="1" s="1"/>
  <c r="N41" i="1"/>
  <c r="T41" i="1" s="1"/>
  <c r="N59" i="1"/>
  <c r="T59" i="1" s="1"/>
  <c r="N4" i="1"/>
  <c r="N26" i="1"/>
  <c r="T26" i="1" s="1"/>
  <c r="C207" i="1"/>
  <c r="B291" i="1"/>
  <c r="C231" i="1"/>
  <c r="U231" i="1" s="1"/>
  <c r="F49" i="1"/>
  <c r="K37" i="1" a="1"/>
  <c r="K37" i="1" s="1"/>
  <c r="M37" i="1" s="1"/>
  <c r="D288" i="1"/>
  <c r="B217" i="1"/>
  <c r="C157" i="1"/>
  <c r="U157" i="1" s="1"/>
  <c r="B344" i="1"/>
  <c r="C344" i="1" s="1"/>
  <c r="D311" i="1"/>
  <c r="E251" i="1"/>
  <c r="B204" i="1"/>
  <c r="C144" i="1"/>
  <c r="U144" i="1" s="1"/>
  <c r="E184" i="1"/>
  <c r="D295" i="1"/>
  <c r="D355" i="1" s="1"/>
  <c r="D199" i="1"/>
  <c r="E139" i="1"/>
  <c r="C173" i="1"/>
  <c r="U173" i="1" s="1"/>
  <c r="D354" i="1"/>
  <c r="E294" i="1"/>
  <c r="B199" i="1"/>
  <c r="C139" i="1"/>
  <c r="U139" i="1" s="1"/>
  <c r="E189" i="1"/>
  <c r="D249" i="1"/>
  <c r="E177" i="1"/>
  <c r="D301" i="1"/>
  <c r="E241" i="1"/>
  <c r="E210" i="1"/>
  <c r="C193" i="1"/>
  <c r="U193" i="1" s="1"/>
  <c r="B253" i="1"/>
  <c r="N6" i="1"/>
  <c r="T6" i="1" s="1"/>
  <c r="E231" i="1"/>
  <c r="D291" i="1"/>
  <c r="E233" i="1"/>
  <c r="D293" i="1"/>
  <c r="B225" i="1"/>
  <c r="C165" i="1"/>
  <c r="U165" i="1" s="1"/>
  <c r="B282" i="1"/>
  <c r="C222" i="1"/>
  <c r="U222" i="1" s="1"/>
  <c r="C177" i="1"/>
  <c r="U177" i="1" s="1"/>
  <c r="B237" i="1"/>
  <c r="D190" i="1"/>
  <c r="E130" i="1"/>
  <c r="F60" i="1"/>
  <c r="J60" i="1" s="1" a="1"/>
  <c r="J60" i="1" s="1"/>
  <c r="J67" i="1" a="1"/>
  <c r="J67" i="1" s="1"/>
  <c r="E221" i="1"/>
  <c r="D281" i="1"/>
  <c r="E218" i="1"/>
  <c r="B209" i="1"/>
  <c r="C149" i="1"/>
  <c r="U149" i="1" s="1"/>
  <c r="B250" i="1"/>
  <c r="C190" i="1"/>
  <c r="C248" i="1"/>
  <c r="B308" i="1"/>
  <c r="C218" i="1"/>
  <c r="U218" i="1" s="1"/>
  <c r="B229" i="1"/>
  <c r="C169" i="1"/>
  <c r="U169" i="1" s="1"/>
  <c r="C154" i="1"/>
  <c r="U154" i="1" s="1"/>
  <c r="B214" i="1"/>
  <c r="E204" i="1"/>
  <c r="D264" i="1"/>
  <c r="C299" i="1"/>
  <c r="U299" i="1" s="1"/>
  <c r="B359" i="1"/>
  <c r="E220" i="1"/>
  <c r="B255" i="1"/>
  <c r="C195" i="1"/>
  <c r="K48" i="1" a="1"/>
  <c r="K48" i="1" s="1"/>
  <c r="M48" i="1" s="1"/>
  <c r="C172" i="1"/>
  <c r="U172" i="1" s="1"/>
  <c r="E240" i="1"/>
  <c r="D300" i="1"/>
  <c r="C198" i="1"/>
  <c r="B258" i="1"/>
  <c r="D305" i="1"/>
  <c r="E245" i="1"/>
  <c r="E289" i="1"/>
  <c r="D349" i="1"/>
  <c r="E145" i="1"/>
  <c r="D205" i="1"/>
  <c r="U205" i="1" s="1"/>
  <c r="D195" i="1"/>
  <c r="E135" i="1"/>
  <c r="B213" i="1"/>
  <c r="C153" i="1"/>
  <c r="U153" i="1" s="1"/>
  <c r="E137" i="1"/>
  <c r="D197" i="1"/>
  <c r="B281" i="1"/>
  <c r="C221" i="1"/>
  <c r="U221" i="1" s="1"/>
  <c r="K67" i="1" a="1"/>
  <c r="K67" i="1" s="1"/>
  <c r="C127" i="1"/>
  <c r="U127" i="1" s="1"/>
  <c r="B187" i="1"/>
  <c r="C202" i="1"/>
  <c r="U202" i="1" s="1"/>
  <c r="D339" i="1"/>
  <c r="D399" i="1" s="1"/>
  <c r="E224" i="1"/>
  <c r="D284" i="1"/>
  <c r="U284" i="1" s="1"/>
  <c r="C186" i="1"/>
  <c r="B246" i="1"/>
  <c r="C123" i="1"/>
  <c r="B183" i="1"/>
  <c r="E232" i="1"/>
  <c r="D292" i="1"/>
  <c r="C132" i="1"/>
  <c r="U132" i="1" s="1"/>
  <c r="B192" i="1"/>
  <c r="E138" i="1"/>
  <c r="D198" i="1"/>
  <c r="F40" i="1"/>
  <c r="K28" i="1" a="1"/>
  <c r="K28" i="1" s="1"/>
  <c r="J28" i="1" a="1"/>
  <c r="J28" i="1" s="1"/>
  <c r="J171" i="1" a="1"/>
  <c r="J171" i="1" s="1"/>
  <c r="F183" i="1"/>
  <c r="F195" i="1" s="1"/>
  <c r="E134" i="1"/>
  <c r="D194" i="1"/>
  <c r="D227" i="1"/>
  <c r="E167" i="1"/>
  <c r="J135" i="1" a="1"/>
  <c r="J135" i="1" s="1"/>
  <c r="J71" i="1" a="1"/>
  <c r="J71" i="1" s="1"/>
  <c r="K71" i="1" a="1"/>
  <c r="K71" i="1" s="1"/>
  <c r="E148" i="1"/>
  <c r="D208" i="1"/>
  <c r="C278" i="1"/>
  <c r="U278" i="1" s="1"/>
  <c r="B338" i="1"/>
  <c r="C124" i="1"/>
  <c r="U124" i="1" s="1"/>
  <c r="B184" i="1"/>
  <c r="E151" i="1"/>
  <c r="D211" i="1"/>
  <c r="C232" i="1"/>
  <c r="U232" i="1" s="1"/>
  <c r="B292" i="1"/>
  <c r="J53" i="1" a="1"/>
  <c r="J53" i="1" s="1"/>
  <c r="F65" i="1"/>
  <c r="F77" i="1" s="1"/>
  <c r="F89" i="1" s="1"/>
  <c r="K53" i="1" a="1"/>
  <c r="K53" i="1" s="1"/>
  <c r="B236" i="1"/>
  <c r="C176" i="1"/>
  <c r="U176" i="1" s="1"/>
  <c r="E298" i="1"/>
  <c r="D358" i="1"/>
  <c r="C203" i="1"/>
  <c r="U203" i="1" s="1"/>
  <c r="B263" i="1"/>
  <c r="B327" i="1"/>
  <c r="C267" i="1"/>
  <c r="C233" i="1"/>
  <c r="U233" i="1" s="1"/>
  <c r="B293" i="1"/>
  <c r="C174" i="1"/>
  <c r="U174" i="1" s="1"/>
  <c r="B234" i="1"/>
  <c r="E193" i="1"/>
  <c r="D253" i="1"/>
  <c r="C129" i="1"/>
  <c r="U129" i="1" s="1"/>
  <c r="B189" i="1"/>
  <c r="J79" i="1" a="1"/>
  <c r="J79" i="1" s="1"/>
  <c r="F91" i="1"/>
  <c r="F103" i="1" s="1"/>
  <c r="K79" i="1" a="1"/>
  <c r="K79" i="1" s="1"/>
  <c r="C265" i="1"/>
  <c r="B325" i="1"/>
  <c r="D342" i="1"/>
  <c r="E282" i="1"/>
  <c r="J56" i="1" a="1"/>
  <c r="J56" i="1" s="1"/>
  <c r="M56" i="1" s="1"/>
  <c r="F68" i="1"/>
  <c r="D215" i="1"/>
  <c r="E155" i="1"/>
  <c r="E152" i="1"/>
  <c r="D212" i="1"/>
  <c r="C125" i="1"/>
  <c r="U125" i="1" s="1"/>
  <c r="B185" i="1"/>
  <c r="B226" i="1"/>
  <c r="C166" i="1"/>
  <c r="U166" i="1" s="1"/>
  <c r="J55" i="1" a="1"/>
  <c r="J55" i="1" s="1"/>
  <c r="D217" i="1"/>
  <c r="E157" i="1"/>
  <c r="C137" i="1"/>
  <c r="U137" i="1" s="1"/>
  <c r="B197" i="1"/>
  <c r="C159" i="1"/>
  <c r="U159" i="1" s="1"/>
  <c r="B219" i="1"/>
  <c r="C240" i="1"/>
  <c r="U240" i="1" s="1"/>
  <c r="B300" i="1"/>
  <c r="F95" i="1"/>
  <c r="K83" i="1" a="1"/>
  <c r="K83" i="1" s="1"/>
  <c r="J83" i="1" a="1"/>
  <c r="J83" i="1" s="1"/>
  <c r="K55" i="1" a="1"/>
  <c r="K55" i="1" s="1"/>
  <c r="C262" i="1"/>
  <c r="B322" i="1"/>
  <c r="D338" i="1"/>
  <c r="E278" i="1"/>
  <c r="C238" i="1"/>
  <c r="U238" i="1" s="1"/>
  <c r="B298" i="1"/>
  <c r="C150" i="1"/>
  <c r="U150" i="1" s="1"/>
  <c r="B210" i="1"/>
  <c r="B196" i="1"/>
  <c r="C136" i="1"/>
  <c r="U136" i="1" s="1"/>
  <c r="E146" i="1"/>
  <c r="D206" i="1"/>
  <c r="D183" i="1"/>
  <c r="E123" i="1"/>
  <c r="K38" i="1" a="1"/>
  <c r="K38" i="1" s="1"/>
  <c r="J38" i="1" a="1"/>
  <c r="J38" i="1" s="1"/>
  <c r="F50" i="1"/>
  <c r="D182" i="1"/>
  <c r="E122" i="1"/>
  <c r="K147" i="1" a="1"/>
  <c r="K147" i="1" s="1"/>
  <c r="J147" i="1" a="1"/>
  <c r="J147" i="1" s="1"/>
  <c r="E147" i="1"/>
  <c r="D207" i="1"/>
  <c r="E280" i="1"/>
  <c r="D340" i="1"/>
  <c r="K135" i="1" a="1"/>
  <c r="K135" i="1" s="1"/>
  <c r="C283" i="1"/>
  <c r="B343" i="1"/>
  <c r="E149" i="1"/>
  <c r="D209" i="1"/>
  <c r="E154" i="1"/>
  <c r="D214" i="1"/>
  <c r="E244" i="1"/>
  <c r="D304" i="1"/>
  <c r="C131" i="1"/>
  <c r="U131" i="1" s="1"/>
  <c r="B191" i="1"/>
  <c r="F70" i="1"/>
  <c r="K58" i="1" a="1"/>
  <c r="K58" i="1" s="1"/>
  <c r="J58" i="1" a="1"/>
  <c r="J58" i="1" s="1"/>
  <c r="C151" i="1"/>
  <c r="U151" i="1" s="1"/>
  <c r="B211" i="1"/>
  <c r="D297" i="1"/>
  <c r="E237" i="1"/>
  <c r="K171" i="1" a="1"/>
  <c r="K171" i="1" s="1"/>
  <c r="C201" i="1"/>
  <c r="U201" i="1" s="1"/>
  <c r="B261" i="1"/>
  <c r="C148" i="1"/>
  <c r="U148" i="1" s="1"/>
  <c r="B208" i="1"/>
  <c r="D186" i="1"/>
  <c r="E126" i="1"/>
  <c r="C272" i="1"/>
  <c r="B332" i="1"/>
  <c r="B266" i="1"/>
  <c r="C206" i="1"/>
  <c r="C140" i="1"/>
  <c r="U140" i="1" s="1"/>
  <c r="B200" i="1"/>
  <c r="E299" i="1"/>
  <c r="D359" i="1"/>
  <c r="C170" i="1"/>
  <c r="U170" i="1" s="1"/>
  <c r="B230" i="1"/>
  <c r="E165" i="1"/>
  <c r="D225" i="1"/>
  <c r="C182" i="1"/>
  <c r="B242" i="1"/>
  <c r="D226" i="1"/>
  <c r="E166" i="1"/>
  <c r="J54" i="1" a="1"/>
  <c r="J54" i="1" s="1"/>
  <c r="F66" i="1"/>
  <c r="K54" i="1" a="1"/>
  <c r="K54" i="1" s="1"/>
  <c r="J99" i="1" a="1"/>
  <c r="J99" i="1" s="1"/>
  <c r="K99" i="1" a="1"/>
  <c r="K99" i="1" s="1"/>
  <c r="D261" i="1"/>
  <c r="E201" i="1"/>
  <c r="D187" i="1"/>
  <c r="E127" i="1"/>
  <c r="B238" i="3"/>
  <c r="B298" i="3" s="1"/>
  <c r="C115" i="3"/>
  <c r="C118" i="3"/>
  <c r="C72" i="3"/>
  <c r="C79" i="3"/>
  <c r="C105" i="3"/>
  <c r="B163" i="3"/>
  <c r="B223" i="3" s="1"/>
  <c r="B283" i="3" s="1"/>
  <c r="C171" i="3"/>
  <c r="B231" i="3"/>
  <c r="C206" i="3"/>
  <c r="C77" i="3"/>
  <c r="C162" i="3"/>
  <c r="C236" i="3"/>
  <c r="B296" i="3"/>
  <c r="B356" i="3" s="1"/>
  <c r="C356" i="3" s="1"/>
  <c r="C73" i="3"/>
  <c r="C109" i="3"/>
  <c r="C110" i="3"/>
  <c r="C134" i="3"/>
  <c r="B144" i="3"/>
  <c r="C170" i="3"/>
  <c r="C93" i="3"/>
  <c r="C108" i="3"/>
  <c r="B168" i="3"/>
  <c r="B228" i="3" s="1"/>
  <c r="B288" i="3" s="1"/>
  <c r="B280" i="3"/>
  <c r="B340" i="3" s="1"/>
  <c r="C340" i="3" s="1"/>
  <c r="B140" i="3"/>
  <c r="B200" i="3" s="1"/>
  <c r="B260" i="3" s="1"/>
  <c r="B158" i="3"/>
  <c r="B212" i="3"/>
  <c r="B272" i="3" s="1"/>
  <c r="B235" i="3"/>
  <c r="B287" i="3"/>
  <c r="B347" i="3" s="1"/>
  <c r="C64" i="3"/>
  <c r="B161" i="3"/>
  <c r="C196" i="3"/>
  <c r="C133" i="3"/>
  <c r="B147" i="3"/>
  <c r="B181" i="3"/>
  <c r="C181" i="3" s="1"/>
  <c r="C225" i="3"/>
  <c r="B285" i="3"/>
  <c r="B400" i="3"/>
  <c r="B282" i="3"/>
  <c r="C222" i="3"/>
  <c r="C99" i="3"/>
  <c r="B159" i="3"/>
  <c r="B407" i="3"/>
  <c r="C347" i="3"/>
  <c r="B186" i="3"/>
  <c r="C126" i="3"/>
  <c r="B127" i="3"/>
  <c r="C67" i="3"/>
  <c r="B190" i="3"/>
  <c r="C130" i="3"/>
  <c r="C157" i="3"/>
  <c r="B217" i="3"/>
  <c r="C272" i="3"/>
  <c r="B332" i="3"/>
  <c r="C205" i="3"/>
  <c r="B122" i="3"/>
  <c r="C62" i="3"/>
  <c r="B192" i="3"/>
  <c r="C132" i="3"/>
  <c r="C89" i="3"/>
  <c r="B149" i="3"/>
  <c r="B154" i="3"/>
  <c r="C94" i="3"/>
  <c r="B151" i="3"/>
  <c r="C163" i="3"/>
  <c r="C165" i="3"/>
  <c r="C131" i="3"/>
  <c r="B191" i="3"/>
  <c r="B210" i="3"/>
  <c r="C150" i="3"/>
  <c r="C153" i="3"/>
  <c r="B213" i="3"/>
  <c r="B155" i="3"/>
  <c r="C95" i="3"/>
  <c r="C125" i="3"/>
  <c r="B185" i="3"/>
  <c r="C66" i="3"/>
  <c r="C70" i="3"/>
  <c r="C124" i="3"/>
  <c r="B184" i="3"/>
  <c r="B156" i="3"/>
  <c r="C96" i="3"/>
  <c r="B218" i="3"/>
  <c r="C158" i="3"/>
  <c r="B295" i="3"/>
  <c r="C235" i="3"/>
  <c r="C71" i="3"/>
  <c r="C177" i="3"/>
  <c r="B237" i="3"/>
  <c r="C102" i="3"/>
  <c r="C228" i="3"/>
  <c r="C173" i="3"/>
  <c r="C265" i="3"/>
  <c r="B325" i="3"/>
  <c r="C97" i="3"/>
  <c r="B224" i="3"/>
  <c r="C164" i="3"/>
  <c r="C212" i="3"/>
  <c r="C65" i="3"/>
  <c r="C104" i="3"/>
  <c r="B123" i="3"/>
  <c r="B293" i="3"/>
  <c r="C169" i="3"/>
  <c r="B229" i="3"/>
  <c r="B232" i="3"/>
  <c r="C172" i="3"/>
  <c r="B354" i="3"/>
  <c r="C294" i="3"/>
  <c r="B290" i="3"/>
  <c r="C230" i="3"/>
  <c r="C174" i="3"/>
  <c r="B326" i="3"/>
  <c r="C266" i="3"/>
  <c r="C234" i="3"/>
  <c r="C201" i="3"/>
  <c r="B261" i="3"/>
  <c r="B142" i="3"/>
  <c r="B143" i="3"/>
  <c r="B148" i="3"/>
  <c r="C200" i="3"/>
  <c r="C167" i="3"/>
  <c r="B180" i="3"/>
  <c r="C238" i="3"/>
  <c r="C140" i="3"/>
  <c r="C141" i="3"/>
  <c r="B254" i="3"/>
  <c r="C194" i="3"/>
  <c r="B135" i="3"/>
  <c r="C75" i="3"/>
  <c r="C256" i="3"/>
  <c r="B316" i="3"/>
  <c r="C137" i="3"/>
  <c r="B197" i="3"/>
  <c r="C86" i="3"/>
  <c r="B166" i="3"/>
  <c r="B179" i="3"/>
  <c r="B241" i="3"/>
  <c r="C193" i="3"/>
  <c r="B253" i="3"/>
  <c r="C74" i="3"/>
  <c r="B198" i="3"/>
  <c r="C138" i="3"/>
  <c r="C259" i="3"/>
  <c r="B319" i="3"/>
  <c r="C136" i="3"/>
  <c r="B128" i="3"/>
  <c r="B189" i="3"/>
  <c r="C76" i="3"/>
  <c r="U262" i="1" l="1"/>
  <c r="M63" i="1"/>
  <c r="R63" i="1" s="1"/>
  <c r="M87" i="1"/>
  <c r="R87" i="1" s="1"/>
  <c r="U195" i="1"/>
  <c r="U186" i="1"/>
  <c r="U212" i="1"/>
  <c r="U283" i="1"/>
  <c r="U198" i="1"/>
  <c r="U206" i="1"/>
  <c r="U248" i="1"/>
  <c r="D343" i="1"/>
  <c r="D403" i="1" s="1"/>
  <c r="U190" i="1"/>
  <c r="U301" i="1"/>
  <c r="K123" i="1" a="1"/>
  <c r="K123" i="1" s="1"/>
  <c r="N123" i="1" s="1"/>
  <c r="T123" i="1" s="1"/>
  <c r="U123" i="1"/>
  <c r="U207" i="1"/>
  <c r="U182" i="1"/>
  <c r="B276" i="1"/>
  <c r="B336" i="1" s="1"/>
  <c r="O55" i="1"/>
  <c r="M55" i="1"/>
  <c r="R55" i="1" s="1"/>
  <c r="O79" i="1"/>
  <c r="M79" i="1"/>
  <c r="R79" i="1" s="1"/>
  <c r="D320" i="1"/>
  <c r="E320" i="1" s="1"/>
  <c r="P42" i="1"/>
  <c r="S42" i="1" s="1"/>
  <c r="O71" i="1"/>
  <c r="M71" i="1"/>
  <c r="R71" i="1" s="1"/>
  <c r="O135" i="1"/>
  <c r="M135" i="1"/>
  <c r="R135" i="1" s="1"/>
  <c r="O38" i="1"/>
  <c r="M38" i="1"/>
  <c r="R38" i="1" s="1"/>
  <c r="O28" i="1"/>
  <c r="M28" i="1"/>
  <c r="R28" i="1" s="1"/>
  <c r="O99" i="1"/>
  <c r="M99" i="1"/>
  <c r="R99" i="1" s="1"/>
  <c r="O58" i="1"/>
  <c r="M58" i="1"/>
  <c r="R58" i="1" s="1"/>
  <c r="O54" i="1"/>
  <c r="M54" i="1"/>
  <c r="R54" i="1" s="1"/>
  <c r="O147" i="1"/>
  <c r="M147" i="1"/>
  <c r="R147" i="1" s="1"/>
  <c r="O83" i="1"/>
  <c r="M83" i="1"/>
  <c r="R83" i="1" s="1"/>
  <c r="O53" i="1"/>
  <c r="M53" i="1"/>
  <c r="R53" i="1" s="1"/>
  <c r="O67" i="1"/>
  <c r="M67" i="1"/>
  <c r="R67" i="1" s="1"/>
  <c r="O45" i="1"/>
  <c r="M45" i="1"/>
  <c r="R45" i="1" s="1"/>
  <c r="O60" i="1"/>
  <c r="O171" i="1"/>
  <c r="M171" i="1"/>
  <c r="R171" i="1" s="1"/>
  <c r="D308" i="1"/>
  <c r="D368" i="1" s="1"/>
  <c r="P11" i="1"/>
  <c r="S11" i="1" s="1"/>
  <c r="T11" i="1"/>
  <c r="P22" i="1"/>
  <c r="S22" i="1" s="1"/>
  <c r="T22" i="1"/>
  <c r="P36" i="1"/>
  <c r="S36" i="1" s="1"/>
  <c r="T36" i="1"/>
  <c r="P9" i="1"/>
  <c r="S9" i="1" s="1"/>
  <c r="P2" i="1"/>
  <c r="S2" i="1" s="1"/>
  <c r="T2" i="1"/>
  <c r="P33" i="1"/>
  <c r="S33" i="1" s="1"/>
  <c r="T33" i="1"/>
  <c r="P5" i="1"/>
  <c r="S5" i="1" s="1"/>
  <c r="T5" i="1"/>
  <c r="P29" i="1"/>
  <c r="S29" i="1" s="1"/>
  <c r="P21" i="1"/>
  <c r="S21" i="1" s="1"/>
  <c r="T21" i="1"/>
  <c r="P51" i="1"/>
  <c r="S51" i="1" s="1"/>
  <c r="T51" i="1"/>
  <c r="P8" i="1"/>
  <c r="S8" i="1" s="1"/>
  <c r="T8" i="1"/>
  <c r="D290" i="1"/>
  <c r="D350" i="1" s="1"/>
  <c r="P24" i="1"/>
  <c r="S24" i="1" s="1"/>
  <c r="T24" i="1"/>
  <c r="R56" i="1"/>
  <c r="O56" i="1"/>
  <c r="P56" i="1" s="1"/>
  <c r="S56" i="1" s="1"/>
  <c r="P4" i="1"/>
  <c r="S4" i="1" s="1"/>
  <c r="T4" i="1"/>
  <c r="P14" i="1"/>
  <c r="S14" i="1" s="1"/>
  <c r="T14" i="1"/>
  <c r="P7" i="1"/>
  <c r="S7" i="1" s="1"/>
  <c r="T7" i="1"/>
  <c r="P23" i="1"/>
  <c r="S23" i="1" s="1"/>
  <c r="E339" i="1"/>
  <c r="E252" i="1"/>
  <c r="P44" i="1"/>
  <c r="S44" i="1" s="1"/>
  <c r="D316" i="1"/>
  <c r="P13" i="1"/>
  <c r="S13" i="1" s="1"/>
  <c r="D322" i="1"/>
  <c r="D382" i="1" s="1"/>
  <c r="C228" i="1"/>
  <c r="U228" i="1" s="1"/>
  <c r="C194" i="1"/>
  <c r="U194" i="1" s="1"/>
  <c r="D273" i="1"/>
  <c r="D333" i="1" s="1"/>
  <c r="P39" i="1"/>
  <c r="S39" i="1" s="1"/>
  <c r="C215" i="1"/>
  <c r="U215" i="1" s="1"/>
  <c r="P35" i="1"/>
  <c r="S35" i="1" s="1"/>
  <c r="D336" i="1"/>
  <c r="D396" i="1" s="1"/>
  <c r="P18" i="1"/>
  <c r="S18" i="1" s="1"/>
  <c r="K69" i="1" a="1"/>
  <c r="K69" i="1" s="1"/>
  <c r="N69" i="1" s="1"/>
  <c r="T69" i="1" s="1"/>
  <c r="J69" i="1" a="1"/>
  <c r="J69" i="1" s="1"/>
  <c r="P19" i="1"/>
  <c r="S19" i="1" s="1"/>
  <c r="D323" i="1"/>
  <c r="D383" i="1" s="1"/>
  <c r="F93" i="1"/>
  <c r="F105" i="1" s="1"/>
  <c r="J81" i="1" a="1"/>
  <c r="J81" i="1" s="1"/>
  <c r="M81" i="1" s="1"/>
  <c r="P16" i="1"/>
  <c r="S16" i="1" s="1"/>
  <c r="P30" i="1"/>
  <c r="S30" i="1" s="1"/>
  <c r="K91" i="1" a="1"/>
  <c r="K91" i="1" s="1"/>
  <c r="N91" i="1" s="1"/>
  <c r="T91" i="1" s="1"/>
  <c r="P34" i="1"/>
  <c r="S34" i="1" s="1"/>
  <c r="P17" i="1"/>
  <c r="S17" i="1" s="1"/>
  <c r="P27" i="1"/>
  <c r="S27" i="1" s="1"/>
  <c r="C227" i="1"/>
  <c r="U227" i="1" s="1"/>
  <c r="P41" i="1"/>
  <c r="S41" i="1" s="1"/>
  <c r="N135" i="1"/>
  <c r="T135" i="1" s="1"/>
  <c r="P43" i="1"/>
  <c r="S43" i="1" s="1"/>
  <c r="N81" i="1"/>
  <c r="T81" i="1" s="1"/>
  <c r="N67" i="1"/>
  <c r="N147" i="1"/>
  <c r="T147" i="1" s="1"/>
  <c r="P46" i="1"/>
  <c r="S46" i="1" s="1"/>
  <c r="P15" i="1"/>
  <c r="S15" i="1" s="1"/>
  <c r="N54" i="1"/>
  <c r="T54" i="1" s="1"/>
  <c r="P59" i="1"/>
  <c r="S59" i="1" s="1"/>
  <c r="B361" i="1"/>
  <c r="B421" i="1" s="1"/>
  <c r="N37" i="1"/>
  <c r="R37" i="1"/>
  <c r="N55" i="1"/>
  <c r="C235" i="1"/>
  <c r="U235" i="1" s="1"/>
  <c r="B295" i="1"/>
  <c r="P111" i="1"/>
  <c r="S111" i="1" s="1"/>
  <c r="N45" i="1"/>
  <c r="F72" i="1"/>
  <c r="F84" i="1" s="1"/>
  <c r="J84" i="1" s="1" a="1"/>
  <c r="J84" i="1" s="1"/>
  <c r="N38" i="1"/>
  <c r="T38" i="1" s="1"/>
  <c r="P31" i="1"/>
  <c r="S31" i="1" s="1"/>
  <c r="P47" i="1"/>
  <c r="S47" i="1" s="1"/>
  <c r="N48" i="1"/>
  <c r="R48" i="1"/>
  <c r="E296" i="1"/>
  <c r="D356" i="1"/>
  <c r="N53" i="1"/>
  <c r="T53" i="1" s="1"/>
  <c r="N58" i="1"/>
  <c r="T58" i="1" s="1"/>
  <c r="N87" i="1"/>
  <c r="T87" i="1" s="1"/>
  <c r="N28" i="1"/>
  <c r="T28" i="1" s="1"/>
  <c r="N71" i="1"/>
  <c r="T71" i="1" s="1"/>
  <c r="P75" i="1"/>
  <c r="S75" i="1" s="1"/>
  <c r="K60" i="1" a="1"/>
  <c r="K60" i="1" s="1"/>
  <c r="M60" i="1" s="1"/>
  <c r="N83" i="1"/>
  <c r="T83" i="1" s="1"/>
  <c r="N63" i="1"/>
  <c r="N79" i="1"/>
  <c r="T79" i="1" s="1"/>
  <c r="N99" i="1"/>
  <c r="T99" i="1" s="1"/>
  <c r="N171" i="1"/>
  <c r="T171" i="1" s="1"/>
  <c r="N57" i="1"/>
  <c r="R57" i="1"/>
  <c r="P32" i="1"/>
  <c r="S32" i="1" s="1"/>
  <c r="B280" i="1"/>
  <c r="C280" i="1" s="1"/>
  <c r="U280" i="1" s="1"/>
  <c r="P26" i="1"/>
  <c r="S26" i="1" s="1"/>
  <c r="D361" i="1"/>
  <c r="E301" i="1"/>
  <c r="B264" i="1"/>
  <c r="C204" i="1"/>
  <c r="U204" i="1" s="1"/>
  <c r="D309" i="1"/>
  <c r="E249" i="1"/>
  <c r="E311" i="1"/>
  <c r="D371" i="1"/>
  <c r="K49" i="1" a="1"/>
  <c r="K49" i="1" s="1"/>
  <c r="J49" i="1" a="1"/>
  <c r="J49" i="1" s="1"/>
  <c r="F61" i="1"/>
  <c r="E295" i="1"/>
  <c r="C253" i="1"/>
  <c r="U253" i="1" s="1"/>
  <c r="B313" i="1"/>
  <c r="C291" i="1"/>
  <c r="U291" i="1" s="1"/>
  <c r="B351" i="1"/>
  <c r="D330" i="1"/>
  <c r="E270" i="1"/>
  <c r="B404" i="1"/>
  <c r="C404" i="1" s="1"/>
  <c r="B259" i="1"/>
  <c r="C199" i="1"/>
  <c r="U199" i="1" s="1"/>
  <c r="B277" i="1"/>
  <c r="C217" i="1"/>
  <c r="U217" i="1" s="1"/>
  <c r="E288" i="1"/>
  <c r="D348" i="1"/>
  <c r="D414" i="1"/>
  <c r="E354" i="1"/>
  <c r="J123" i="1" a="1"/>
  <c r="J123" i="1" s="1"/>
  <c r="E199" i="1"/>
  <c r="D259" i="1"/>
  <c r="B243" i="1"/>
  <c r="C183" i="1"/>
  <c r="C258" i="1"/>
  <c r="B318" i="1"/>
  <c r="E264" i="1"/>
  <c r="D324" i="1"/>
  <c r="D351" i="1"/>
  <c r="E291" i="1"/>
  <c r="B273" i="1"/>
  <c r="C213" i="1"/>
  <c r="U213" i="1" s="1"/>
  <c r="E300" i="1"/>
  <c r="D360" i="1"/>
  <c r="B274" i="1"/>
  <c r="C214" i="1"/>
  <c r="U214" i="1" s="1"/>
  <c r="C187" i="1"/>
  <c r="U187" i="1" s="1"/>
  <c r="B247" i="1"/>
  <c r="P6" i="1"/>
  <c r="S6" i="1" s="1"/>
  <c r="B297" i="1"/>
  <c r="C237" i="1"/>
  <c r="U237" i="1" s="1"/>
  <c r="B368" i="1"/>
  <c r="C308" i="1"/>
  <c r="D265" i="1"/>
  <c r="U265" i="1" s="1"/>
  <c r="E205" i="1"/>
  <c r="J91" i="1" a="1"/>
  <c r="J91" i="1" s="1"/>
  <c r="C246" i="1"/>
  <c r="B306" i="1"/>
  <c r="C281" i="1"/>
  <c r="U281" i="1" s="1"/>
  <c r="B341" i="1"/>
  <c r="E349" i="1"/>
  <c r="D409" i="1"/>
  <c r="B315" i="1"/>
  <c r="C255" i="1"/>
  <c r="B310" i="1"/>
  <c r="C250" i="1"/>
  <c r="B342" i="1"/>
  <c r="C282" i="1"/>
  <c r="U282" i="1" s="1"/>
  <c r="B269" i="1"/>
  <c r="C209" i="1"/>
  <c r="U209" i="1" s="1"/>
  <c r="C254" i="1"/>
  <c r="B314" i="1"/>
  <c r="E305" i="1"/>
  <c r="D365" i="1"/>
  <c r="B285" i="1"/>
  <c r="C225" i="1"/>
  <c r="U225" i="1" s="1"/>
  <c r="J65" i="1" a="1"/>
  <c r="J65" i="1" s="1"/>
  <c r="D344" i="1"/>
  <c r="U344" i="1" s="1"/>
  <c r="E284" i="1"/>
  <c r="E197" i="1"/>
  <c r="D257" i="1"/>
  <c r="C359" i="1"/>
  <c r="U359" i="1" s="1"/>
  <c r="B419" i="1"/>
  <c r="E281" i="1"/>
  <c r="D341" i="1"/>
  <c r="E293" i="1"/>
  <c r="D353" i="1"/>
  <c r="K65" i="1" a="1"/>
  <c r="K65" i="1" s="1"/>
  <c r="D255" i="1"/>
  <c r="E195" i="1"/>
  <c r="E308" i="1"/>
  <c r="B289" i="1"/>
  <c r="C229" i="1"/>
  <c r="U229" i="1" s="1"/>
  <c r="D250" i="1"/>
  <c r="E190" i="1"/>
  <c r="B245" i="1"/>
  <c r="C185" i="1"/>
  <c r="U185" i="1" s="1"/>
  <c r="C236" i="1"/>
  <c r="U236" i="1" s="1"/>
  <c r="B296" i="1"/>
  <c r="C266" i="1"/>
  <c r="B326" i="1"/>
  <c r="D246" i="1"/>
  <c r="E186" i="1"/>
  <c r="F82" i="1"/>
  <c r="K70" i="1" a="1"/>
  <c r="K70" i="1" s="1"/>
  <c r="J70" i="1" a="1"/>
  <c r="J70" i="1" s="1"/>
  <c r="C322" i="1"/>
  <c r="B382" i="1"/>
  <c r="B252" i="1"/>
  <c r="C192" i="1"/>
  <c r="U192" i="1" s="1"/>
  <c r="D247" i="1"/>
  <c r="E187" i="1"/>
  <c r="F78" i="1"/>
  <c r="K66" i="1" a="1"/>
  <c r="K66" i="1" s="1"/>
  <c r="J66" i="1" a="1"/>
  <c r="J66" i="1" s="1"/>
  <c r="F80" i="1"/>
  <c r="J68" i="1" a="1"/>
  <c r="J68" i="1" s="1"/>
  <c r="K68" i="1" a="1"/>
  <c r="K68" i="1" s="1"/>
  <c r="D400" i="1"/>
  <c r="E340" i="1"/>
  <c r="C287" i="1"/>
  <c r="B347" i="1"/>
  <c r="E226" i="1"/>
  <c r="D286" i="1"/>
  <c r="C242" i="1"/>
  <c r="B302" i="1"/>
  <c r="E359" i="1"/>
  <c r="D419" i="1"/>
  <c r="F107" i="1"/>
  <c r="J95" i="1" a="1"/>
  <c r="J95" i="1" s="1"/>
  <c r="K95" i="1" a="1"/>
  <c r="K95" i="1" s="1"/>
  <c r="K159" i="1" a="1"/>
  <c r="K159" i="1" s="1"/>
  <c r="J159" i="1" a="1"/>
  <c r="J159" i="1" s="1"/>
  <c r="B268" i="1"/>
  <c r="C208" i="1"/>
  <c r="U208" i="1" s="1"/>
  <c r="B257" i="1"/>
  <c r="C197" i="1"/>
  <c r="U197" i="1" s="1"/>
  <c r="B286" i="1"/>
  <c r="C226" i="1"/>
  <c r="U226" i="1" s="1"/>
  <c r="B352" i="1"/>
  <c r="C292" i="1"/>
  <c r="U292" i="1" s="1"/>
  <c r="E212" i="1"/>
  <c r="D272" i="1"/>
  <c r="U272" i="1" s="1"/>
  <c r="E253" i="1"/>
  <c r="D313" i="1"/>
  <c r="J89" i="1" a="1"/>
  <c r="J89" i="1" s="1"/>
  <c r="F101" i="1"/>
  <c r="K89" i="1" a="1"/>
  <c r="K89" i="1" s="1"/>
  <c r="D271" i="1"/>
  <c r="E211" i="1"/>
  <c r="C338" i="1"/>
  <c r="U338" i="1" s="1"/>
  <c r="B398" i="1"/>
  <c r="E214" i="1"/>
  <c r="D274" i="1"/>
  <c r="C300" i="1"/>
  <c r="U300" i="1" s="1"/>
  <c r="B360" i="1"/>
  <c r="D243" i="1"/>
  <c r="E183" i="1"/>
  <c r="C196" i="1"/>
  <c r="U196" i="1" s="1"/>
  <c r="B256" i="1"/>
  <c r="D269" i="1"/>
  <c r="E209" i="1"/>
  <c r="F207" i="1"/>
  <c r="F219" i="1" s="1"/>
  <c r="F231" i="1" s="1"/>
  <c r="J195" i="1" a="1"/>
  <c r="J195" i="1" s="1"/>
  <c r="K195" i="1" a="1"/>
  <c r="K195" i="1" s="1"/>
  <c r="C219" i="1"/>
  <c r="U219" i="1" s="1"/>
  <c r="B279" i="1"/>
  <c r="B249" i="1"/>
  <c r="C189" i="1"/>
  <c r="U189" i="1" s="1"/>
  <c r="D266" i="1"/>
  <c r="E206" i="1"/>
  <c r="B270" i="1"/>
  <c r="C210" i="1"/>
  <c r="U210" i="1" s="1"/>
  <c r="D357" i="1"/>
  <c r="E297" i="1"/>
  <c r="D267" i="1"/>
  <c r="U267" i="1" s="1"/>
  <c r="E207" i="1"/>
  <c r="D415" i="1"/>
  <c r="E355" i="1"/>
  <c r="B358" i="1"/>
  <c r="C298" i="1"/>
  <c r="U298" i="1" s="1"/>
  <c r="F52" i="1"/>
  <c r="K40" i="1" a="1"/>
  <c r="K40" i="1" s="1"/>
  <c r="J40" i="1" a="1"/>
  <c r="J40" i="1" s="1"/>
  <c r="D275" i="1"/>
  <c r="E215" i="1"/>
  <c r="C293" i="1"/>
  <c r="U293" i="1" s="1"/>
  <c r="B353" i="1"/>
  <c r="C263" i="1"/>
  <c r="U263" i="1" s="1"/>
  <c r="B323" i="1"/>
  <c r="D418" i="1"/>
  <c r="E358" i="1"/>
  <c r="E194" i="1"/>
  <c r="D254" i="1"/>
  <c r="J77" i="1" a="1"/>
  <c r="J77" i="1" s="1"/>
  <c r="D372" i="1"/>
  <c r="E312" i="1"/>
  <c r="B321" i="1"/>
  <c r="C261" i="1"/>
  <c r="U261" i="1" s="1"/>
  <c r="E304" i="1"/>
  <c r="D364" i="1"/>
  <c r="D402" i="1"/>
  <c r="E342" i="1"/>
  <c r="D268" i="1"/>
  <c r="E208" i="1"/>
  <c r="F115" i="1"/>
  <c r="J103" i="1" a="1"/>
  <c r="J103" i="1" s="1"/>
  <c r="K103" i="1" a="1"/>
  <c r="K103" i="1" s="1"/>
  <c r="C327" i="1"/>
  <c r="B387" i="1"/>
  <c r="C184" i="1"/>
  <c r="U184" i="1" s="1"/>
  <c r="B244" i="1"/>
  <c r="B271" i="1"/>
  <c r="C211" i="1"/>
  <c r="U211" i="1" s="1"/>
  <c r="E182" i="1"/>
  <c r="D242" i="1"/>
  <c r="B294" i="1"/>
  <c r="C234" i="1"/>
  <c r="U234" i="1" s="1"/>
  <c r="C275" i="1"/>
  <c r="B335" i="1"/>
  <c r="E292" i="1"/>
  <c r="D352" i="1"/>
  <c r="E261" i="1"/>
  <c r="D321" i="1"/>
  <c r="C200" i="1"/>
  <c r="U200" i="1" s="1"/>
  <c r="B260" i="1"/>
  <c r="C191" i="1"/>
  <c r="U191" i="1" s="1"/>
  <c r="B251" i="1"/>
  <c r="F62" i="1"/>
  <c r="J50" i="1" a="1"/>
  <c r="J50" i="1" s="1"/>
  <c r="K50" i="1" a="1"/>
  <c r="K50" i="1" s="1"/>
  <c r="D398" i="1"/>
  <c r="E338" i="1"/>
  <c r="D287" i="1"/>
  <c r="E227" i="1"/>
  <c r="K77" i="1" a="1"/>
  <c r="K77" i="1" s="1"/>
  <c r="C230" i="1"/>
  <c r="U230" i="1" s="1"/>
  <c r="B290" i="1"/>
  <c r="C343" i="1"/>
  <c r="B403" i="1"/>
  <c r="D285" i="1"/>
  <c r="E225" i="1"/>
  <c r="C332" i="1"/>
  <c r="B392" i="1"/>
  <c r="E399" i="1"/>
  <c r="D459" i="1"/>
  <c r="C288" i="1"/>
  <c r="U288" i="1" s="1"/>
  <c r="B348" i="1"/>
  <c r="E217" i="1"/>
  <c r="D277" i="1"/>
  <c r="C325" i="1"/>
  <c r="B385" i="1"/>
  <c r="E198" i="1"/>
  <c r="D258" i="1"/>
  <c r="C161" i="3"/>
  <c r="B221" i="3"/>
  <c r="C280" i="3"/>
  <c r="B416" i="3"/>
  <c r="C223" i="3"/>
  <c r="C287" i="3"/>
  <c r="C168" i="3"/>
  <c r="C144" i="3"/>
  <c r="B204" i="3"/>
  <c r="C296" i="3"/>
  <c r="C147" i="3"/>
  <c r="B207" i="3"/>
  <c r="B320" i="3"/>
  <c r="C260" i="3"/>
  <c r="B291" i="3"/>
  <c r="C231" i="3"/>
  <c r="C298" i="3"/>
  <c r="B358" i="3"/>
  <c r="B216" i="3"/>
  <c r="C156" i="3"/>
  <c r="B215" i="3"/>
  <c r="C155" i="3"/>
  <c r="C316" i="3"/>
  <c r="B376" i="3"/>
  <c r="C184" i="3"/>
  <c r="B244" i="3"/>
  <c r="B273" i="3"/>
  <c r="C213" i="3"/>
  <c r="C192" i="3"/>
  <c r="B252" i="3"/>
  <c r="C127" i="3"/>
  <c r="B187" i="3"/>
  <c r="B392" i="3"/>
  <c r="C332" i="3"/>
  <c r="C241" i="3"/>
  <c r="B301" i="3"/>
  <c r="B460" i="3"/>
  <c r="C400" i="3"/>
  <c r="C319" i="3"/>
  <c r="B379" i="3"/>
  <c r="C179" i="3"/>
  <c r="B239" i="3"/>
  <c r="B195" i="3"/>
  <c r="C135" i="3"/>
  <c r="C180" i="3"/>
  <c r="B240" i="3"/>
  <c r="C229" i="3"/>
  <c r="B289" i="3"/>
  <c r="C217" i="3"/>
  <c r="B277" i="3"/>
  <c r="C285" i="3"/>
  <c r="B345" i="3"/>
  <c r="B350" i="3"/>
  <c r="C290" i="3"/>
  <c r="C288" i="3"/>
  <c r="B348" i="3"/>
  <c r="C185" i="3"/>
  <c r="B245" i="3"/>
  <c r="C407" i="3"/>
  <c r="B467" i="3"/>
  <c r="B314" i="3"/>
  <c r="C254" i="3"/>
  <c r="B353" i="3"/>
  <c r="C293" i="3"/>
  <c r="B284" i="3"/>
  <c r="C224" i="3"/>
  <c r="C218" i="3"/>
  <c r="B278" i="3"/>
  <c r="C149" i="3"/>
  <c r="B209" i="3"/>
  <c r="B219" i="3"/>
  <c r="C159" i="3"/>
  <c r="B203" i="3"/>
  <c r="C143" i="3"/>
  <c r="B386" i="3"/>
  <c r="C326" i="3"/>
  <c r="C189" i="3"/>
  <c r="B249" i="3"/>
  <c r="C253" i="3"/>
  <c r="B313" i="3"/>
  <c r="B202" i="3"/>
  <c r="C142" i="3"/>
  <c r="C354" i="3"/>
  <c r="B414" i="3"/>
  <c r="B343" i="3"/>
  <c r="C283" i="3"/>
  <c r="B385" i="3"/>
  <c r="C325" i="3"/>
  <c r="B342" i="3"/>
  <c r="C282" i="3"/>
  <c r="C128" i="3"/>
  <c r="B188" i="3"/>
  <c r="B321" i="3"/>
  <c r="C261" i="3"/>
  <c r="C232" i="3"/>
  <c r="B292" i="3"/>
  <c r="C151" i="3"/>
  <c r="B211" i="3"/>
  <c r="C122" i="3"/>
  <c r="B182" i="3"/>
  <c r="B246" i="3"/>
  <c r="C186" i="3"/>
  <c r="B355" i="3"/>
  <c r="C295" i="3"/>
  <c r="B270" i="3"/>
  <c r="C210" i="3"/>
  <c r="B226" i="3"/>
  <c r="C166" i="3"/>
  <c r="C191" i="3"/>
  <c r="B251" i="3"/>
  <c r="C154" i="3"/>
  <c r="B214" i="3"/>
  <c r="B258" i="3"/>
  <c r="C198" i="3"/>
  <c r="B257" i="3"/>
  <c r="C197" i="3"/>
  <c r="C148" i="3"/>
  <c r="B208" i="3"/>
  <c r="C123" i="3"/>
  <c r="B183" i="3"/>
  <c r="C237" i="3"/>
  <c r="B297" i="3"/>
  <c r="B476" i="3"/>
  <c r="C416" i="3"/>
  <c r="B250" i="3"/>
  <c r="C190" i="3"/>
  <c r="U255" i="1" l="1"/>
  <c r="U343" i="1"/>
  <c r="U242" i="1"/>
  <c r="U275" i="1"/>
  <c r="U308" i="1"/>
  <c r="U250" i="1"/>
  <c r="C276" i="1"/>
  <c r="U276" i="1" s="1"/>
  <c r="E343" i="1"/>
  <c r="D380" i="1"/>
  <c r="D440" i="1" s="1"/>
  <c r="U254" i="1"/>
  <c r="U258" i="1"/>
  <c r="U322" i="1"/>
  <c r="U287" i="1"/>
  <c r="U246" i="1"/>
  <c r="J183" i="1" a="1"/>
  <c r="J183" i="1" s="1"/>
  <c r="O183" i="1" s="1"/>
  <c r="U183" i="1"/>
  <c r="U266" i="1"/>
  <c r="E290" i="1"/>
  <c r="B464" i="1"/>
  <c r="C464" i="1" s="1"/>
  <c r="E273" i="1"/>
  <c r="O195" i="1"/>
  <c r="M195" i="1"/>
  <c r="R195" i="1" s="1"/>
  <c r="O159" i="1"/>
  <c r="M159" i="1"/>
  <c r="O70" i="1"/>
  <c r="M70" i="1"/>
  <c r="R70" i="1" s="1"/>
  <c r="O123" i="1"/>
  <c r="P123" i="1" s="1"/>
  <c r="S123" i="1" s="1"/>
  <c r="M123" i="1"/>
  <c r="R123" i="1" s="1"/>
  <c r="O84" i="1"/>
  <c r="O103" i="1"/>
  <c r="M103" i="1"/>
  <c r="R103" i="1" s="1"/>
  <c r="O50" i="1"/>
  <c r="M50" i="1"/>
  <c r="R50" i="1" s="1"/>
  <c r="O65" i="1"/>
  <c r="M65" i="1"/>
  <c r="R65" i="1" s="1"/>
  <c r="O40" i="1"/>
  <c r="M40" i="1"/>
  <c r="R40" i="1" s="1"/>
  <c r="O77" i="1"/>
  <c r="M77" i="1"/>
  <c r="R77" i="1" s="1"/>
  <c r="E322" i="1"/>
  <c r="O49" i="1"/>
  <c r="M49" i="1"/>
  <c r="R49" i="1" s="1"/>
  <c r="O68" i="1"/>
  <c r="M68" i="1"/>
  <c r="R68" i="1" s="1"/>
  <c r="O91" i="1"/>
  <c r="P91" i="1" s="1"/>
  <c r="S91" i="1" s="1"/>
  <c r="M91" i="1"/>
  <c r="R91" i="1" s="1"/>
  <c r="O69" i="1"/>
  <c r="P69" i="1" s="1"/>
  <c r="S69" i="1" s="1"/>
  <c r="M69" i="1"/>
  <c r="R69" i="1" s="1"/>
  <c r="O89" i="1"/>
  <c r="M89" i="1"/>
  <c r="O66" i="1"/>
  <c r="M66" i="1"/>
  <c r="R66" i="1" s="1"/>
  <c r="O95" i="1"/>
  <c r="M95" i="1"/>
  <c r="R95" i="1" s="1"/>
  <c r="P63" i="1"/>
  <c r="S63" i="1" s="1"/>
  <c r="T63" i="1"/>
  <c r="P57" i="1"/>
  <c r="S57" i="1" s="1"/>
  <c r="T57" i="1"/>
  <c r="P87" i="1"/>
  <c r="S87" i="1" s="1"/>
  <c r="P48" i="1"/>
  <c r="S48" i="1" s="1"/>
  <c r="T48" i="1"/>
  <c r="B340" i="1"/>
  <c r="B400" i="1" s="1"/>
  <c r="P55" i="1"/>
  <c r="S55" i="1" s="1"/>
  <c r="T55" i="1"/>
  <c r="P45" i="1"/>
  <c r="S45" i="1" s="1"/>
  <c r="T45" i="1"/>
  <c r="P37" i="1"/>
  <c r="S37" i="1" s="1"/>
  <c r="T37" i="1"/>
  <c r="R81" i="1"/>
  <c r="O81" i="1"/>
  <c r="P81" i="1" s="1"/>
  <c r="S81" i="1" s="1"/>
  <c r="P67" i="1"/>
  <c r="S67" i="1" s="1"/>
  <c r="T67" i="1"/>
  <c r="E336" i="1"/>
  <c r="P135" i="1"/>
  <c r="S135" i="1" s="1"/>
  <c r="P83" i="1"/>
  <c r="S83" i="1" s="1"/>
  <c r="D376" i="1"/>
  <c r="E316" i="1"/>
  <c r="K93" i="1" a="1"/>
  <c r="K93" i="1" s="1"/>
  <c r="E323" i="1"/>
  <c r="J93" i="1" a="1"/>
  <c r="J93" i="1" s="1"/>
  <c r="J72" i="1" a="1"/>
  <c r="J72" i="1" s="1"/>
  <c r="F96" i="1"/>
  <c r="F108" i="1" s="1"/>
  <c r="K84" i="1" a="1"/>
  <c r="K84" i="1" s="1"/>
  <c r="M84" i="1" s="1"/>
  <c r="P99" i="1"/>
  <c r="S99" i="1" s="1"/>
  <c r="N70" i="1"/>
  <c r="T70" i="1" s="1"/>
  <c r="N66" i="1"/>
  <c r="T66" i="1" s="1"/>
  <c r="C361" i="1"/>
  <c r="U361" i="1" s="1"/>
  <c r="N40" i="1"/>
  <c r="T40" i="1" s="1"/>
  <c r="P171" i="1"/>
  <c r="S171" i="1" s="1"/>
  <c r="K72" i="1" a="1"/>
  <c r="K72" i="1" s="1"/>
  <c r="P53" i="1"/>
  <c r="S53" i="1" s="1"/>
  <c r="P54" i="1"/>
  <c r="S54" i="1" s="1"/>
  <c r="C295" i="1"/>
  <c r="U295" i="1" s="1"/>
  <c r="B355" i="1"/>
  <c r="P71" i="1"/>
  <c r="S71" i="1" s="1"/>
  <c r="N195" i="1"/>
  <c r="T195" i="1" s="1"/>
  <c r="N49" i="1"/>
  <c r="T49" i="1" s="1"/>
  <c r="N103" i="1"/>
  <c r="T103" i="1" s="1"/>
  <c r="J207" i="1" a="1"/>
  <c r="J207" i="1" s="1"/>
  <c r="E356" i="1"/>
  <c r="D416" i="1"/>
  <c r="P58" i="1"/>
  <c r="S58" i="1" s="1"/>
  <c r="N60" i="1"/>
  <c r="R60" i="1"/>
  <c r="N159" i="1"/>
  <c r="T159" i="1" s="1"/>
  <c r="R159" i="1"/>
  <c r="N95" i="1"/>
  <c r="T95" i="1" s="1"/>
  <c r="N68" i="1"/>
  <c r="T68" i="1" s="1"/>
  <c r="P28" i="1"/>
  <c r="S28" i="1" s="1"/>
  <c r="N65" i="1"/>
  <c r="N77" i="1"/>
  <c r="T77" i="1" s="1"/>
  <c r="N89" i="1"/>
  <c r="T89" i="1" s="1"/>
  <c r="R89" i="1"/>
  <c r="P79" i="1"/>
  <c r="S79" i="1" s="1"/>
  <c r="N50" i="1"/>
  <c r="T50" i="1" s="1"/>
  <c r="P38" i="1"/>
  <c r="S38" i="1" s="1"/>
  <c r="P147" i="1"/>
  <c r="S147" i="1" s="1"/>
  <c r="C264" i="1"/>
  <c r="U264" i="1" s="1"/>
  <c r="B324" i="1"/>
  <c r="C351" i="1"/>
  <c r="U351" i="1" s="1"/>
  <c r="B411" i="1"/>
  <c r="E259" i="1"/>
  <c r="D319" i="1"/>
  <c r="B373" i="1"/>
  <c r="C313" i="1"/>
  <c r="U313" i="1" s="1"/>
  <c r="F73" i="1"/>
  <c r="K61" i="1" a="1"/>
  <c r="K61" i="1" s="1"/>
  <c r="J61" i="1" a="1"/>
  <c r="J61" i="1" s="1"/>
  <c r="K183" i="1" a="1"/>
  <c r="K183" i="1" s="1"/>
  <c r="D474" i="1"/>
  <c r="E414" i="1"/>
  <c r="D408" i="1"/>
  <c r="E348" i="1"/>
  <c r="E371" i="1"/>
  <c r="D431" i="1"/>
  <c r="C277" i="1"/>
  <c r="U277" i="1" s="1"/>
  <c r="B337" i="1"/>
  <c r="E309" i="1"/>
  <c r="D369" i="1"/>
  <c r="C259" i="1"/>
  <c r="U259" i="1" s="1"/>
  <c r="B319" i="1"/>
  <c r="D390" i="1"/>
  <c r="E330" i="1"/>
  <c r="E361" i="1"/>
  <c r="D421" i="1"/>
  <c r="D413" i="1"/>
  <c r="E353" i="1"/>
  <c r="C314" i="1"/>
  <c r="B374" i="1"/>
  <c r="B401" i="1"/>
  <c r="C341" i="1"/>
  <c r="U341" i="1" s="1"/>
  <c r="E383" i="1"/>
  <c r="D443" i="1"/>
  <c r="B366" i="1"/>
  <c r="C306" i="1"/>
  <c r="C297" i="1"/>
  <c r="U297" i="1" s="1"/>
  <c r="B357" i="1"/>
  <c r="B333" i="1"/>
  <c r="C273" i="1"/>
  <c r="U273" i="1" s="1"/>
  <c r="D310" i="1"/>
  <c r="E250" i="1"/>
  <c r="E257" i="1"/>
  <c r="D317" i="1"/>
  <c r="E396" i="1"/>
  <c r="D456" i="1"/>
  <c r="D411" i="1"/>
  <c r="E351" i="1"/>
  <c r="E344" i="1"/>
  <c r="D404" i="1"/>
  <c r="U404" i="1" s="1"/>
  <c r="C247" i="1"/>
  <c r="U247" i="1" s="1"/>
  <c r="B307" i="1"/>
  <c r="D384" i="1"/>
  <c r="E324" i="1"/>
  <c r="E265" i="1"/>
  <c r="D325" i="1"/>
  <c r="U325" i="1" s="1"/>
  <c r="E368" i="1"/>
  <c r="D428" i="1"/>
  <c r="B370" i="1"/>
  <c r="C310" i="1"/>
  <c r="C318" i="1"/>
  <c r="B378" i="1"/>
  <c r="E341" i="1"/>
  <c r="D401" i="1"/>
  <c r="B479" i="1"/>
  <c r="C419" i="1"/>
  <c r="U419" i="1" s="1"/>
  <c r="B329" i="1"/>
  <c r="C269" i="1"/>
  <c r="U269" i="1" s="1"/>
  <c r="B402" i="1"/>
  <c r="C342" i="1"/>
  <c r="U342" i="1" s="1"/>
  <c r="B349" i="1"/>
  <c r="C289" i="1"/>
  <c r="U289" i="1" s="1"/>
  <c r="D410" i="1"/>
  <c r="E350" i="1"/>
  <c r="E380" i="1"/>
  <c r="C368" i="1"/>
  <c r="U368" i="1" s="1"/>
  <c r="B428" i="1"/>
  <c r="C285" i="1"/>
  <c r="U285" i="1" s="1"/>
  <c r="B345" i="1"/>
  <c r="B375" i="1"/>
  <c r="C315" i="1"/>
  <c r="C274" i="1"/>
  <c r="U274" i="1" s="1"/>
  <c r="B334" i="1"/>
  <c r="E255" i="1"/>
  <c r="D315" i="1"/>
  <c r="E365" i="1"/>
  <c r="D425" i="1"/>
  <c r="E409" i="1"/>
  <c r="D469" i="1"/>
  <c r="E360" i="1"/>
  <c r="D420" i="1"/>
  <c r="B303" i="1"/>
  <c r="C243" i="1"/>
  <c r="U243" i="1" s="1"/>
  <c r="C348" i="1"/>
  <c r="U348" i="1" s="1"/>
  <c r="B408" i="1"/>
  <c r="D329" i="1"/>
  <c r="E269" i="1"/>
  <c r="B362" i="1"/>
  <c r="C302" i="1"/>
  <c r="F94" i="1"/>
  <c r="K82" i="1" a="1"/>
  <c r="K82" i="1" s="1"/>
  <c r="J82" i="1" a="1"/>
  <c r="J82" i="1" s="1"/>
  <c r="E275" i="1"/>
  <c r="D335" i="1"/>
  <c r="E247" i="1"/>
  <c r="D307" i="1"/>
  <c r="C387" i="1"/>
  <c r="B447" i="1"/>
  <c r="C321" i="1"/>
  <c r="U321" i="1" s="1"/>
  <c r="B381" i="1"/>
  <c r="B413" i="1"/>
  <c r="C353" i="1"/>
  <c r="U353" i="1" s="1"/>
  <c r="D326" i="1"/>
  <c r="E266" i="1"/>
  <c r="E246" i="1"/>
  <c r="D306" i="1"/>
  <c r="B305" i="1"/>
  <c r="C245" i="1"/>
  <c r="U245" i="1" s="1"/>
  <c r="D412" i="1"/>
  <c r="E352" i="1"/>
  <c r="C326" i="1"/>
  <c r="B386" i="1"/>
  <c r="B331" i="1"/>
  <c r="C271" i="1"/>
  <c r="U271" i="1" s="1"/>
  <c r="J115" i="1" a="1"/>
  <c r="J115" i="1" s="1"/>
  <c r="K115" i="1" a="1"/>
  <c r="K115" i="1" s="1"/>
  <c r="F127" i="1"/>
  <c r="D462" i="1"/>
  <c r="E402" i="1"/>
  <c r="D432" i="1"/>
  <c r="E372" i="1"/>
  <c r="B407" i="1"/>
  <c r="C347" i="1"/>
  <c r="U347" i="1" s="1"/>
  <c r="C421" i="1"/>
  <c r="B481" i="1"/>
  <c r="B452" i="1"/>
  <c r="C392" i="1"/>
  <c r="E267" i="1"/>
  <c r="D327" i="1"/>
  <c r="U327" i="1" s="1"/>
  <c r="D334" i="1"/>
  <c r="E274" i="1"/>
  <c r="C403" i="1"/>
  <c r="U403" i="1" s="1"/>
  <c r="B463" i="1"/>
  <c r="E364" i="1"/>
  <c r="D424" i="1"/>
  <c r="D478" i="1"/>
  <c r="E418" i="1"/>
  <c r="B418" i="1"/>
  <c r="C358" i="1"/>
  <c r="U358" i="1" s="1"/>
  <c r="K219" i="1" a="1"/>
  <c r="K219" i="1" s="1"/>
  <c r="J219" i="1" a="1"/>
  <c r="J219" i="1" s="1"/>
  <c r="K78" i="1" a="1"/>
  <c r="K78" i="1" s="1"/>
  <c r="F90" i="1"/>
  <c r="J78" i="1" a="1"/>
  <c r="J78" i="1" s="1"/>
  <c r="C323" i="1"/>
  <c r="U323" i="1" s="1"/>
  <c r="B383" i="1"/>
  <c r="C256" i="1"/>
  <c r="U256" i="1" s="1"/>
  <c r="B316" i="1"/>
  <c r="E272" i="1"/>
  <c r="D332" i="1"/>
  <c r="U332" i="1" s="1"/>
  <c r="C286" i="1"/>
  <c r="U286" i="1" s="1"/>
  <c r="B346" i="1"/>
  <c r="C260" i="1"/>
  <c r="U260" i="1" s="1"/>
  <c r="B320" i="1"/>
  <c r="E242" i="1"/>
  <c r="D302" i="1"/>
  <c r="E403" i="1"/>
  <c r="D463" i="1"/>
  <c r="C270" i="1"/>
  <c r="U270" i="1" s="1"/>
  <c r="B330" i="1"/>
  <c r="D318" i="1"/>
  <c r="E258" i="1"/>
  <c r="C252" i="1"/>
  <c r="U252" i="1" s="1"/>
  <c r="B312" i="1"/>
  <c r="E415" i="1"/>
  <c r="D475" i="1"/>
  <c r="F117" i="1"/>
  <c r="J105" i="1" a="1"/>
  <c r="J105" i="1" s="1"/>
  <c r="K105" i="1" a="1"/>
  <c r="K105" i="1" s="1"/>
  <c r="D303" i="1"/>
  <c r="E243" i="1"/>
  <c r="C268" i="1"/>
  <c r="U268" i="1" s="1"/>
  <c r="B328" i="1"/>
  <c r="E459" i="1"/>
  <c r="D519" i="1"/>
  <c r="C335" i="1"/>
  <c r="B395" i="1"/>
  <c r="F74" i="1"/>
  <c r="K62" i="1" a="1"/>
  <c r="K62" i="1" s="1"/>
  <c r="J62" i="1" a="1"/>
  <c r="J62" i="1" s="1"/>
  <c r="E268" i="1"/>
  <c r="D328" i="1"/>
  <c r="F64" i="1"/>
  <c r="J52" i="1" a="1"/>
  <c r="J52" i="1" s="1"/>
  <c r="K52" i="1" a="1"/>
  <c r="K52" i="1" s="1"/>
  <c r="D442" i="1"/>
  <c r="E382" i="1"/>
  <c r="E277" i="1"/>
  <c r="D337" i="1"/>
  <c r="D345" i="1"/>
  <c r="E285" i="1"/>
  <c r="B354" i="1"/>
  <c r="C294" i="1"/>
  <c r="U294" i="1" s="1"/>
  <c r="C244" i="1"/>
  <c r="U244" i="1" s="1"/>
  <c r="B304" i="1"/>
  <c r="C279" i="1"/>
  <c r="U279" i="1" s="1"/>
  <c r="B339" i="1"/>
  <c r="E313" i="1"/>
  <c r="D373" i="1"/>
  <c r="D479" i="1"/>
  <c r="E419" i="1"/>
  <c r="B420" i="1"/>
  <c r="C360" i="1"/>
  <c r="U360" i="1" s="1"/>
  <c r="C257" i="1"/>
  <c r="U257" i="1" s="1"/>
  <c r="B317" i="1"/>
  <c r="E286" i="1"/>
  <c r="D346" i="1"/>
  <c r="E321" i="1"/>
  <c r="D381" i="1"/>
  <c r="C336" i="1"/>
  <c r="U336" i="1" s="1"/>
  <c r="B396" i="1"/>
  <c r="C398" i="1"/>
  <c r="U398" i="1" s="1"/>
  <c r="B458" i="1"/>
  <c r="E271" i="1"/>
  <c r="D331" i="1"/>
  <c r="E333" i="1"/>
  <c r="D393" i="1"/>
  <c r="F243" i="1"/>
  <c r="F255" i="1" s="1"/>
  <c r="K231" i="1" a="1"/>
  <c r="K231" i="1" s="1"/>
  <c r="J231" i="1" a="1"/>
  <c r="J231" i="1" s="1"/>
  <c r="F92" i="1"/>
  <c r="K80" i="1" a="1"/>
  <c r="K80" i="1" s="1"/>
  <c r="J80" i="1" a="1"/>
  <c r="J80" i="1" s="1"/>
  <c r="C382" i="1"/>
  <c r="U382" i="1" s="1"/>
  <c r="B442" i="1"/>
  <c r="C290" i="1"/>
  <c r="U290" i="1" s="1"/>
  <c r="B350" i="1"/>
  <c r="D458" i="1"/>
  <c r="E398" i="1"/>
  <c r="K207" i="1" a="1"/>
  <c r="K207" i="1" s="1"/>
  <c r="F113" i="1"/>
  <c r="K101" i="1" a="1"/>
  <c r="K101" i="1" s="1"/>
  <c r="J101" i="1" a="1"/>
  <c r="J101" i="1" s="1"/>
  <c r="C352" i="1"/>
  <c r="U352" i="1" s="1"/>
  <c r="B412" i="1"/>
  <c r="F119" i="1"/>
  <c r="J107" i="1" a="1"/>
  <c r="J107" i="1" s="1"/>
  <c r="K107" i="1" a="1"/>
  <c r="K107" i="1" s="1"/>
  <c r="D460" i="1"/>
  <c r="E400" i="1"/>
  <c r="C385" i="1"/>
  <c r="B445" i="1"/>
  <c r="E254" i="1"/>
  <c r="D314" i="1"/>
  <c r="E287" i="1"/>
  <c r="D347" i="1"/>
  <c r="B311" i="1"/>
  <c r="C251" i="1"/>
  <c r="U251" i="1" s="1"/>
  <c r="E357" i="1"/>
  <c r="D417" i="1"/>
  <c r="C249" i="1"/>
  <c r="U249" i="1" s="1"/>
  <c r="B309" i="1"/>
  <c r="B356" i="1"/>
  <c r="C296" i="1"/>
  <c r="U296" i="1" s="1"/>
  <c r="B267" i="3"/>
  <c r="C207" i="3"/>
  <c r="B418" i="3"/>
  <c r="C358" i="3"/>
  <c r="C221" i="3"/>
  <c r="B281" i="3"/>
  <c r="B351" i="3"/>
  <c r="C291" i="3"/>
  <c r="C320" i="3"/>
  <c r="B380" i="3"/>
  <c r="B264" i="3"/>
  <c r="C204" i="3"/>
  <c r="C379" i="3"/>
  <c r="B439" i="3"/>
  <c r="B318" i="3"/>
  <c r="C258" i="3"/>
  <c r="B271" i="3"/>
  <c r="C211" i="3"/>
  <c r="C249" i="3"/>
  <c r="B309" i="3"/>
  <c r="C187" i="3"/>
  <c r="B247" i="3"/>
  <c r="C343" i="3"/>
  <c r="B403" i="3"/>
  <c r="B520" i="3"/>
  <c r="C460" i="3"/>
  <c r="B274" i="3"/>
  <c r="C214" i="3"/>
  <c r="B352" i="3"/>
  <c r="C292" i="3"/>
  <c r="C467" i="3"/>
  <c r="B527" i="3"/>
  <c r="B242" i="3"/>
  <c r="C182" i="3"/>
  <c r="C313" i="3"/>
  <c r="B373" i="3"/>
  <c r="B286" i="3"/>
  <c r="C226" i="3"/>
  <c r="C321" i="3"/>
  <c r="B381" i="3"/>
  <c r="B452" i="3"/>
  <c r="C392" i="3"/>
  <c r="C209" i="3"/>
  <c r="B269" i="3"/>
  <c r="C188" i="3"/>
  <c r="B248" i="3"/>
  <c r="C414" i="3"/>
  <c r="B474" i="3"/>
  <c r="B338" i="3"/>
  <c r="C278" i="3"/>
  <c r="C252" i="3"/>
  <c r="B312" i="3"/>
  <c r="B275" i="3"/>
  <c r="C215" i="3"/>
  <c r="C297" i="3"/>
  <c r="B357" i="3"/>
  <c r="C251" i="3"/>
  <c r="B311" i="3"/>
  <c r="C245" i="3"/>
  <c r="B305" i="3"/>
  <c r="C277" i="3"/>
  <c r="B337" i="3"/>
  <c r="B299" i="3"/>
  <c r="C239" i="3"/>
  <c r="B361" i="3"/>
  <c r="C301" i="3"/>
  <c r="C183" i="3"/>
  <c r="B243" i="3"/>
  <c r="B408" i="3"/>
  <c r="C348" i="3"/>
  <c r="C289" i="3"/>
  <c r="B349" i="3"/>
  <c r="C244" i="3"/>
  <c r="B304" i="3"/>
  <c r="B445" i="3"/>
  <c r="C385" i="3"/>
  <c r="C219" i="3"/>
  <c r="B279" i="3"/>
  <c r="B413" i="3"/>
  <c r="C353" i="3"/>
  <c r="C240" i="3"/>
  <c r="B300" i="3"/>
  <c r="B436" i="3"/>
  <c r="C376" i="3"/>
  <c r="C250" i="3"/>
  <c r="B310" i="3"/>
  <c r="B330" i="3"/>
  <c r="C270" i="3"/>
  <c r="B374" i="3"/>
  <c r="C314" i="3"/>
  <c r="B410" i="3"/>
  <c r="C350" i="3"/>
  <c r="B268" i="3"/>
  <c r="C208" i="3"/>
  <c r="C345" i="3"/>
  <c r="B405" i="3"/>
  <c r="B536" i="3"/>
  <c r="C476" i="3"/>
  <c r="C355" i="3"/>
  <c r="B415" i="3"/>
  <c r="B446" i="3"/>
  <c r="C386" i="3"/>
  <c r="C195" i="3"/>
  <c r="B255" i="3"/>
  <c r="C257" i="3"/>
  <c r="B317" i="3"/>
  <c r="B306" i="3"/>
  <c r="C246" i="3"/>
  <c r="B402" i="3"/>
  <c r="C342" i="3"/>
  <c r="B262" i="3"/>
  <c r="C202" i="3"/>
  <c r="B263" i="3"/>
  <c r="C203" i="3"/>
  <c r="B344" i="3"/>
  <c r="C284" i="3"/>
  <c r="C273" i="3"/>
  <c r="B333" i="3"/>
  <c r="C216" i="3"/>
  <c r="B276" i="3"/>
  <c r="M183" i="1" l="1"/>
  <c r="R183" i="1" s="1"/>
  <c r="U421" i="1"/>
  <c r="U306" i="1"/>
  <c r="U315" i="1"/>
  <c r="U335" i="1"/>
  <c r="B524" i="1"/>
  <c r="U318" i="1"/>
  <c r="U314" i="1"/>
  <c r="U302" i="1"/>
  <c r="U326" i="1"/>
  <c r="U310" i="1"/>
  <c r="C340" i="1"/>
  <c r="U340" i="1" s="1"/>
  <c r="O82" i="1"/>
  <c r="M82" i="1"/>
  <c r="R82" i="1" s="1"/>
  <c r="O105" i="1"/>
  <c r="M105" i="1"/>
  <c r="R105" i="1" s="1"/>
  <c r="O62" i="1"/>
  <c r="M62" i="1"/>
  <c r="R62" i="1" s="1"/>
  <c r="O78" i="1"/>
  <c r="M78" i="1"/>
  <c r="R78" i="1" s="1"/>
  <c r="R84" i="1"/>
  <c r="O101" i="1"/>
  <c r="M101" i="1"/>
  <c r="R101" i="1" s="1"/>
  <c r="O61" i="1"/>
  <c r="M61" i="1"/>
  <c r="R61" i="1" s="1"/>
  <c r="O52" i="1"/>
  <c r="M52" i="1"/>
  <c r="R52" i="1" s="1"/>
  <c r="O207" i="1"/>
  <c r="M207" i="1"/>
  <c r="R207" i="1" s="1"/>
  <c r="O115" i="1"/>
  <c r="M115" i="1"/>
  <c r="R115" i="1" s="1"/>
  <c r="O80" i="1"/>
  <c r="M80" i="1"/>
  <c r="R80" i="1" s="1"/>
  <c r="O107" i="1"/>
  <c r="M107" i="1"/>
  <c r="R107" i="1" s="1"/>
  <c r="O219" i="1"/>
  <c r="M219" i="1"/>
  <c r="R219" i="1" s="1"/>
  <c r="O231" i="1"/>
  <c r="M231" i="1"/>
  <c r="R231" i="1" s="1"/>
  <c r="O72" i="1"/>
  <c r="M72" i="1"/>
  <c r="R72" i="1" s="1"/>
  <c r="O93" i="1"/>
  <c r="M93" i="1"/>
  <c r="R93" i="1" s="1"/>
  <c r="K96" i="1" a="1"/>
  <c r="K96" i="1" s="1"/>
  <c r="N96" i="1" s="1"/>
  <c r="T96" i="1" s="1"/>
  <c r="P65" i="1"/>
  <c r="S65" i="1" s="1"/>
  <c r="T65" i="1"/>
  <c r="P60" i="1"/>
  <c r="S60" i="1" s="1"/>
  <c r="T60" i="1"/>
  <c r="N93" i="1"/>
  <c r="T93" i="1" s="1"/>
  <c r="J96" i="1" a="1"/>
  <c r="J96" i="1" s="1"/>
  <c r="E376" i="1"/>
  <c r="D436" i="1"/>
  <c r="N84" i="1"/>
  <c r="T84" i="1" s="1"/>
  <c r="P66" i="1"/>
  <c r="S66" i="1" s="1"/>
  <c r="P103" i="1"/>
  <c r="S103" i="1" s="1"/>
  <c r="P159" i="1"/>
  <c r="S159" i="1" s="1"/>
  <c r="P70" i="1"/>
  <c r="S70" i="1" s="1"/>
  <c r="P49" i="1"/>
  <c r="S49" i="1" s="1"/>
  <c r="P40" i="1"/>
  <c r="S40" i="1" s="1"/>
  <c r="P77" i="1"/>
  <c r="S77" i="1" s="1"/>
  <c r="P50" i="1"/>
  <c r="S50" i="1" s="1"/>
  <c r="N62" i="1"/>
  <c r="T62" i="1" s="1"/>
  <c r="P95" i="1"/>
  <c r="S95" i="1" s="1"/>
  <c r="N207" i="1"/>
  <c r="P68" i="1"/>
  <c r="S68" i="1" s="1"/>
  <c r="N80" i="1"/>
  <c r="T80" i="1" s="1"/>
  <c r="N61" i="1"/>
  <c r="T61" i="1" s="1"/>
  <c r="N231" i="1"/>
  <c r="T231" i="1" s="1"/>
  <c r="D476" i="1"/>
  <c r="E416" i="1"/>
  <c r="N78" i="1"/>
  <c r="T78" i="1" s="1"/>
  <c r="N82" i="1"/>
  <c r="T82" i="1" s="1"/>
  <c r="N105" i="1"/>
  <c r="T105" i="1" s="1"/>
  <c r="N115" i="1"/>
  <c r="T115" i="1" s="1"/>
  <c r="C355" i="1"/>
  <c r="U355" i="1" s="1"/>
  <c r="B415" i="1"/>
  <c r="N183" i="1"/>
  <c r="N107" i="1"/>
  <c r="T107" i="1" s="1"/>
  <c r="P89" i="1"/>
  <c r="S89" i="1" s="1"/>
  <c r="N72" i="1"/>
  <c r="N101" i="1"/>
  <c r="T101" i="1" s="1"/>
  <c r="P195" i="1"/>
  <c r="S195" i="1" s="1"/>
  <c r="N52" i="1"/>
  <c r="T52" i="1" s="1"/>
  <c r="N219" i="1"/>
  <c r="T219" i="1" s="1"/>
  <c r="D481" i="1"/>
  <c r="E421" i="1"/>
  <c r="B379" i="1"/>
  <c r="C319" i="1"/>
  <c r="U319" i="1" s="1"/>
  <c r="D429" i="1"/>
  <c r="E369" i="1"/>
  <c r="F85" i="1"/>
  <c r="J73" i="1" a="1"/>
  <c r="J73" i="1" s="1"/>
  <c r="K73" i="1" a="1"/>
  <c r="K73" i="1" s="1"/>
  <c r="D534" i="1"/>
  <c r="E474" i="1"/>
  <c r="B384" i="1"/>
  <c r="C324" i="1"/>
  <c r="U324" i="1" s="1"/>
  <c r="E390" i="1"/>
  <c r="D450" i="1"/>
  <c r="B397" i="1"/>
  <c r="C337" i="1"/>
  <c r="U337" i="1" s="1"/>
  <c r="B433" i="1"/>
  <c r="C373" i="1"/>
  <c r="U373" i="1" s="1"/>
  <c r="E319" i="1"/>
  <c r="D379" i="1"/>
  <c r="D491" i="1"/>
  <c r="E431" i="1"/>
  <c r="B471" i="1"/>
  <c r="C411" i="1"/>
  <c r="U411" i="1" s="1"/>
  <c r="D468" i="1"/>
  <c r="E408" i="1"/>
  <c r="E310" i="1"/>
  <c r="D370" i="1"/>
  <c r="D375" i="1"/>
  <c r="E315" i="1"/>
  <c r="E440" i="1"/>
  <c r="D500" i="1"/>
  <c r="C307" i="1"/>
  <c r="U307" i="1" s="1"/>
  <c r="B367" i="1"/>
  <c r="E456" i="1"/>
  <c r="D516" i="1"/>
  <c r="B461" i="1"/>
  <c r="C401" i="1"/>
  <c r="U401" i="1" s="1"/>
  <c r="C375" i="1"/>
  <c r="U375" i="1" s="1"/>
  <c r="B435" i="1"/>
  <c r="B430" i="1"/>
  <c r="C370" i="1"/>
  <c r="B434" i="1"/>
  <c r="C374" i="1"/>
  <c r="B405" i="1"/>
  <c r="C345" i="1"/>
  <c r="U345" i="1" s="1"/>
  <c r="B462" i="1"/>
  <c r="C402" i="1"/>
  <c r="U402" i="1" s="1"/>
  <c r="D488" i="1"/>
  <c r="E428" i="1"/>
  <c r="E317" i="1"/>
  <c r="D377" i="1"/>
  <c r="B539" i="1"/>
  <c r="C479" i="1"/>
  <c r="U479" i="1" s="1"/>
  <c r="B584" i="1"/>
  <c r="C584" i="1" s="1"/>
  <c r="C524" i="1"/>
  <c r="C333" i="1"/>
  <c r="U333" i="1" s="1"/>
  <c r="B393" i="1"/>
  <c r="B426" i="1"/>
  <c r="C366" i="1"/>
  <c r="C349" i="1"/>
  <c r="U349" i="1" s="1"/>
  <c r="B409" i="1"/>
  <c r="C303" i="1"/>
  <c r="U303" i="1" s="1"/>
  <c r="B363" i="1"/>
  <c r="E469" i="1"/>
  <c r="D529" i="1"/>
  <c r="D485" i="1"/>
  <c r="E425" i="1"/>
  <c r="D461" i="1"/>
  <c r="E401" i="1"/>
  <c r="B417" i="1"/>
  <c r="C357" i="1"/>
  <c r="U357" i="1" s="1"/>
  <c r="D444" i="1"/>
  <c r="E384" i="1"/>
  <c r="C334" i="1"/>
  <c r="U334" i="1" s="1"/>
  <c r="B394" i="1"/>
  <c r="D464" i="1"/>
  <c r="U464" i="1" s="1"/>
  <c r="E404" i="1"/>
  <c r="E443" i="1"/>
  <c r="D503" i="1"/>
  <c r="D470" i="1"/>
  <c r="E410" i="1"/>
  <c r="C378" i="1"/>
  <c r="B438" i="1"/>
  <c r="E411" i="1"/>
  <c r="D471" i="1"/>
  <c r="D480" i="1"/>
  <c r="E420" i="1"/>
  <c r="B488" i="1"/>
  <c r="C428" i="1"/>
  <c r="U428" i="1" s="1"/>
  <c r="B389" i="1"/>
  <c r="C329" i="1"/>
  <c r="U329" i="1" s="1"/>
  <c r="E325" i="1"/>
  <c r="D385" i="1"/>
  <c r="U385" i="1" s="1"/>
  <c r="D473" i="1"/>
  <c r="E413" i="1"/>
  <c r="C339" i="1"/>
  <c r="U339" i="1" s="1"/>
  <c r="B399" i="1"/>
  <c r="F131" i="1"/>
  <c r="J119" i="1" a="1"/>
  <c r="J119" i="1" s="1"/>
  <c r="K119" i="1" a="1"/>
  <c r="K119" i="1" s="1"/>
  <c r="F120" i="1"/>
  <c r="K108" i="1" a="1"/>
  <c r="K108" i="1" s="1"/>
  <c r="J108" i="1" a="1"/>
  <c r="J108" i="1" s="1"/>
  <c r="E432" i="1"/>
  <c r="D492" i="1"/>
  <c r="D367" i="1"/>
  <c r="E307" i="1"/>
  <c r="D477" i="1"/>
  <c r="E417" i="1"/>
  <c r="C412" i="1"/>
  <c r="U412" i="1" s="1"/>
  <c r="B472" i="1"/>
  <c r="C350" i="1"/>
  <c r="U350" i="1" s="1"/>
  <c r="B410" i="1"/>
  <c r="F267" i="1"/>
  <c r="J255" i="1" a="1"/>
  <c r="J255" i="1" s="1"/>
  <c r="K255" i="1" a="1"/>
  <c r="K255" i="1" s="1"/>
  <c r="C442" i="1"/>
  <c r="U442" i="1" s="1"/>
  <c r="B502" i="1"/>
  <c r="C317" i="1"/>
  <c r="U317" i="1" s="1"/>
  <c r="B377" i="1"/>
  <c r="D394" i="1"/>
  <c r="E334" i="1"/>
  <c r="E462" i="1"/>
  <c r="D522" i="1"/>
  <c r="D395" i="1"/>
  <c r="E335" i="1"/>
  <c r="B416" i="1"/>
  <c r="C356" i="1"/>
  <c r="U356" i="1" s="1"/>
  <c r="F125" i="1"/>
  <c r="K113" i="1" a="1"/>
  <c r="K113" i="1" s="1"/>
  <c r="J113" i="1" a="1"/>
  <c r="J113" i="1" s="1"/>
  <c r="E393" i="1"/>
  <c r="D453" i="1"/>
  <c r="E302" i="1"/>
  <c r="D362" i="1"/>
  <c r="E327" i="1"/>
  <c r="D387" i="1"/>
  <c r="U387" i="1" s="1"/>
  <c r="C481" i="1"/>
  <c r="B541" i="1"/>
  <c r="F139" i="1"/>
  <c r="J127" i="1" a="1"/>
  <c r="J127" i="1" s="1"/>
  <c r="K127" i="1" a="1"/>
  <c r="K127" i="1" s="1"/>
  <c r="E412" i="1"/>
  <c r="D472" i="1"/>
  <c r="C408" i="1"/>
  <c r="U408" i="1" s="1"/>
  <c r="B468" i="1"/>
  <c r="B406" i="1"/>
  <c r="C346" i="1"/>
  <c r="U346" i="1" s="1"/>
  <c r="B473" i="1"/>
  <c r="C413" i="1"/>
  <c r="U413" i="1" s="1"/>
  <c r="D366" i="1"/>
  <c r="E306" i="1"/>
  <c r="B441" i="1"/>
  <c r="C381" i="1"/>
  <c r="U381" i="1" s="1"/>
  <c r="F106" i="1"/>
  <c r="J94" i="1" a="1"/>
  <c r="J94" i="1" s="1"/>
  <c r="K94" i="1" a="1"/>
  <c r="K94" i="1" s="1"/>
  <c r="E332" i="1"/>
  <c r="D392" i="1"/>
  <c r="U392" i="1" s="1"/>
  <c r="C400" i="1"/>
  <c r="U400" i="1" s="1"/>
  <c r="B460" i="1"/>
  <c r="B446" i="1"/>
  <c r="C386" i="1"/>
  <c r="C447" i="1"/>
  <c r="B507" i="1"/>
  <c r="B422" i="1"/>
  <c r="C362" i="1"/>
  <c r="U362" i="1" s="1"/>
  <c r="C309" i="1"/>
  <c r="U309" i="1" s="1"/>
  <c r="B369" i="1"/>
  <c r="E314" i="1"/>
  <c r="D374" i="1"/>
  <c r="E326" i="1"/>
  <c r="D386" i="1"/>
  <c r="D579" i="1"/>
  <c r="E579" i="1" s="1"/>
  <c r="E519" i="1"/>
  <c r="C311" i="1"/>
  <c r="U311" i="1" s="1"/>
  <c r="B371" i="1"/>
  <c r="F104" i="1"/>
  <c r="J92" i="1" a="1"/>
  <c r="J92" i="1" s="1"/>
  <c r="K92" i="1" a="1"/>
  <c r="K92" i="1" s="1"/>
  <c r="E373" i="1"/>
  <c r="D433" i="1"/>
  <c r="F76" i="1"/>
  <c r="J64" i="1" a="1"/>
  <c r="J64" i="1" s="1"/>
  <c r="K64" i="1" a="1"/>
  <c r="K64" i="1" s="1"/>
  <c r="E318" i="1"/>
  <c r="D378" i="1"/>
  <c r="F102" i="1"/>
  <c r="K90" i="1" a="1"/>
  <c r="K90" i="1" s="1"/>
  <c r="J90" i="1" a="1"/>
  <c r="J90" i="1" s="1"/>
  <c r="B467" i="1"/>
  <c r="C407" i="1"/>
  <c r="E460" i="1"/>
  <c r="D520" i="1"/>
  <c r="B518" i="1"/>
  <c r="C458" i="1"/>
  <c r="U458" i="1" s="1"/>
  <c r="E328" i="1"/>
  <c r="D388" i="1"/>
  <c r="E337" i="1"/>
  <c r="D397" i="1"/>
  <c r="C328" i="1"/>
  <c r="U328" i="1" s="1"/>
  <c r="B388" i="1"/>
  <c r="F129" i="1"/>
  <c r="J117" i="1" a="1"/>
  <c r="J117" i="1" s="1"/>
  <c r="K117" i="1" a="1"/>
  <c r="K117" i="1" s="1"/>
  <c r="C396" i="1"/>
  <c r="U396" i="1" s="1"/>
  <c r="B456" i="1"/>
  <c r="E381" i="1"/>
  <c r="D441" i="1"/>
  <c r="C304" i="1"/>
  <c r="U304" i="1" s="1"/>
  <c r="B364" i="1"/>
  <c r="E331" i="1"/>
  <c r="D391" i="1"/>
  <c r="D535" i="1"/>
  <c r="E475" i="1"/>
  <c r="B390" i="1"/>
  <c r="C330" i="1"/>
  <c r="U330" i="1" s="1"/>
  <c r="C316" i="1"/>
  <c r="U316" i="1" s="1"/>
  <c r="B376" i="1"/>
  <c r="B478" i="1"/>
  <c r="C418" i="1"/>
  <c r="U418" i="1" s="1"/>
  <c r="E458" i="1"/>
  <c r="D518" i="1"/>
  <c r="E479" i="1"/>
  <c r="D539" i="1"/>
  <c r="C354" i="1"/>
  <c r="U354" i="1" s="1"/>
  <c r="B414" i="1"/>
  <c r="E442" i="1"/>
  <c r="D502" i="1"/>
  <c r="F86" i="1"/>
  <c r="J74" i="1" a="1"/>
  <c r="J74" i="1" s="1"/>
  <c r="K74" i="1" a="1"/>
  <c r="K74" i="1" s="1"/>
  <c r="E463" i="1"/>
  <c r="D523" i="1"/>
  <c r="C383" i="1"/>
  <c r="U383" i="1" s="1"/>
  <c r="B443" i="1"/>
  <c r="E478" i="1"/>
  <c r="D538" i="1"/>
  <c r="E346" i="1"/>
  <c r="D406" i="1"/>
  <c r="B455" i="1"/>
  <c r="C395" i="1"/>
  <c r="E424" i="1"/>
  <c r="D484" i="1"/>
  <c r="C452" i="1"/>
  <c r="B512" i="1"/>
  <c r="E329" i="1"/>
  <c r="D389" i="1"/>
  <c r="B505" i="1"/>
  <c r="C445" i="1"/>
  <c r="K243" i="1" a="1"/>
  <c r="K243" i="1" s="1"/>
  <c r="C463" i="1"/>
  <c r="U463" i="1" s="1"/>
  <c r="B523" i="1"/>
  <c r="J243" i="1" a="1"/>
  <c r="J243" i="1" s="1"/>
  <c r="B372" i="1"/>
  <c r="C312" i="1"/>
  <c r="U312" i="1" s="1"/>
  <c r="C320" i="1"/>
  <c r="U320" i="1" s="1"/>
  <c r="B380" i="1"/>
  <c r="E347" i="1"/>
  <c r="D407" i="1"/>
  <c r="C420" i="1"/>
  <c r="U420" i="1" s="1"/>
  <c r="B480" i="1"/>
  <c r="E345" i="1"/>
  <c r="D405" i="1"/>
  <c r="D363" i="1"/>
  <c r="E303" i="1"/>
  <c r="B391" i="1"/>
  <c r="C331" i="1"/>
  <c r="U331" i="1" s="1"/>
  <c r="C305" i="1"/>
  <c r="U305" i="1" s="1"/>
  <c r="B365" i="1"/>
  <c r="C351" i="3"/>
  <c r="B411" i="3"/>
  <c r="C281" i="3"/>
  <c r="B341" i="3"/>
  <c r="B324" i="3"/>
  <c r="C264" i="3"/>
  <c r="C418" i="3"/>
  <c r="B478" i="3"/>
  <c r="C380" i="3"/>
  <c r="B440" i="3"/>
  <c r="B327" i="3"/>
  <c r="C267" i="3"/>
  <c r="C276" i="3"/>
  <c r="B336" i="3"/>
  <c r="C310" i="3"/>
  <c r="B370" i="3"/>
  <c r="B371" i="3"/>
  <c r="C311" i="3"/>
  <c r="B329" i="3"/>
  <c r="C269" i="3"/>
  <c r="C373" i="3"/>
  <c r="B433" i="3"/>
  <c r="B473" i="3"/>
  <c r="C413" i="3"/>
  <c r="C274" i="3"/>
  <c r="B334" i="3"/>
  <c r="B417" i="3"/>
  <c r="C357" i="3"/>
  <c r="C402" i="3"/>
  <c r="B462" i="3"/>
  <c r="B390" i="3"/>
  <c r="C330" i="3"/>
  <c r="B468" i="3"/>
  <c r="C408" i="3"/>
  <c r="C299" i="3"/>
  <c r="B359" i="3"/>
  <c r="B398" i="3"/>
  <c r="C338" i="3"/>
  <c r="B512" i="3"/>
  <c r="C452" i="3"/>
  <c r="C242" i="3"/>
  <c r="B302" i="3"/>
  <c r="B331" i="3"/>
  <c r="C271" i="3"/>
  <c r="B303" i="3"/>
  <c r="C243" i="3"/>
  <c r="C337" i="3"/>
  <c r="B397" i="3"/>
  <c r="C474" i="3"/>
  <c r="B534" i="3"/>
  <c r="C403" i="3"/>
  <c r="B463" i="3"/>
  <c r="C275" i="3"/>
  <c r="B335" i="3"/>
  <c r="C318" i="3"/>
  <c r="B378" i="3"/>
  <c r="B409" i="3"/>
  <c r="C349" i="3"/>
  <c r="C309" i="3"/>
  <c r="B369" i="3"/>
  <c r="B322" i="3"/>
  <c r="C262" i="3"/>
  <c r="C536" i="3"/>
  <c r="B596" i="3"/>
  <c r="C596" i="3" s="1"/>
  <c r="C374" i="3"/>
  <c r="B434" i="3"/>
  <c r="B465" i="3"/>
  <c r="C405" i="3"/>
  <c r="C279" i="3"/>
  <c r="B339" i="3"/>
  <c r="C436" i="3"/>
  <c r="B496" i="3"/>
  <c r="C520" i="3"/>
  <c r="B580" i="3"/>
  <c r="C580" i="3" s="1"/>
  <c r="C300" i="3"/>
  <c r="B360" i="3"/>
  <c r="C381" i="3"/>
  <c r="B441" i="3"/>
  <c r="C527" i="3"/>
  <c r="B587" i="3"/>
  <c r="C587" i="3" s="1"/>
  <c r="B404" i="3"/>
  <c r="C344" i="3"/>
  <c r="B366" i="3"/>
  <c r="C306" i="3"/>
  <c r="C446" i="3"/>
  <c r="B506" i="3"/>
  <c r="B328" i="3"/>
  <c r="C268" i="3"/>
  <c r="B505" i="3"/>
  <c r="C445" i="3"/>
  <c r="C317" i="3"/>
  <c r="B377" i="3"/>
  <c r="C415" i="3"/>
  <c r="B475" i="3"/>
  <c r="B364" i="3"/>
  <c r="C304" i="3"/>
  <c r="C305" i="3"/>
  <c r="B365" i="3"/>
  <c r="B372" i="3"/>
  <c r="C312" i="3"/>
  <c r="C248" i="3"/>
  <c r="B308" i="3"/>
  <c r="C247" i="3"/>
  <c r="B307" i="3"/>
  <c r="C439" i="3"/>
  <c r="B499" i="3"/>
  <c r="B421" i="3"/>
  <c r="C361" i="3"/>
  <c r="B393" i="3"/>
  <c r="C333" i="3"/>
  <c r="C255" i="3"/>
  <c r="B315" i="3"/>
  <c r="B323" i="3"/>
  <c r="C263" i="3"/>
  <c r="C410" i="3"/>
  <c r="B470" i="3"/>
  <c r="B346" i="3"/>
  <c r="C286" i="3"/>
  <c r="B412" i="3"/>
  <c r="C352" i="3"/>
  <c r="P93" i="1" l="1"/>
  <c r="S93" i="1" s="1"/>
  <c r="U395" i="1"/>
  <c r="U378" i="1"/>
  <c r="U407" i="1"/>
  <c r="U366" i="1"/>
  <c r="U374" i="1"/>
  <c r="U481" i="1"/>
  <c r="U370" i="1"/>
  <c r="U386" i="1"/>
  <c r="O255" i="1"/>
  <c r="M255" i="1"/>
  <c r="R255" i="1" s="1"/>
  <c r="O243" i="1"/>
  <c r="M243" i="1"/>
  <c r="R243" i="1" s="1"/>
  <c r="O117" i="1"/>
  <c r="M117" i="1"/>
  <c r="R117" i="1" s="1"/>
  <c r="O119" i="1"/>
  <c r="M119" i="1"/>
  <c r="R119" i="1" s="1"/>
  <c r="O90" i="1"/>
  <c r="M90" i="1"/>
  <c r="R90" i="1" s="1"/>
  <c r="O127" i="1"/>
  <c r="M127" i="1"/>
  <c r="R127" i="1" s="1"/>
  <c r="O94" i="1"/>
  <c r="M94" i="1"/>
  <c r="R94" i="1" s="1"/>
  <c r="O96" i="1"/>
  <c r="P96" i="1" s="1"/>
  <c r="S96" i="1" s="1"/>
  <c r="M96" i="1"/>
  <c r="R96" i="1" s="1"/>
  <c r="O92" i="1"/>
  <c r="M92" i="1"/>
  <c r="R92" i="1" s="1"/>
  <c r="O113" i="1"/>
  <c r="M113" i="1"/>
  <c r="R113" i="1" s="1"/>
  <c r="O64" i="1"/>
  <c r="M64" i="1"/>
  <c r="R64" i="1" s="1"/>
  <c r="O74" i="1"/>
  <c r="M74" i="1"/>
  <c r="O108" i="1"/>
  <c r="M108" i="1"/>
  <c r="R108" i="1" s="1"/>
  <c r="O73" i="1"/>
  <c r="M73" i="1"/>
  <c r="R73" i="1" s="1"/>
  <c r="P61" i="1"/>
  <c r="S61" i="1" s="1"/>
  <c r="P62" i="1"/>
  <c r="S62" i="1" s="1"/>
  <c r="P207" i="1"/>
  <c r="S207" i="1" s="1"/>
  <c r="T207" i="1"/>
  <c r="P183" i="1"/>
  <c r="S183" i="1" s="1"/>
  <c r="T183" i="1"/>
  <c r="P72" i="1"/>
  <c r="S72" i="1" s="1"/>
  <c r="T72" i="1"/>
  <c r="P84" i="1"/>
  <c r="S84" i="1" s="1"/>
  <c r="E436" i="1"/>
  <c r="D496" i="1"/>
  <c r="P105" i="1"/>
  <c r="S105" i="1" s="1"/>
  <c r="P115" i="1"/>
  <c r="S115" i="1" s="1"/>
  <c r="P219" i="1"/>
  <c r="S219" i="1" s="1"/>
  <c r="P52" i="1"/>
  <c r="S52" i="1" s="1"/>
  <c r="P82" i="1"/>
  <c r="S82" i="1" s="1"/>
  <c r="P80" i="1"/>
  <c r="S80" i="1" s="1"/>
  <c r="P101" i="1"/>
  <c r="S101" i="1" s="1"/>
  <c r="P231" i="1"/>
  <c r="S231" i="1" s="1"/>
  <c r="N117" i="1"/>
  <c r="T117" i="1" s="1"/>
  <c r="N90" i="1"/>
  <c r="T90" i="1" s="1"/>
  <c r="N94" i="1"/>
  <c r="T94" i="1" s="1"/>
  <c r="N113" i="1"/>
  <c r="T113" i="1" s="1"/>
  <c r="N119" i="1"/>
  <c r="T119" i="1" s="1"/>
  <c r="P107" i="1"/>
  <c r="S107" i="1" s="1"/>
  <c r="P78" i="1"/>
  <c r="S78" i="1" s="1"/>
  <c r="N74" i="1"/>
  <c r="T74" i="1" s="1"/>
  <c r="R74" i="1"/>
  <c r="N92" i="1"/>
  <c r="T92" i="1" s="1"/>
  <c r="D536" i="1"/>
  <c r="E476" i="1"/>
  <c r="N243" i="1"/>
  <c r="T243" i="1" s="1"/>
  <c r="N108" i="1"/>
  <c r="T108" i="1" s="1"/>
  <c r="C415" i="1"/>
  <c r="U415" i="1" s="1"/>
  <c r="B475" i="1"/>
  <c r="N255" i="1"/>
  <c r="T255" i="1" s="1"/>
  <c r="N64" i="1"/>
  <c r="T64" i="1" s="1"/>
  <c r="N127" i="1"/>
  <c r="T127" i="1" s="1"/>
  <c r="N73" i="1"/>
  <c r="T73" i="1" s="1"/>
  <c r="E468" i="1"/>
  <c r="D528" i="1"/>
  <c r="D439" i="1"/>
  <c r="E379" i="1"/>
  <c r="B457" i="1"/>
  <c r="C397" i="1"/>
  <c r="U397" i="1" s="1"/>
  <c r="B439" i="1"/>
  <c r="C379" i="1"/>
  <c r="U379" i="1" s="1"/>
  <c r="E491" i="1"/>
  <c r="D551" i="1"/>
  <c r="E551" i="1" s="1"/>
  <c r="F97" i="1"/>
  <c r="J85" i="1" a="1"/>
  <c r="J85" i="1" s="1"/>
  <c r="K85" i="1" a="1"/>
  <c r="K85" i="1" s="1"/>
  <c r="B493" i="1"/>
  <c r="C433" i="1"/>
  <c r="U433" i="1" s="1"/>
  <c r="E429" i="1"/>
  <c r="D489" i="1"/>
  <c r="D510" i="1"/>
  <c r="E450" i="1"/>
  <c r="B444" i="1"/>
  <c r="C384" i="1"/>
  <c r="U384" i="1" s="1"/>
  <c r="B531" i="1"/>
  <c r="C471" i="1"/>
  <c r="U471" i="1" s="1"/>
  <c r="D594" i="1"/>
  <c r="E594" i="1" s="1"/>
  <c r="E534" i="1"/>
  <c r="E481" i="1"/>
  <c r="D541" i="1"/>
  <c r="D589" i="1"/>
  <c r="E589" i="1" s="1"/>
  <c r="E529" i="1"/>
  <c r="E377" i="1"/>
  <c r="D437" i="1"/>
  <c r="C462" i="1"/>
  <c r="U462" i="1" s="1"/>
  <c r="B522" i="1"/>
  <c r="E480" i="1"/>
  <c r="D540" i="1"/>
  <c r="E444" i="1"/>
  <c r="D504" i="1"/>
  <c r="C426" i="1"/>
  <c r="B486" i="1"/>
  <c r="B465" i="1"/>
  <c r="C405" i="1"/>
  <c r="U405" i="1" s="1"/>
  <c r="E375" i="1"/>
  <c r="D435" i="1"/>
  <c r="B495" i="1"/>
  <c r="C435" i="1"/>
  <c r="U435" i="1" s="1"/>
  <c r="D533" i="1"/>
  <c r="E473" i="1"/>
  <c r="B599" i="1"/>
  <c r="C599" i="1" s="1"/>
  <c r="C539" i="1"/>
  <c r="U539" i="1" s="1"/>
  <c r="B521" i="1"/>
  <c r="C461" i="1"/>
  <c r="U461" i="1" s="1"/>
  <c r="C389" i="1"/>
  <c r="U389" i="1" s="1"/>
  <c r="B449" i="1"/>
  <c r="D548" i="1"/>
  <c r="E548" i="1" s="1"/>
  <c r="E488" i="1"/>
  <c r="E471" i="1"/>
  <c r="D531" i="1"/>
  <c r="B453" i="1"/>
  <c r="C393" i="1"/>
  <c r="U393" i="1" s="1"/>
  <c r="D430" i="1"/>
  <c r="E370" i="1"/>
  <c r="C438" i="1"/>
  <c r="B498" i="1"/>
  <c r="E461" i="1"/>
  <c r="D521" i="1"/>
  <c r="B490" i="1"/>
  <c r="C430" i="1"/>
  <c r="D530" i="1"/>
  <c r="E470" i="1"/>
  <c r="E485" i="1"/>
  <c r="D545" i="1"/>
  <c r="E545" i="1" s="1"/>
  <c r="E503" i="1"/>
  <c r="D563" i="1"/>
  <c r="E563" i="1" s="1"/>
  <c r="D445" i="1"/>
  <c r="U445" i="1" s="1"/>
  <c r="E385" i="1"/>
  <c r="B423" i="1"/>
  <c r="C363" i="1"/>
  <c r="U363" i="1" s="1"/>
  <c r="E516" i="1"/>
  <c r="D576" i="1"/>
  <c r="E576" i="1" s="1"/>
  <c r="E464" i="1"/>
  <c r="D524" i="1"/>
  <c r="U524" i="1" s="1"/>
  <c r="C409" i="1"/>
  <c r="U409" i="1" s="1"/>
  <c r="B469" i="1"/>
  <c r="B427" i="1"/>
  <c r="C367" i="1"/>
  <c r="U367" i="1" s="1"/>
  <c r="B454" i="1"/>
  <c r="C394" i="1"/>
  <c r="U394" i="1" s="1"/>
  <c r="E500" i="1"/>
  <c r="D560" i="1"/>
  <c r="E560" i="1" s="1"/>
  <c r="C488" i="1"/>
  <c r="U488" i="1" s="1"/>
  <c r="B548" i="1"/>
  <c r="C548" i="1" s="1"/>
  <c r="B477" i="1"/>
  <c r="C417" i="1"/>
  <c r="U417" i="1" s="1"/>
  <c r="B494" i="1"/>
  <c r="C434" i="1"/>
  <c r="E484" i="1"/>
  <c r="D544" i="1"/>
  <c r="E544" i="1" s="1"/>
  <c r="C473" i="1"/>
  <c r="U473" i="1" s="1"/>
  <c r="B533" i="1"/>
  <c r="B432" i="1"/>
  <c r="C372" i="1"/>
  <c r="U372" i="1" s="1"/>
  <c r="B425" i="1"/>
  <c r="C365" i="1"/>
  <c r="U365" i="1" s="1"/>
  <c r="D493" i="1"/>
  <c r="E433" i="1"/>
  <c r="F118" i="1"/>
  <c r="K106" i="1" a="1"/>
  <c r="K106" i="1" s="1"/>
  <c r="J106" i="1" a="1"/>
  <c r="J106" i="1" s="1"/>
  <c r="D582" i="1"/>
  <c r="E522" i="1"/>
  <c r="F279" i="1"/>
  <c r="K267" i="1" a="1"/>
  <c r="K267" i="1" s="1"/>
  <c r="J267" i="1" a="1"/>
  <c r="J267" i="1" s="1"/>
  <c r="C414" i="1"/>
  <c r="U414" i="1" s="1"/>
  <c r="B474" i="1"/>
  <c r="B424" i="1"/>
  <c r="C364" i="1"/>
  <c r="U364" i="1" s="1"/>
  <c r="D446" i="1"/>
  <c r="E386" i="1"/>
  <c r="D513" i="1"/>
  <c r="E453" i="1"/>
  <c r="F114" i="1"/>
  <c r="K102" i="1" a="1"/>
  <c r="K102" i="1" s="1"/>
  <c r="J102" i="1" a="1"/>
  <c r="J102" i="1" s="1"/>
  <c r="C460" i="1"/>
  <c r="U460" i="1" s="1"/>
  <c r="B520" i="1"/>
  <c r="B501" i="1"/>
  <c r="C441" i="1"/>
  <c r="U441" i="1" s="1"/>
  <c r="B466" i="1"/>
  <c r="C406" i="1"/>
  <c r="U406" i="1" s="1"/>
  <c r="C391" i="1"/>
  <c r="U391" i="1" s="1"/>
  <c r="B451" i="1"/>
  <c r="D599" i="1"/>
  <c r="E539" i="1"/>
  <c r="B436" i="1"/>
  <c r="C376" i="1"/>
  <c r="U376" i="1" s="1"/>
  <c r="E441" i="1"/>
  <c r="D501" i="1"/>
  <c r="C467" i="1"/>
  <c r="B527" i="1"/>
  <c r="F151" i="1"/>
  <c r="K139" i="1" a="1"/>
  <c r="K139" i="1" s="1"/>
  <c r="J139" i="1" a="1"/>
  <c r="J139" i="1" s="1"/>
  <c r="B565" i="1"/>
  <c r="C565" i="1" s="1"/>
  <c r="C505" i="1"/>
  <c r="C443" i="1"/>
  <c r="U443" i="1" s="1"/>
  <c r="B503" i="1"/>
  <c r="C390" i="1"/>
  <c r="U390" i="1" s="1"/>
  <c r="B450" i="1"/>
  <c r="C541" i="1"/>
  <c r="B601" i="1"/>
  <c r="C601" i="1" s="1"/>
  <c r="B429" i="1"/>
  <c r="C369" i="1"/>
  <c r="U369" i="1" s="1"/>
  <c r="D447" i="1"/>
  <c r="U447" i="1" s="1"/>
  <c r="E387" i="1"/>
  <c r="C502" i="1"/>
  <c r="U502" i="1" s="1"/>
  <c r="B562" i="1"/>
  <c r="C562" i="1" s="1"/>
  <c r="U562" i="1" s="1"/>
  <c r="D427" i="1"/>
  <c r="E367" i="1"/>
  <c r="E389" i="1"/>
  <c r="D449" i="1"/>
  <c r="B516" i="1"/>
  <c r="C456" i="1"/>
  <c r="U456" i="1" s="1"/>
  <c r="C518" i="1"/>
  <c r="U518" i="1" s="1"/>
  <c r="B578" i="1"/>
  <c r="C578" i="1" s="1"/>
  <c r="B476" i="1"/>
  <c r="C416" i="1"/>
  <c r="U416" i="1" s="1"/>
  <c r="E492" i="1"/>
  <c r="D552" i="1"/>
  <c r="E552" i="1" s="1"/>
  <c r="D580" i="1"/>
  <c r="E580" i="1" s="1"/>
  <c r="E520" i="1"/>
  <c r="E392" i="1"/>
  <c r="D452" i="1"/>
  <c r="U452" i="1" s="1"/>
  <c r="F88" i="1"/>
  <c r="J76" i="1" a="1"/>
  <c r="J76" i="1" s="1"/>
  <c r="K76" i="1" a="1"/>
  <c r="K76" i="1" s="1"/>
  <c r="C468" i="1"/>
  <c r="U468" i="1" s="1"/>
  <c r="B528" i="1"/>
  <c r="F132" i="1"/>
  <c r="K120" i="1" a="1"/>
  <c r="K120" i="1" s="1"/>
  <c r="J120" i="1" a="1"/>
  <c r="J120" i="1" s="1"/>
  <c r="F98" i="1"/>
  <c r="K86" i="1" a="1"/>
  <c r="K86" i="1" s="1"/>
  <c r="J86" i="1" a="1"/>
  <c r="J86" i="1" s="1"/>
  <c r="E363" i="1"/>
  <c r="D423" i="1"/>
  <c r="E502" i="1"/>
  <c r="D562" i="1"/>
  <c r="E562" i="1" s="1"/>
  <c r="C446" i="1"/>
  <c r="B506" i="1"/>
  <c r="D532" i="1"/>
  <c r="E472" i="1"/>
  <c r="B470" i="1"/>
  <c r="C410" i="1"/>
  <c r="U410" i="1" s="1"/>
  <c r="D465" i="1"/>
  <c r="E405" i="1"/>
  <c r="B538" i="1"/>
  <c r="C478" i="1"/>
  <c r="U478" i="1" s="1"/>
  <c r="B532" i="1"/>
  <c r="C472" i="1"/>
  <c r="U472" i="1" s="1"/>
  <c r="C480" i="1"/>
  <c r="U480" i="1" s="1"/>
  <c r="B540" i="1"/>
  <c r="B515" i="1"/>
  <c r="C455" i="1"/>
  <c r="D598" i="1"/>
  <c r="E598" i="1" s="1"/>
  <c r="E538" i="1"/>
  <c r="D448" i="1"/>
  <c r="E388" i="1"/>
  <c r="E394" i="1"/>
  <c r="D454" i="1"/>
  <c r="F116" i="1"/>
  <c r="K104" i="1" a="1"/>
  <c r="K104" i="1" s="1"/>
  <c r="J104" i="1" a="1"/>
  <c r="J104" i="1" s="1"/>
  <c r="D434" i="1"/>
  <c r="E374" i="1"/>
  <c r="D426" i="1"/>
  <c r="E366" i="1"/>
  <c r="B437" i="1"/>
  <c r="C377" i="1"/>
  <c r="U377" i="1" s="1"/>
  <c r="E477" i="1"/>
  <c r="D537" i="1"/>
  <c r="F143" i="1"/>
  <c r="J131" i="1" a="1"/>
  <c r="J131" i="1" s="1"/>
  <c r="K131" i="1" a="1"/>
  <c r="K131" i="1" s="1"/>
  <c r="B583" i="1"/>
  <c r="C583" i="1" s="1"/>
  <c r="C523" i="1"/>
  <c r="U523" i="1" s="1"/>
  <c r="E518" i="1"/>
  <c r="D578" i="1"/>
  <c r="E578" i="1" s="1"/>
  <c r="F141" i="1"/>
  <c r="K129" i="1" a="1"/>
  <c r="K129" i="1" s="1"/>
  <c r="J129" i="1" a="1"/>
  <c r="J129" i="1" s="1"/>
  <c r="E378" i="1"/>
  <c r="D438" i="1"/>
  <c r="B431" i="1"/>
  <c r="C371" i="1"/>
  <c r="U371" i="1" s="1"/>
  <c r="F137" i="1"/>
  <c r="J125" i="1" a="1"/>
  <c r="J125" i="1" s="1"/>
  <c r="K125" i="1" a="1"/>
  <c r="K125" i="1" s="1"/>
  <c r="C399" i="1"/>
  <c r="U399" i="1" s="1"/>
  <c r="B459" i="1"/>
  <c r="E407" i="1"/>
  <c r="D467" i="1"/>
  <c r="E406" i="1"/>
  <c r="D466" i="1"/>
  <c r="D583" i="1"/>
  <c r="E583" i="1" s="1"/>
  <c r="E523" i="1"/>
  <c r="E535" i="1"/>
  <c r="D595" i="1"/>
  <c r="B448" i="1"/>
  <c r="C388" i="1"/>
  <c r="U388" i="1" s="1"/>
  <c r="B572" i="1"/>
  <c r="C572" i="1" s="1"/>
  <c r="C512" i="1"/>
  <c r="E391" i="1"/>
  <c r="D451" i="1"/>
  <c r="B482" i="1"/>
  <c r="C422" i="1"/>
  <c r="E362" i="1"/>
  <c r="D422" i="1"/>
  <c r="E395" i="1"/>
  <c r="D455" i="1"/>
  <c r="C380" i="1"/>
  <c r="U380" i="1" s="1"/>
  <c r="B440" i="1"/>
  <c r="E397" i="1"/>
  <c r="D457" i="1"/>
  <c r="C507" i="1"/>
  <c r="B567" i="1"/>
  <c r="C567" i="1" s="1"/>
  <c r="B538" i="3"/>
  <c r="C478" i="3"/>
  <c r="C324" i="3"/>
  <c r="B384" i="3"/>
  <c r="C341" i="3"/>
  <c r="B401" i="3"/>
  <c r="B387" i="3"/>
  <c r="C327" i="3"/>
  <c r="C440" i="3"/>
  <c r="B500" i="3"/>
  <c r="B471" i="3"/>
  <c r="C411" i="3"/>
  <c r="C499" i="3"/>
  <c r="B559" i="3"/>
  <c r="C559" i="3" s="1"/>
  <c r="B425" i="3"/>
  <c r="C365" i="3"/>
  <c r="B494" i="3"/>
  <c r="C434" i="3"/>
  <c r="B429" i="3"/>
  <c r="C369" i="3"/>
  <c r="B523" i="3"/>
  <c r="C463" i="3"/>
  <c r="B419" i="3"/>
  <c r="C359" i="3"/>
  <c r="B383" i="3"/>
  <c r="C323" i="3"/>
  <c r="B391" i="3"/>
  <c r="C331" i="3"/>
  <c r="B477" i="3"/>
  <c r="C417" i="3"/>
  <c r="C315" i="3"/>
  <c r="B375" i="3"/>
  <c r="C307" i="3"/>
  <c r="B367" i="3"/>
  <c r="B394" i="3"/>
  <c r="C334" i="3"/>
  <c r="B388" i="3"/>
  <c r="C328" i="3"/>
  <c r="B528" i="3"/>
  <c r="C468" i="3"/>
  <c r="C371" i="3"/>
  <c r="B431" i="3"/>
  <c r="B566" i="3"/>
  <c r="C566" i="3" s="1"/>
  <c r="C506" i="3"/>
  <c r="B399" i="3"/>
  <c r="C339" i="3"/>
  <c r="C378" i="3"/>
  <c r="B438" i="3"/>
  <c r="C370" i="3"/>
  <c r="B430" i="3"/>
  <c r="B406" i="3"/>
  <c r="C346" i="3"/>
  <c r="B453" i="3"/>
  <c r="C393" i="3"/>
  <c r="B424" i="3"/>
  <c r="C364" i="3"/>
  <c r="B464" i="3"/>
  <c r="C404" i="3"/>
  <c r="B389" i="3"/>
  <c r="C329" i="3"/>
  <c r="B535" i="3"/>
  <c r="C475" i="3"/>
  <c r="B556" i="3"/>
  <c r="C556" i="3" s="1"/>
  <c r="C496" i="3"/>
  <c r="B594" i="3"/>
  <c r="C594" i="3" s="1"/>
  <c r="C534" i="3"/>
  <c r="B362" i="3"/>
  <c r="C302" i="3"/>
  <c r="B472" i="3"/>
  <c r="C412" i="3"/>
  <c r="C409" i="3"/>
  <c r="B469" i="3"/>
  <c r="C308" i="3"/>
  <c r="B368" i="3"/>
  <c r="C377" i="3"/>
  <c r="B437" i="3"/>
  <c r="C441" i="3"/>
  <c r="B501" i="3"/>
  <c r="C397" i="3"/>
  <c r="B457" i="3"/>
  <c r="C512" i="3"/>
  <c r="B572" i="3"/>
  <c r="C572" i="3" s="1"/>
  <c r="B450" i="3"/>
  <c r="C390" i="3"/>
  <c r="C473" i="3"/>
  <c r="B533" i="3"/>
  <c r="B530" i="3"/>
  <c r="C470" i="3"/>
  <c r="B420" i="3"/>
  <c r="C360" i="3"/>
  <c r="B395" i="3"/>
  <c r="C335" i="3"/>
  <c r="B522" i="3"/>
  <c r="C462" i="3"/>
  <c r="B493" i="3"/>
  <c r="C433" i="3"/>
  <c r="B396" i="3"/>
  <c r="C336" i="3"/>
  <c r="B481" i="3"/>
  <c r="C421" i="3"/>
  <c r="C372" i="3"/>
  <c r="B432" i="3"/>
  <c r="B565" i="3"/>
  <c r="C565" i="3" s="1"/>
  <c r="C505" i="3"/>
  <c r="C366" i="3"/>
  <c r="B426" i="3"/>
  <c r="B525" i="3"/>
  <c r="C465" i="3"/>
  <c r="B382" i="3"/>
  <c r="C322" i="3"/>
  <c r="B363" i="3"/>
  <c r="C303" i="3"/>
  <c r="C398" i="3"/>
  <c r="B458" i="3"/>
  <c r="U578" i="1" l="1"/>
  <c r="U599" i="1"/>
  <c r="U438" i="1"/>
  <c r="U422" i="1"/>
  <c r="U467" i="1"/>
  <c r="U434" i="1"/>
  <c r="U446" i="1"/>
  <c r="U455" i="1"/>
  <c r="U548" i="1"/>
  <c r="U541" i="1"/>
  <c r="U426" i="1"/>
  <c r="U430" i="1"/>
  <c r="U583" i="1"/>
  <c r="O131" i="1"/>
  <c r="M131" i="1"/>
  <c r="R131" i="1" s="1"/>
  <c r="O102" i="1"/>
  <c r="M102" i="1"/>
  <c r="R102" i="1" s="1"/>
  <c r="O129" i="1"/>
  <c r="M129" i="1"/>
  <c r="R129" i="1" s="1"/>
  <c r="O104" i="1"/>
  <c r="M104" i="1"/>
  <c r="R104" i="1" s="1"/>
  <c r="O120" i="1"/>
  <c r="M120" i="1"/>
  <c r="R120" i="1" s="1"/>
  <c r="O76" i="1"/>
  <c r="M76" i="1"/>
  <c r="R76" i="1" s="1"/>
  <c r="O125" i="1"/>
  <c r="M125" i="1"/>
  <c r="R125" i="1" s="1"/>
  <c r="O106" i="1"/>
  <c r="M106" i="1"/>
  <c r="R106" i="1" s="1"/>
  <c r="O86" i="1"/>
  <c r="M86" i="1"/>
  <c r="R86" i="1" s="1"/>
  <c r="O267" i="1"/>
  <c r="M267" i="1"/>
  <c r="R267" i="1" s="1"/>
  <c r="O139" i="1"/>
  <c r="M139" i="1"/>
  <c r="R139" i="1" s="1"/>
  <c r="O85" i="1"/>
  <c r="M85" i="1"/>
  <c r="R85" i="1" s="1"/>
  <c r="P243" i="1"/>
  <c r="S243" i="1" s="1"/>
  <c r="E496" i="1"/>
  <c r="D556" i="1"/>
  <c r="E556" i="1" s="1"/>
  <c r="P113" i="1"/>
  <c r="S113" i="1" s="1"/>
  <c r="P90" i="1"/>
  <c r="S90" i="1" s="1"/>
  <c r="P255" i="1"/>
  <c r="S255" i="1" s="1"/>
  <c r="P117" i="1"/>
  <c r="S117" i="1" s="1"/>
  <c r="P94" i="1"/>
  <c r="S94" i="1" s="1"/>
  <c r="N120" i="1"/>
  <c r="T120" i="1" s="1"/>
  <c r="B535" i="1"/>
  <c r="C475" i="1"/>
  <c r="U475" i="1" s="1"/>
  <c r="P64" i="1"/>
  <c r="S64" i="1" s="1"/>
  <c r="P119" i="1"/>
  <c r="S119" i="1" s="1"/>
  <c r="P74" i="1"/>
  <c r="S74" i="1" s="1"/>
  <c r="N267" i="1"/>
  <c r="N129" i="1"/>
  <c r="T129" i="1" s="1"/>
  <c r="P92" i="1"/>
  <c r="S92" i="1" s="1"/>
  <c r="N85" i="1"/>
  <c r="T85" i="1" s="1"/>
  <c r="P73" i="1"/>
  <c r="S73" i="1" s="1"/>
  <c r="N139" i="1"/>
  <c r="T139" i="1" s="1"/>
  <c r="P108" i="1"/>
  <c r="S108" i="1" s="1"/>
  <c r="P127" i="1"/>
  <c r="S127" i="1" s="1"/>
  <c r="N131" i="1"/>
  <c r="T131" i="1" s="1"/>
  <c r="N125" i="1"/>
  <c r="T125" i="1" s="1"/>
  <c r="N76" i="1"/>
  <c r="T76" i="1" s="1"/>
  <c r="N104" i="1"/>
  <c r="T104" i="1" s="1"/>
  <c r="E536" i="1"/>
  <c r="D596" i="1"/>
  <c r="E596" i="1" s="1"/>
  <c r="N86" i="1"/>
  <c r="T86" i="1" s="1"/>
  <c r="N102" i="1"/>
  <c r="T102" i="1" s="1"/>
  <c r="N106" i="1"/>
  <c r="T106" i="1" s="1"/>
  <c r="C531" i="1"/>
  <c r="U531" i="1" s="1"/>
  <c r="B591" i="1"/>
  <c r="C591" i="1" s="1"/>
  <c r="C457" i="1"/>
  <c r="U457" i="1" s="1"/>
  <c r="B517" i="1"/>
  <c r="C444" i="1"/>
  <c r="U444" i="1" s="1"/>
  <c r="B504" i="1"/>
  <c r="D499" i="1"/>
  <c r="E439" i="1"/>
  <c r="B499" i="1"/>
  <c r="C439" i="1"/>
  <c r="U439" i="1" s="1"/>
  <c r="E510" i="1"/>
  <c r="D570" i="1"/>
  <c r="E570" i="1" s="1"/>
  <c r="E528" i="1"/>
  <c r="D588" i="1"/>
  <c r="E588" i="1" s="1"/>
  <c r="B553" i="1"/>
  <c r="C553" i="1" s="1"/>
  <c r="C493" i="1"/>
  <c r="U493" i="1" s="1"/>
  <c r="D601" i="1"/>
  <c r="E601" i="1" s="1"/>
  <c r="E541" i="1"/>
  <c r="F109" i="1"/>
  <c r="K97" i="1" a="1"/>
  <c r="K97" i="1" s="1"/>
  <c r="J97" i="1" a="1"/>
  <c r="J97" i="1" s="1"/>
  <c r="D549" i="1"/>
  <c r="E549" i="1" s="1"/>
  <c r="E489" i="1"/>
  <c r="E531" i="1"/>
  <c r="D591" i="1"/>
  <c r="E591" i="1" s="1"/>
  <c r="C427" i="1"/>
  <c r="U427" i="1" s="1"/>
  <c r="B487" i="1"/>
  <c r="E530" i="1"/>
  <c r="D590" i="1"/>
  <c r="E590" i="1" s="1"/>
  <c r="B509" i="1"/>
  <c r="C449" i="1"/>
  <c r="U449" i="1" s="1"/>
  <c r="E504" i="1"/>
  <c r="D564" i="1"/>
  <c r="E564" i="1" s="1"/>
  <c r="B554" i="1"/>
  <c r="C554" i="1" s="1"/>
  <c r="C494" i="1"/>
  <c r="B581" i="1"/>
  <c r="C581" i="1" s="1"/>
  <c r="U581" i="1" s="1"/>
  <c r="C521" i="1"/>
  <c r="U521" i="1" s="1"/>
  <c r="C477" i="1"/>
  <c r="U477" i="1" s="1"/>
  <c r="B537" i="1"/>
  <c r="D497" i="1"/>
  <c r="E437" i="1"/>
  <c r="C423" i="1"/>
  <c r="U423" i="1" s="1"/>
  <c r="B483" i="1"/>
  <c r="E430" i="1"/>
  <c r="D490" i="1"/>
  <c r="E533" i="1"/>
  <c r="D593" i="1"/>
  <c r="E593" i="1" s="1"/>
  <c r="C498" i="1"/>
  <c r="B558" i="1"/>
  <c r="C558" i="1" s="1"/>
  <c r="B582" i="1"/>
  <c r="C582" i="1" s="1"/>
  <c r="U582" i="1" s="1"/>
  <c r="C522" i="1"/>
  <c r="U522" i="1" s="1"/>
  <c r="E435" i="1"/>
  <c r="D495" i="1"/>
  <c r="C454" i="1"/>
  <c r="U454" i="1" s="1"/>
  <c r="B514" i="1"/>
  <c r="C465" i="1"/>
  <c r="U465" i="1" s="1"/>
  <c r="B525" i="1"/>
  <c r="B546" i="1"/>
  <c r="C546" i="1" s="1"/>
  <c r="C486" i="1"/>
  <c r="U486" i="1" s="1"/>
  <c r="B529" i="1"/>
  <c r="C469" i="1"/>
  <c r="U469" i="1" s="1"/>
  <c r="C490" i="1"/>
  <c r="B550" i="1"/>
  <c r="C550" i="1" s="1"/>
  <c r="D584" i="1"/>
  <c r="E524" i="1"/>
  <c r="E521" i="1"/>
  <c r="D581" i="1"/>
  <c r="E581" i="1" s="1"/>
  <c r="E540" i="1"/>
  <c r="D600" i="1"/>
  <c r="E600" i="1" s="1"/>
  <c r="E445" i="1"/>
  <c r="D505" i="1"/>
  <c r="U505" i="1" s="1"/>
  <c r="B513" i="1"/>
  <c r="C453" i="1"/>
  <c r="U453" i="1" s="1"/>
  <c r="C495" i="1"/>
  <c r="U495" i="1" s="1"/>
  <c r="B555" i="1"/>
  <c r="C555" i="1" s="1"/>
  <c r="E427" i="1"/>
  <c r="D487" i="1"/>
  <c r="F126" i="1"/>
  <c r="K114" i="1" a="1"/>
  <c r="K114" i="1" s="1"/>
  <c r="J114" i="1" a="1"/>
  <c r="J114" i="1" s="1"/>
  <c r="E582" i="1"/>
  <c r="E455" i="1"/>
  <c r="D515" i="1"/>
  <c r="F155" i="1"/>
  <c r="J143" i="1" a="1"/>
  <c r="J143" i="1" s="1"/>
  <c r="K143" i="1" a="1"/>
  <c r="K143" i="1" s="1"/>
  <c r="F110" i="1"/>
  <c r="J98" i="1" a="1"/>
  <c r="J98" i="1" s="1"/>
  <c r="K98" i="1" a="1"/>
  <c r="K98" i="1" s="1"/>
  <c r="F100" i="1"/>
  <c r="K88" i="1" a="1"/>
  <c r="K88" i="1" s="1"/>
  <c r="J88" i="1" a="1"/>
  <c r="J88" i="1" s="1"/>
  <c r="B492" i="1"/>
  <c r="C432" i="1"/>
  <c r="U432" i="1" s="1"/>
  <c r="E457" i="1"/>
  <c r="D517" i="1"/>
  <c r="F149" i="1"/>
  <c r="K137" i="1" a="1"/>
  <c r="K137" i="1" s="1"/>
  <c r="J137" i="1" a="1"/>
  <c r="J137" i="1" s="1"/>
  <c r="C437" i="1"/>
  <c r="U437" i="1" s="1"/>
  <c r="B497" i="1"/>
  <c r="C482" i="1"/>
  <c r="B542" i="1"/>
  <c r="C542" i="1" s="1"/>
  <c r="C515" i="1"/>
  <c r="U515" i="1" s="1"/>
  <c r="B575" i="1"/>
  <c r="C575" i="1" s="1"/>
  <c r="F144" i="1"/>
  <c r="J132" i="1" a="1"/>
  <c r="J132" i="1" s="1"/>
  <c r="K132" i="1" a="1"/>
  <c r="K132" i="1" s="1"/>
  <c r="B587" i="1"/>
  <c r="C587" i="1" s="1"/>
  <c r="C527" i="1"/>
  <c r="D573" i="1"/>
  <c r="E513" i="1"/>
  <c r="D526" i="1"/>
  <c r="E466" i="1"/>
  <c r="B576" i="1"/>
  <c r="C576" i="1" s="1"/>
  <c r="U576" i="1" s="1"/>
  <c r="C516" i="1"/>
  <c r="U516" i="1" s="1"/>
  <c r="C466" i="1"/>
  <c r="U466" i="1" s="1"/>
  <c r="B526" i="1"/>
  <c r="E493" i="1"/>
  <c r="D553" i="1"/>
  <c r="E451" i="1"/>
  <c r="D511" i="1"/>
  <c r="B600" i="1"/>
  <c r="C600" i="1" s="1"/>
  <c r="U600" i="1" s="1"/>
  <c r="C540" i="1"/>
  <c r="U540" i="1" s="1"/>
  <c r="B588" i="1"/>
  <c r="C588" i="1" s="1"/>
  <c r="C528" i="1"/>
  <c r="U528" i="1" s="1"/>
  <c r="D512" i="1"/>
  <c r="U512" i="1" s="1"/>
  <c r="E452" i="1"/>
  <c r="E449" i="1"/>
  <c r="D509" i="1"/>
  <c r="C429" i="1"/>
  <c r="U429" i="1" s="1"/>
  <c r="B489" i="1"/>
  <c r="E501" i="1"/>
  <c r="D561" i="1"/>
  <c r="E561" i="1" s="1"/>
  <c r="C431" i="1"/>
  <c r="U431" i="1" s="1"/>
  <c r="B491" i="1"/>
  <c r="E426" i="1"/>
  <c r="D486" i="1"/>
  <c r="D514" i="1"/>
  <c r="E454" i="1"/>
  <c r="E423" i="1"/>
  <c r="D483" i="1"/>
  <c r="B580" i="1"/>
  <c r="C580" i="1" s="1"/>
  <c r="U580" i="1" s="1"/>
  <c r="C520" i="1"/>
  <c r="U520" i="1" s="1"/>
  <c r="E446" i="1"/>
  <c r="D506" i="1"/>
  <c r="F291" i="1"/>
  <c r="K279" i="1" a="1"/>
  <c r="K279" i="1" s="1"/>
  <c r="J279" i="1" a="1"/>
  <c r="J279" i="1" s="1"/>
  <c r="E467" i="1"/>
  <c r="D527" i="1"/>
  <c r="C532" i="1"/>
  <c r="U532" i="1" s="1"/>
  <c r="B592" i="1"/>
  <c r="C592" i="1" s="1"/>
  <c r="B536" i="1"/>
  <c r="C476" i="1"/>
  <c r="U476" i="1" s="1"/>
  <c r="F163" i="1"/>
  <c r="J151" i="1" a="1"/>
  <c r="J151" i="1" s="1"/>
  <c r="K151" i="1" a="1"/>
  <c r="K151" i="1" s="1"/>
  <c r="B496" i="1"/>
  <c r="C436" i="1"/>
  <c r="U436" i="1" s="1"/>
  <c r="C425" i="1"/>
  <c r="U425" i="1" s="1"/>
  <c r="B485" i="1"/>
  <c r="B519" i="1"/>
  <c r="C459" i="1"/>
  <c r="U459" i="1" s="1"/>
  <c r="D508" i="1"/>
  <c r="E448" i="1"/>
  <c r="B598" i="1"/>
  <c r="C598" i="1" s="1"/>
  <c r="U598" i="1" s="1"/>
  <c r="C538" i="1"/>
  <c r="U538" i="1" s="1"/>
  <c r="E447" i="1"/>
  <c r="D507" i="1"/>
  <c r="U507" i="1" s="1"/>
  <c r="C533" i="1"/>
  <c r="U533" i="1" s="1"/>
  <c r="B593" i="1"/>
  <c r="C593" i="1" s="1"/>
  <c r="C470" i="1"/>
  <c r="U470" i="1" s="1"/>
  <c r="B530" i="1"/>
  <c r="D494" i="1"/>
  <c r="E434" i="1"/>
  <c r="B563" i="1"/>
  <c r="C563" i="1" s="1"/>
  <c r="U563" i="1" s="1"/>
  <c r="C503" i="1"/>
  <c r="U503" i="1" s="1"/>
  <c r="B534" i="1"/>
  <c r="C474" i="1"/>
  <c r="U474" i="1" s="1"/>
  <c r="D597" i="1"/>
  <c r="E537" i="1"/>
  <c r="K118" i="1" a="1"/>
  <c r="K118" i="1" s="1"/>
  <c r="J118" i="1" a="1"/>
  <c r="J118" i="1" s="1"/>
  <c r="F130" i="1"/>
  <c r="D482" i="1"/>
  <c r="E422" i="1"/>
  <c r="B508" i="1"/>
  <c r="C448" i="1"/>
  <c r="U448" i="1" s="1"/>
  <c r="C451" i="1"/>
  <c r="U451" i="1" s="1"/>
  <c r="B511" i="1"/>
  <c r="E595" i="1"/>
  <c r="F153" i="1"/>
  <c r="J141" i="1" a="1"/>
  <c r="J141" i="1" s="1"/>
  <c r="K141" i="1" a="1"/>
  <c r="K141" i="1" s="1"/>
  <c r="F128" i="1"/>
  <c r="K116" i="1" a="1"/>
  <c r="K116" i="1" s="1"/>
  <c r="J116" i="1" a="1"/>
  <c r="J116" i="1" s="1"/>
  <c r="E465" i="1"/>
  <c r="D525" i="1"/>
  <c r="E532" i="1"/>
  <c r="D592" i="1"/>
  <c r="E592" i="1" s="1"/>
  <c r="C501" i="1"/>
  <c r="U501" i="1" s="1"/>
  <c r="B561" i="1"/>
  <c r="C561" i="1" s="1"/>
  <c r="U561" i="1" s="1"/>
  <c r="B500" i="1"/>
  <c r="C440" i="1"/>
  <c r="U440" i="1" s="1"/>
  <c r="B566" i="1"/>
  <c r="C566" i="1" s="1"/>
  <c r="C506" i="1"/>
  <c r="B484" i="1"/>
  <c r="C424" i="1"/>
  <c r="U424" i="1" s="1"/>
  <c r="D498" i="1"/>
  <c r="E438" i="1"/>
  <c r="B510" i="1"/>
  <c r="C450" i="1"/>
  <c r="U450" i="1" s="1"/>
  <c r="E599" i="1"/>
  <c r="C401" i="3"/>
  <c r="B461" i="3"/>
  <c r="B531" i="3"/>
  <c r="C471" i="3"/>
  <c r="C500" i="3"/>
  <c r="B560" i="3"/>
  <c r="C560" i="3" s="1"/>
  <c r="B447" i="3"/>
  <c r="C387" i="3"/>
  <c r="C384" i="3"/>
  <c r="B444" i="3"/>
  <c r="B598" i="3"/>
  <c r="C598" i="3" s="1"/>
  <c r="C538" i="3"/>
  <c r="B427" i="3"/>
  <c r="C367" i="3"/>
  <c r="B491" i="3"/>
  <c r="C431" i="3"/>
  <c r="B554" i="3"/>
  <c r="C554" i="3" s="1"/>
  <c r="C494" i="3"/>
  <c r="B486" i="3"/>
  <c r="C426" i="3"/>
  <c r="C437" i="3"/>
  <c r="B497" i="3"/>
  <c r="C438" i="3"/>
  <c r="B498" i="3"/>
  <c r="C396" i="3"/>
  <c r="B456" i="3"/>
  <c r="B480" i="3"/>
  <c r="C420" i="3"/>
  <c r="B532" i="3"/>
  <c r="C472" i="3"/>
  <c r="C535" i="3"/>
  <c r="B595" i="3"/>
  <c r="C595" i="3" s="1"/>
  <c r="B484" i="3"/>
  <c r="C424" i="3"/>
  <c r="C419" i="3"/>
  <c r="B479" i="3"/>
  <c r="B517" i="3"/>
  <c r="C457" i="3"/>
  <c r="B428" i="3"/>
  <c r="C368" i="3"/>
  <c r="C530" i="3"/>
  <c r="B590" i="3"/>
  <c r="C590" i="3" s="1"/>
  <c r="B561" i="3"/>
  <c r="C561" i="3" s="1"/>
  <c r="C501" i="3"/>
  <c r="B490" i="3"/>
  <c r="C430" i="3"/>
  <c r="B585" i="3"/>
  <c r="C585" i="3" s="1"/>
  <c r="C525" i="3"/>
  <c r="B541" i="3"/>
  <c r="C481" i="3"/>
  <c r="C395" i="3"/>
  <c r="B455" i="3"/>
  <c r="B510" i="3"/>
  <c r="C450" i="3"/>
  <c r="B443" i="3"/>
  <c r="C383" i="3"/>
  <c r="B518" i="3"/>
  <c r="C458" i="3"/>
  <c r="C375" i="3"/>
  <c r="B435" i="3"/>
  <c r="C528" i="3"/>
  <c r="B588" i="3"/>
  <c r="C588" i="3" s="1"/>
  <c r="C363" i="3"/>
  <c r="B423" i="3"/>
  <c r="B553" i="3"/>
  <c r="C553" i="3" s="1"/>
  <c r="C493" i="3"/>
  <c r="B422" i="3"/>
  <c r="C362" i="3"/>
  <c r="B449" i="3"/>
  <c r="C389" i="3"/>
  <c r="B513" i="3"/>
  <c r="C453" i="3"/>
  <c r="C399" i="3"/>
  <c r="B459" i="3"/>
  <c r="B448" i="3"/>
  <c r="C388" i="3"/>
  <c r="B537" i="3"/>
  <c r="C477" i="3"/>
  <c r="B583" i="3"/>
  <c r="C583" i="3" s="1"/>
  <c r="C523" i="3"/>
  <c r="B485" i="3"/>
  <c r="C425" i="3"/>
  <c r="B492" i="3"/>
  <c r="C432" i="3"/>
  <c r="B593" i="3"/>
  <c r="C593" i="3" s="1"/>
  <c r="C533" i="3"/>
  <c r="B529" i="3"/>
  <c r="C469" i="3"/>
  <c r="C382" i="3"/>
  <c r="B442" i="3"/>
  <c r="B582" i="3"/>
  <c r="C582" i="3" s="1"/>
  <c r="C522" i="3"/>
  <c r="B524" i="3"/>
  <c r="C464" i="3"/>
  <c r="C406" i="3"/>
  <c r="B466" i="3"/>
  <c r="C394" i="3"/>
  <c r="B454" i="3"/>
  <c r="B451" i="3"/>
  <c r="C391" i="3"/>
  <c r="B489" i="3"/>
  <c r="C429" i="3"/>
  <c r="U506" i="1" l="1"/>
  <c r="U490" i="1"/>
  <c r="U588" i="1"/>
  <c r="U593" i="1"/>
  <c r="U592" i="1"/>
  <c r="U494" i="1"/>
  <c r="U591" i="1"/>
  <c r="U601" i="1"/>
  <c r="U553" i="1"/>
  <c r="U527" i="1"/>
  <c r="U482" i="1"/>
  <c r="E584" i="1"/>
  <c r="U584" i="1"/>
  <c r="U498" i="1"/>
  <c r="O137" i="1"/>
  <c r="M137" i="1"/>
  <c r="R137" i="1" s="1"/>
  <c r="O151" i="1"/>
  <c r="M151" i="1"/>
  <c r="R151" i="1" s="1"/>
  <c r="O132" i="1"/>
  <c r="M132" i="1"/>
  <c r="R132" i="1" s="1"/>
  <c r="O98" i="1"/>
  <c r="M98" i="1"/>
  <c r="R98" i="1" s="1"/>
  <c r="O97" i="1"/>
  <c r="M97" i="1"/>
  <c r="R97" i="1" s="1"/>
  <c r="O141" i="1"/>
  <c r="M141" i="1"/>
  <c r="R141" i="1" s="1"/>
  <c r="O88" i="1"/>
  <c r="M88" i="1"/>
  <c r="R88" i="1" s="1"/>
  <c r="O118" i="1"/>
  <c r="M118" i="1"/>
  <c r="R118" i="1" s="1"/>
  <c r="O116" i="1"/>
  <c r="M116" i="1"/>
  <c r="R116" i="1" s="1"/>
  <c r="O279" i="1"/>
  <c r="M279" i="1"/>
  <c r="R279" i="1" s="1"/>
  <c r="O143" i="1"/>
  <c r="M143" i="1"/>
  <c r="R143" i="1" s="1"/>
  <c r="O114" i="1"/>
  <c r="M114" i="1"/>
  <c r="R114" i="1" s="1"/>
  <c r="P267" i="1"/>
  <c r="S267" i="1" s="1"/>
  <c r="T267" i="1"/>
  <c r="P76" i="1"/>
  <c r="S76" i="1" s="1"/>
  <c r="P120" i="1"/>
  <c r="S120" i="1" s="1"/>
  <c r="P106" i="1"/>
  <c r="S106" i="1" s="1"/>
  <c r="P125" i="1"/>
  <c r="S125" i="1" s="1"/>
  <c r="P131" i="1"/>
  <c r="S131" i="1" s="1"/>
  <c r="P129" i="1"/>
  <c r="S129" i="1" s="1"/>
  <c r="P86" i="1"/>
  <c r="S86" i="1" s="1"/>
  <c r="N98" i="1"/>
  <c r="T98" i="1" s="1"/>
  <c r="N97" i="1"/>
  <c r="T97" i="1" s="1"/>
  <c r="N143" i="1"/>
  <c r="T143" i="1" s="1"/>
  <c r="P139" i="1"/>
  <c r="S139" i="1" s="1"/>
  <c r="N137" i="1"/>
  <c r="T137" i="1" s="1"/>
  <c r="P85" i="1"/>
  <c r="S85" i="1" s="1"/>
  <c r="N118" i="1"/>
  <c r="T118" i="1" s="1"/>
  <c r="N116" i="1"/>
  <c r="T116" i="1" s="1"/>
  <c r="P104" i="1"/>
  <c r="S104" i="1" s="1"/>
  <c r="N114" i="1"/>
  <c r="T114" i="1" s="1"/>
  <c r="C535" i="1"/>
  <c r="U535" i="1" s="1"/>
  <c r="B595" i="1"/>
  <c r="C595" i="1" s="1"/>
  <c r="U595" i="1" s="1"/>
  <c r="N88" i="1"/>
  <c r="T88" i="1" s="1"/>
  <c r="N279" i="1"/>
  <c r="T279" i="1" s="1"/>
  <c r="N151" i="1"/>
  <c r="T151" i="1" s="1"/>
  <c r="N132" i="1"/>
  <c r="T132" i="1" s="1"/>
  <c r="P102" i="1"/>
  <c r="S102" i="1" s="1"/>
  <c r="N141" i="1"/>
  <c r="T141" i="1" s="1"/>
  <c r="D559" i="1"/>
  <c r="E559" i="1" s="1"/>
  <c r="E499" i="1"/>
  <c r="C504" i="1"/>
  <c r="U504" i="1" s="1"/>
  <c r="B564" i="1"/>
  <c r="C564" i="1" s="1"/>
  <c r="U564" i="1" s="1"/>
  <c r="B577" i="1"/>
  <c r="C577" i="1" s="1"/>
  <c r="C517" i="1"/>
  <c r="U517" i="1" s="1"/>
  <c r="B559" i="1"/>
  <c r="C559" i="1" s="1"/>
  <c r="U559" i="1" s="1"/>
  <c r="C499" i="1"/>
  <c r="U499" i="1" s="1"/>
  <c r="K109" i="1" a="1"/>
  <c r="K109" i="1" s="1"/>
  <c r="F121" i="1"/>
  <c r="J109" i="1" a="1"/>
  <c r="J109" i="1" s="1"/>
  <c r="D550" i="1"/>
  <c r="E550" i="1" s="1"/>
  <c r="E490" i="1"/>
  <c r="E495" i="1"/>
  <c r="D555" i="1"/>
  <c r="E555" i="1" s="1"/>
  <c r="C525" i="1"/>
  <c r="U525" i="1" s="1"/>
  <c r="B585" i="1"/>
  <c r="C585" i="1" s="1"/>
  <c r="U585" i="1" s="1"/>
  <c r="D565" i="1"/>
  <c r="E505" i="1"/>
  <c r="C514" i="1"/>
  <c r="U514" i="1" s="1"/>
  <c r="B574" i="1"/>
  <c r="C574" i="1" s="1"/>
  <c r="B597" i="1"/>
  <c r="C597" i="1" s="1"/>
  <c r="U597" i="1" s="1"/>
  <c r="C537" i="1"/>
  <c r="U537" i="1" s="1"/>
  <c r="B569" i="1"/>
  <c r="C569" i="1" s="1"/>
  <c r="C509" i="1"/>
  <c r="U509" i="1" s="1"/>
  <c r="C529" i="1"/>
  <c r="U529" i="1" s="1"/>
  <c r="B589" i="1"/>
  <c r="C589" i="1" s="1"/>
  <c r="U589" i="1" s="1"/>
  <c r="C483" i="1"/>
  <c r="U483" i="1" s="1"/>
  <c r="B543" i="1"/>
  <c r="C543" i="1" s="1"/>
  <c r="U543" i="1" s="1"/>
  <c r="B547" i="1"/>
  <c r="C547" i="1" s="1"/>
  <c r="C487" i="1"/>
  <c r="U487" i="1" s="1"/>
  <c r="C513" i="1"/>
  <c r="U513" i="1" s="1"/>
  <c r="B573" i="1"/>
  <c r="C573" i="1" s="1"/>
  <c r="U573" i="1" s="1"/>
  <c r="D557" i="1"/>
  <c r="E557" i="1" s="1"/>
  <c r="E497" i="1"/>
  <c r="F165" i="1"/>
  <c r="J153" i="1" a="1"/>
  <c r="J153" i="1" s="1"/>
  <c r="K153" i="1" a="1"/>
  <c r="K153" i="1" s="1"/>
  <c r="C534" i="1"/>
  <c r="U534" i="1" s="1"/>
  <c r="B594" i="1"/>
  <c r="C594" i="1" s="1"/>
  <c r="U594" i="1" s="1"/>
  <c r="E494" i="1"/>
  <c r="D554" i="1"/>
  <c r="U554" i="1" s="1"/>
  <c r="E508" i="1"/>
  <c r="D568" i="1"/>
  <c r="E568" i="1" s="1"/>
  <c r="C497" i="1"/>
  <c r="U497" i="1" s="1"/>
  <c r="B557" i="1"/>
  <c r="C557" i="1" s="1"/>
  <c r="E525" i="1"/>
  <c r="D585" i="1"/>
  <c r="C530" i="1"/>
  <c r="U530" i="1" s="1"/>
  <c r="B590" i="1"/>
  <c r="C590" i="1" s="1"/>
  <c r="U590" i="1" s="1"/>
  <c r="C485" i="1"/>
  <c r="U485" i="1" s="1"/>
  <c r="B545" i="1"/>
  <c r="C545" i="1" s="1"/>
  <c r="U545" i="1" s="1"/>
  <c r="E514" i="1"/>
  <c r="D574" i="1"/>
  <c r="J144" i="1" a="1"/>
  <c r="J144" i="1" s="1"/>
  <c r="F156" i="1"/>
  <c r="K144" i="1" a="1"/>
  <c r="K144" i="1" s="1"/>
  <c r="F167" i="1"/>
  <c r="K155" i="1" a="1"/>
  <c r="K155" i="1" s="1"/>
  <c r="J155" i="1" a="1"/>
  <c r="J155" i="1" s="1"/>
  <c r="C511" i="1"/>
  <c r="U511" i="1" s="1"/>
  <c r="B571" i="1"/>
  <c r="C571" i="1" s="1"/>
  <c r="E515" i="1"/>
  <c r="D575" i="1"/>
  <c r="E575" i="1" s="1"/>
  <c r="E487" i="1"/>
  <c r="D547" i="1"/>
  <c r="D587" i="1"/>
  <c r="E587" i="1" s="1"/>
  <c r="E527" i="1"/>
  <c r="D546" i="1"/>
  <c r="U546" i="1" s="1"/>
  <c r="E486" i="1"/>
  <c r="E597" i="1"/>
  <c r="B552" i="1"/>
  <c r="C552" i="1" s="1"/>
  <c r="U552" i="1" s="1"/>
  <c r="C492" i="1"/>
  <c r="U492" i="1" s="1"/>
  <c r="D558" i="1"/>
  <c r="U558" i="1" s="1"/>
  <c r="E498" i="1"/>
  <c r="E509" i="1"/>
  <c r="D569" i="1"/>
  <c r="C484" i="1"/>
  <c r="U484" i="1" s="1"/>
  <c r="B544" i="1"/>
  <c r="C544" i="1" s="1"/>
  <c r="U544" i="1" s="1"/>
  <c r="E482" i="1"/>
  <c r="D542" i="1"/>
  <c r="E542" i="1" s="1"/>
  <c r="E507" i="1"/>
  <c r="D567" i="1"/>
  <c r="U567" i="1" s="1"/>
  <c r="F175" i="1"/>
  <c r="K163" i="1" a="1"/>
  <c r="K163" i="1" s="1"/>
  <c r="J163" i="1" a="1"/>
  <c r="J163" i="1" s="1"/>
  <c r="F112" i="1"/>
  <c r="J100" i="1" a="1"/>
  <c r="J100" i="1" s="1"/>
  <c r="K100" i="1" a="1"/>
  <c r="K100" i="1" s="1"/>
  <c r="C510" i="1"/>
  <c r="U510" i="1" s="1"/>
  <c r="B570" i="1"/>
  <c r="C570" i="1" s="1"/>
  <c r="U570" i="1" s="1"/>
  <c r="F303" i="1"/>
  <c r="K291" i="1" a="1"/>
  <c r="K291" i="1" s="1"/>
  <c r="J291" i="1" a="1"/>
  <c r="J291" i="1" s="1"/>
  <c r="F140" i="1"/>
  <c r="J128" i="1" a="1"/>
  <c r="J128" i="1" s="1"/>
  <c r="K128" i="1" a="1"/>
  <c r="K128" i="1" s="1"/>
  <c r="B549" i="1"/>
  <c r="C549" i="1" s="1"/>
  <c r="U549" i="1" s="1"/>
  <c r="C489" i="1"/>
  <c r="U489" i="1" s="1"/>
  <c r="E553" i="1"/>
  <c r="E573" i="1"/>
  <c r="C496" i="1"/>
  <c r="U496" i="1" s="1"/>
  <c r="B556" i="1"/>
  <c r="C556" i="1" s="1"/>
  <c r="U556" i="1" s="1"/>
  <c r="C491" i="1"/>
  <c r="U491" i="1" s="1"/>
  <c r="B551" i="1"/>
  <c r="C551" i="1" s="1"/>
  <c r="U551" i="1" s="1"/>
  <c r="D543" i="1"/>
  <c r="E483" i="1"/>
  <c r="E512" i="1"/>
  <c r="D572" i="1"/>
  <c r="U572" i="1" s="1"/>
  <c r="F142" i="1"/>
  <c r="K130" i="1" a="1"/>
  <c r="K130" i="1" s="1"/>
  <c r="J130" i="1" a="1"/>
  <c r="J130" i="1" s="1"/>
  <c r="C519" i="1"/>
  <c r="U519" i="1" s="1"/>
  <c r="B579" i="1"/>
  <c r="C579" i="1" s="1"/>
  <c r="U579" i="1" s="1"/>
  <c r="D566" i="1"/>
  <c r="E566" i="1" s="1"/>
  <c r="E506" i="1"/>
  <c r="F161" i="1"/>
  <c r="K149" i="1" a="1"/>
  <c r="K149" i="1" s="1"/>
  <c r="J149" i="1" a="1"/>
  <c r="J149" i="1" s="1"/>
  <c r="F122" i="1"/>
  <c r="J110" i="1" a="1"/>
  <c r="J110" i="1" s="1"/>
  <c r="K110" i="1" a="1"/>
  <c r="K110" i="1" s="1"/>
  <c r="B596" i="1"/>
  <c r="C596" i="1" s="1"/>
  <c r="U596" i="1" s="1"/>
  <c r="C536" i="1"/>
  <c r="U536" i="1" s="1"/>
  <c r="E511" i="1"/>
  <c r="D571" i="1"/>
  <c r="E571" i="1" s="1"/>
  <c r="F138" i="1"/>
  <c r="K126" i="1" a="1"/>
  <c r="K126" i="1" s="1"/>
  <c r="J126" i="1" a="1"/>
  <c r="J126" i="1" s="1"/>
  <c r="E526" i="1"/>
  <c r="D586" i="1"/>
  <c r="E586" i="1" s="1"/>
  <c r="D577" i="1"/>
  <c r="E517" i="1"/>
  <c r="C500" i="1"/>
  <c r="U500" i="1" s="1"/>
  <c r="B560" i="1"/>
  <c r="C560" i="1" s="1"/>
  <c r="U560" i="1" s="1"/>
  <c r="B568" i="1"/>
  <c r="C568" i="1" s="1"/>
  <c r="C508" i="1"/>
  <c r="U508" i="1" s="1"/>
  <c r="C526" i="1"/>
  <c r="U526" i="1" s="1"/>
  <c r="B586" i="1"/>
  <c r="C586" i="1" s="1"/>
  <c r="U586" i="1" s="1"/>
  <c r="C447" i="3"/>
  <c r="B507" i="3"/>
  <c r="B504" i="3"/>
  <c r="C444" i="3"/>
  <c r="B521" i="3"/>
  <c r="C461" i="3"/>
  <c r="C531" i="3"/>
  <c r="B591" i="3"/>
  <c r="C591" i="3" s="1"/>
  <c r="B552" i="3"/>
  <c r="C552" i="3" s="1"/>
  <c r="C492" i="3"/>
  <c r="B508" i="3"/>
  <c r="C448" i="3"/>
  <c r="B482" i="3"/>
  <c r="C422" i="3"/>
  <c r="C486" i="3"/>
  <c r="B546" i="3"/>
  <c r="C546" i="3" s="1"/>
  <c r="B526" i="3"/>
  <c r="C466" i="3"/>
  <c r="B502" i="3"/>
  <c r="C442" i="3"/>
  <c r="C518" i="3"/>
  <c r="B578" i="3"/>
  <c r="C578" i="3" s="1"/>
  <c r="B601" i="3"/>
  <c r="C601" i="3" s="1"/>
  <c r="C541" i="3"/>
  <c r="B544" i="3"/>
  <c r="C544" i="3" s="1"/>
  <c r="C484" i="3"/>
  <c r="B549" i="3"/>
  <c r="C549" i="3" s="1"/>
  <c r="C489" i="3"/>
  <c r="B584" i="3"/>
  <c r="C584" i="3" s="1"/>
  <c r="C524" i="3"/>
  <c r="C529" i="3"/>
  <c r="B589" i="3"/>
  <c r="C589" i="3" s="1"/>
  <c r="B573" i="3"/>
  <c r="C573" i="3" s="1"/>
  <c r="C513" i="3"/>
  <c r="C443" i="3"/>
  <c r="B503" i="3"/>
  <c r="B488" i="3"/>
  <c r="C428" i="3"/>
  <c r="B551" i="3"/>
  <c r="C551" i="3" s="1"/>
  <c r="C491" i="3"/>
  <c r="C451" i="3"/>
  <c r="B511" i="3"/>
  <c r="C537" i="3"/>
  <c r="B597" i="3"/>
  <c r="C597" i="3" s="1"/>
  <c r="B509" i="3"/>
  <c r="C449" i="3"/>
  <c r="C510" i="3"/>
  <c r="B570" i="3"/>
  <c r="C570" i="3" s="1"/>
  <c r="B550" i="3"/>
  <c r="C550" i="3" s="1"/>
  <c r="C490" i="3"/>
  <c r="B514" i="3"/>
  <c r="C454" i="3"/>
  <c r="C435" i="3"/>
  <c r="B495" i="3"/>
  <c r="B515" i="3"/>
  <c r="C455" i="3"/>
  <c r="C479" i="3"/>
  <c r="B539" i="3"/>
  <c r="B540" i="3"/>
  <c r="C480" i="3"/>
  <c r="B519" i="3"/>
  <c r="C459" i="3"/>
  <c r="C456" i="3"/>
  <c r="B516" i="3"/>
  <c r="B545" i="3"/>
  <c r="C545" i="3" s="1"/>
  <c r="C485" i="3"/>
  <c r="B483" i="3"/>
  <c r="C423" i="3"/>
  <c r="B558" i="3"/>
  <c r="C558" i="3" s="1"/>
  <c r="C498" i="3"/>
  <c r="B557" i="3"/>
  <c r="C557" i="3" s="1"/>
  <c r="C497" i="3"/>
  <c r="B577" i="3"/>
  <c r="C577" i="3" s="1"/>
  <c r="C517" i="3"/>
  <c r="B592" i="3"/>
  <c r="C592" i="3" s="1"/>
  <c r="C532" i="3"/>
  <c r="B487" i="3"/>
  <c r="C427" i="3"/>
  <c r="U542" i="1" l="1"/>
  <c r="U575" i="1"/>
  <c r="U569" i="1"/>
  <c r="U574" i="1"/>
  <c r="U577" i="1"/>
  <c r="E565" i="1"/>
  <c r="U565" i="1"/>
  <c r="U571" i="1"/>
  <c r="U557" i="1"/>
  <c r="U547" i="1"/>
  <c r="U587" i="1"/>
  <c r="P151" i="1"/>
  <c r="S151" i="1" s="1"/>
  <c r="U550" i="1"/>
  <c r="U568" i="1"/>
  <c r="U566" i="1"/>
  <c r="U555" i="1"/>
  <c r="O130" i="1"/>
  <c r="M130" i="1"/>
  <c r="R130" i="1" s="1"/>
  <c r="O128" i="1"/>
  <c r="M128" i="1"/>
  <c r="R128" i="1" s="1"/>
  <c r="O110" i="1"/>
  <c r="M110" i="1"/>
  <c r="R110" i="1" s="1"/>
  <c r="O144" i="1"/>
  <c r="M144" i="1"/>
  <c r="R144" i="1" s="1"/>
  <c r="O149" i="1"/>
  <c r="M149" i="1"/>
  <c r="R149" i="1" s="1"/>
  <c r="O163" i="1"/>
  <c r="M163" i="1"/>
  <c r="R163" i="1" s="1"/>
  <c r="O291" i="1"/>
  <c r="M291" i="1"/>
  <c r="O155" i="1"/>
  <c r="M155" i="1"/>
  <c r="R155" i="1" s="1"/>
  <c r="O109" i="1"/>
  <c r="M109" i="1"/>
  <c r="R109" i="1" s="1"/>
  <c r="O100" i="1"/>
  <c r="M100" i="1"/>
  <c r="R100" i="1" s="1"/>
  <c r="O153" i="1"/>
  <c r="M153" i="1"/>
  <c r="O126" i="1"/>
  <c r="M126" i="1"/>
  <c r="R126" i="1" s="1"/>
  <c r="P88" i="1"/>
  <c r="S88" i="1" s="1"/>
  <c r="P98" i="1"/>
  <c r="S98" i="1" s="1"/>
  <c r="P143" i="1"/>
  <c r="S143" i="1" s="1"/>
  <c r="P97" i="1"/>
  <c r="S97" i="1" s="1"/>
  <c r="N291" i="1"/>
  <c r="T291" i="1" s="1"/>
  <c r="R291" i="1"/>
  <c r="N155" i="1"/>
  <c r="T155" i="1" s="1"/>
  <c r="P116" i="1"/>
  <c r="S116" i="1" s="1"/>
  <c r="N109" i="1"/>
  <c r="T109" i="1" s="1"/>
  <c r="N163" i="1"/>
  <c r="T163" i="1" s="1"/>
  <c r="N110" i="1"/>
  <c r="T110" i="1" s="1"/>
  <c r="N100" i="1"/>
  <c r="T100" i="1" s="1"/>
  <c r="N126" i="1"/>
  <c r="T126" i="1" s="1"/>
  <c r="N130" i="1"/>
  <c r="T130" i="1" s="1"/>
  <c r="N128" i="1"/>
  <c r="T128" i="1" s="1"/>
  <c r="N149" i="1"/>
  <c r="T149" i="1" s="1"/>
  <c r="N144" i="1"/>
  <c r="T144" i="1" s="1"/>
  <c r="P132" i="1"/>
  <c r="S132" i="1" s="1"/>
  <c r="N153" i="1"/>
  <c r="T153" i="1" s="1"/>
  <c r="R153" i="1"/>
  <c r="P114" i="1"/>
  <c r="S114" i="1" s="1"/>
  <c r="P137" i="1"/>
  <c r="S137" i="1" s="1"/>
  <c r="P141" i="1"/>
  <c r="S141" i="1" s="1"/>
  <c r="P118" i="1"/>
  <c r="S118" i="1" s="1"/>
  <c r="P279" i="1"/>
  <c r="S279" i="1" s="1"/>
  <c r="F133" i="1"/>
  <c r="K121" i="1" a="1"/>
  <c r="K121" i="1" s="1"/>
  <c r="J121" i="1" a="1"/>
  <c r="J121" i="1" s="1"/>
  <c r="E543" i="1"/>
  <c r="E567" i="1"/>
  <c r="F179" i="1"/>
  <c r="K167" i="1" a="1"/>
  <c r="K167" i="1" s="1"/>
  <c r="J167" i="1" a="1"/>
  <c r="J167" i="1" s="1"/>
  <c r="F154" i="1"/>
  <c r="K142" i="1" a="1"/>
  <c r="K142" i="1" s="1"/>
  <c r="J142" i="1" a="1"/>
  <c r="J142" i="1" s="1"/>
  <c r="E569" i="1"/>
  <c r="E572" i="1"/>
  <c r="F134" i="1"/>
  <c r="J122" i="1" a="1"/>
  <c r="J122" i="1" s="1"/>
  <c r="K122" i="1" a="1"/>
  <c r="K122" i="1" s="1"/>
  <c r="F124" i="1"/>
  <c r="K112" i="1" a="1"/>
  <c r="K112" i="1" s="1"/>
  <c r="J112" i="1" a="1"/>
  <c r="J112" i="1" s="1"/>
  <c r="F177" i="1"/>
  <c r="K165" i="1" a="1"/>
  <c r="K165" i="1" s="1"/>
  <c r="J165" i="1" a="1"/>
  <c r="J165" i="1" s="1"/>
  <c r="F150" i="1"/>
  <c r="J138" i="1" a="1"/>
  <c r="J138" i="1" s="1"/>
  <c r="K138" i="1" a="1"/>
  <c r="K138" i="1" s="1"/>
  <c r="F173" i="1"/>
  <c r="J161" i="1" a="1"/>
  <c r="J161" i="1" s="1"/>
  <c r="K161" i="1" a="1"/>
  <c r="K161" i="1" s="1"/>
  <c r="J175" i="1" a="1"/>
  <c r="J175" i="1" s="1"/>
  <c r="F187" i="1"/>
  <c r="K175" i="1" a="1"/>
  <c r="K175" i="1" s="1"/>
  <c r="E547" i="1"/>
  <c r="F168" i="1"/>
  <c r="J156" i="1" a="1"/>
  <c r="J156" i="1" s="1"/>
  <c r="K156" i="1" a="1"/>
  <c r="K156" i="1" s="1"/>
  <c r="E585" i="1"/>
  <c r="F315" i="1"/>
  <c r="J303" i="1" a="1"/>
  <c r="J303" i="1" s="1"/>
  <c r="K303" i="1" a="1"/>
  <c r="K303" i="1" s="1"/>
  <c r="E558" i="1"/>
  <c r="E574" i="1"/>
  <c r="E554" i="1"/>
  <c r="E546" i="1"/>
  <c r="E577" i="1"/>
  <c r="F152" i="1"/>
  <c r="K140" i="1" a="1"/>
  <c r="K140" i="1" s="1"/>
  <c r="J140" i="1" a="1"/>
  <c r="J140" i="1" s="1"/>
  <c r="B581" i="3"/>
  <c r="C581" i="3" s="1"/>
  <c r="C521" i="3"/>
  <c r="B564" i="3"/>
  <c r="C564" i="3" s="1"/>
  <c r="C504" i="3"/>
  <c r="C507" i="3"/>
  <c r="B567" i="3"/>
  <c r="C567" i="3" s="1"/>
  <c r="B576" i="3"/>
  <c r="C576" i="3" s="1"/>
  <c r="C516" i="3"/>
  <c r="B547" i="3"/>
  <c r="C547" i="3" s="1"/>
  <c r="C487" i="3"/>
  <c r="B548" i="3"/>
  <c r="C548" i="3" s="1"/>
  <c r="C488" i="3"/>
  <c r="C515" i="3"/>
  <c r="B575" i="3"/>
  <c r="C575" i="3" s="1"/>
  <c r="B555" i="3"/>
  <c r="C555" i="3" s="1"/>
  <c r="C495" i="3"/>
  <c r="C519" i="3"/>
  <c r="B579" i="3"/>
  <c r="C579" i="3" s="1"/>
  <c r="B569" i="3"/>
  <c r="C569" i="3" s="1"/>
  <c r="C509" i="3"/>
  <c r="C482" i="3"/>
  <c r="B542" i="3"/>
  <c r="C542" i="3" s="1"/>
  <c r="B563" i="3"/>
  <c r="C563" i="3" s="1"/>
  <c r="C503" i="3"/>
  <c r="B543" i="3"/>
  <c r="C543" i="3" s="1"/>
  <c r="C483" i="3"/>
  <c r="B600" i="3"/>
  <c r="C600" i="3" s="1"/>
  <c r="C540" i="3"/>
  <c r="C514" i="3"/>
  <c r="B574" i="3"/>
  <c r="C574" i="3" s="1"/>
  <c r="B562" i="3"/>
  <c r="C562" i="3" s="1"/>
  <c r="C502" i="3"/>
  <c r="B568" i="3"/>
  <c r="C568" i="3" s="1"/>
  <c r="C508" i="3"/>
  <c r="C539" i="3"/>
  <c r="B599" i="3"/>
  <c r="C599" i="3" s="1"/>
  <c r="C511" i="3"/>
  <c r="B571" i="3"/>
  <c r="C571" i="3" s="1"/>
  <c r="B586" i="3"/>
  <c r="C586" i="3" s="1"/>
  <c r="C526" i="3"/>
  <c r="P291" i="1" l="1"/>
  <c r="S291" i="1" s="1"/>
  <c r="O165" i="1"/>
  <c r="M165" i="1"/>
  <c r="R165" i="1" s="1"/>
  <c r="O167" i="1"/>
  <c r="M167" i="1"/>
  <c r="R167" i="1" s="1"/>
  <c r="O156" i="1"/>
  <c r="M156" i="1"/>
  <c r="R156" i="1" s="1"/>
  <c r="O121" i="1"/>
  <c r="M121" i="1"/>
  <c r="R121" i="1" s="1"/>
  <c r="O142" i="1"/>
  <c r="P142" i="1" s="1"/>
  <c r="S142" i="1" s="1"/>
  <c r="M142" i="1"/>
  <c r="R142" i="1" s="1"/>
  <c r="O138" i="1"/>
  <c r="M138" i="1"/>
  <c r="R138" i="1" s="1"/>
  <c r="O303" i="1"/>
  <c r="M303" i="1"/>
  <c r="R303" i="1" s="1"/>
  <c r="O112" i="1"/>
  <c r="M112" i="1"/>
  <c r="R112" i="1" s="1"/>
  <c r="O140" i="1"/>
  <c r="M140" i="1"/>
  <c r="R140" i="1" s="1"/>
  <c r="O122" i="1"/>
  <c r="M122" i="1"/>
  <c r="R122" i="1" s="1"/>
  <c r="O175" i="1"/>
  <c r="M175" i="1"/>
  <c r="R175" i="1" s="1"/>
  <c r="O161" i="1"/>
  <c r="M161" i="1"/>
  <c r="R161" i="1" s="1"/>
  <c r="P155" i="1"/>
  <c r="S155" i="1" s="1"/>
  <c r="P128" i="1"/>
  <c r="S128" i="1" s="1"/>
  <c r="P144" i="1"/>
  <c r="S144" i="1" s="1"/>
  <c r="P109" i="1"/>
  <c r="S109" i="1" s="1"/>
  <c r="P149" i="1"/>
  <c r="S149" i="1" s="1"/>
  <c r="P110" i="1"/>
  <c r="S110" i="1" s="1"/>
  <c r="N303" i="1"/>
  <c r="T303" i="1" s="1"/>
  <c r="N142" i="1"/>
  <c r="T142" i="1" s="1"/>
  <c r="N140" i="1"/>
  <c r="T140" i="1" s="1"/>
  <c r="N112" i="1"/>
  <c r="T112" i="1" s="1"/>
  <c r="P130" i="1"/>
  <c r="S130" i="1" s="1"/>
  <c r="N122" i="1"/>
  <c r="T122" i="1" s="1"/>
  <c r="N165" i="1"/>
  <c r="T165" i="1" s="1"/>
  <c r="N156" i="1"/>
  <c r="T156" i="1" s="1"/>
  <c r="N175" i="1"/>
  <c r="T175" i="1" s="1"/>
  <c r="P126" i="1"/>
  <c r="S126" i="1" s="1"/>
  <c r="N161" i="1"/>
  <c r="T161" i="1" s="1"/>
  <c r="P153" i="1"/>
  <c r="S153" i="1" s="1"/>
  <c r="N121" i="1"/>
  <c r="T121" i="1" s="1"/>
  <c r="N138" i="1"/>
  <c r="T138" i="1" s="1"/>
  <c r="N167" i="1"/>
  <c r="T167" i="1" s="1"/>
  <c r="P163" i="1"/>
  <c r="S163" i="1" s="1"/>
  <c r="P100" i="1"/>
  <c r="S100" i="1" s="1"/>
  <c r="F145" i="1"/>
  <c r="K133" i="1" a="1"/>
  <c r="K133" i="1" s="1"/>
  <c r="J133" i="1" a="1"/>
  <c r="J133" i="1" s="1"/>
  <c r="F199" i="1"/>
  <c r="K187" i="1" a="1"/>
  <c r="K187" i="1" s="1"/>
  <c r="J187" i="1" a="1"/>
  <c r="J187" i="1" s="1"/>
  <c r="F327" i="1"/>
  <c r="K315" i="1" a="1"/>
  <c r="K315" i="1" s="1"/>
  <c r="J315" i="1" a="1"/>
  <c r="J315" i="1" s="1"/>
  <c r="F185" i="1"/>
  <c r="J173" i="1" a="1"/>
  <c r="J173" i="1" s="1"/>
  <c r="K173" i="1" a="1"/>
  <c r="K173" i="1" s="1"/>
  <c r="F146" i="1"/>
  <c r="K134" i="1" a="1"/>
  <c r="K134" i="1" s="1"/>
  <c r="J134" i="1" a="1"/>
  <c r="J134" i="1" s="1"/>
  <c r="F191" i="1"/>
  <c r="J179" i="1" a="1"/>
  <c r="J179" i="1" s="1"/>
  <c r="K179" i="1" a="1"/>
  <c r="K179" i="1" s="1"/>
  <c r="F136" i="1"/>
  <c r="J124" i="1" a="1"/>
  <c r="J124" i="1" s="1"/>
  <c r="K124" i="1" a="1"/>
  <c r="K124" i="1" s="1"/>
  <c r="F166" i="1"/>
  <c r="K154" i="1" a="1"/>
  <c r="K154" i="1" s="1"/>
  <c r="J154" i="1" a="1"/>
  <c r="J154" i="1" s="1"/>
  <c r="F180" i="1"/>
  <c r="J168" i="1" a="1"/>
  <c r="J168" i="1" s="1"/>
  <c r="K168" i="1" a="1"/>
  <c r="K168" i="1" s="1"/>
  <c r="F162" i="1"/>
  <c r="K150" i="1" a="1"/>
  <c r="K150" i="1" s="1"/>
  <c r="J150" i="1" a="1"/>
  <c r="J150" i="1" s="1"/>
  <c r="F189" i="1"/>
  <c r="K177" i="1" a="1"/>
  <c r="K177" i="1" s="1"/>
  <c r="J177" i="1" a="1"/>
  <c r="J177" i="1" s="1"/>
  <c r="F164" i="1"/>
  <c r="J152" i="1" a="1"/>
  <c r="J152" i="1" s="1"/>
  <c r="K152" i="1" a="1"/>
  <c r="K152" i="1" s="1"/>
  <c r="P303" i="1" l="1"/>
  <c r="S303" i="1" s="1"/>
  <c r="O177" i="1"/>
  <c r="M177" i="1"/>
  <c r="R177" i="1" s="1"/>
  <c r="O173" i="1"/>
  <c r="M173" i="1"/>
  <c r="R173" i="1" s="1"/>
  <c r="O168" i="1"/>
  <c r="M168" i="1"/>
  <c r="R168" i="1" s="1"/>
  <c r="O315" i="1"/>
  <c r="M315" i="1"/>
  <c r="O152" i="1"/>
  <c r="M152" i="1"/>
  <c r="R152" i="1" s="1"/>
  <c r="O133" i="1"/>
  <c r="M133" i="1"/>
  <c r="R133" i="1" s="1"/>
  <c r="O150" i="1"/>
  <c r="P150" i="1" s="1"/>
  <c r="S150" i="1" s="1"/>
  <c r="M150" i="1"/>
  <c r="R150" i="1" s="1"/>
  <c r="O154" i="1"/>
  <c r="M154" i="1"/>
  <c r="R154" i="1" s="1"/>
  <c r="O179" i="1"/>
  <c r="M179" i="1"/>
  <c r="O134" i="1"/>
  <c r="M134" i="1"/>
  <c r="R134" i="1" s="1"/>
  <c r="O187" i="1"/>
  <c r="M187" i="1"/>
  <c r="R187" i="1" s="1"/>
  <c r="O124" i="1"/>
  <c r="M124" i="1"/>
  <c r="R124" i="1" s="1"/>
  <c r="P140" i="1"/>
  <c r="S140" i="1" s="1"/>
  <c r="P167" i="1"/>
  <c r="S167" i="1" s="1"/>
  <c r="P112" i="1"/>
  <c r="S112" i="1" s="1"/>
  <c r="P161" i="1"/>
  <c r="S161" i="1" s="1"/>
  <c r="P165" i="1"/>
  <c r="S165" i="1" s="1"/>
  <c r="N154" i="1"/>
  <c r="T154" i="1" s="1"/>
  <c r="N124" i="1"/>
  <c r="T124" i="1" s="1"/>
  <c r="P175" i="1"/>
  <c r="S175" i="1" s="1"/>
  <c r="N150" i="1"/>
  <c r="T150" i="1" s="1"/>
  <c r="N168" i="1"/>
  <c r="T168" i="1" s="1"/>
  <c r="N177" i="1"/>
  <c r="T177" i="1" s="1"/>
  <c r="N187" i="1"/>
  <c r="T187" i="1" s="1"/>
  <c r="N134" i="1"/>
  <c r="N152" i="1"/>
  <c r="T152" i="1" s="1"/>
  <c r="N315" i="1"/>
  <c r="T315" i="1" s="1"/>
  <c r="R315" i="1"/>
  <c r="P138" i="1"/>
  <c r="S138" i="1" s="1"/>
  <c r="P156" i="1"/>
  <c r="S156" i="1" s="1"/>
  <c r="N133" i="1"/>
  <c r="T133" i="1" s="1"/>
  <c r="N179" i="1"/>
  <c r="T179" i="1" s="1"/>
  <c r="R179" i="1"/>
  <c r="P122" i="1"/>
  <c r="S122" i="1" s="1"/>
  <c r="N173" i="1"/>
  <c r="T173" i="1" s="1"/>
  <c r="P121" i="1"/>
  <c r="S121" i="1" s="1"/>
  <c r="J145" i="1" a="1"/>
  <c r="J145" i="1" s="1"/>
  <c r="K145" i="1" a="1"/>
  <c r="K145" i="1" s="1"/>
  <c r="F157" i="1"/>
  <c r="F176" i="1"/>
  <c r="K164" i="1" a="1"/>
  <c r="K164" i="1" s="1"/>
  <c r="J164" i="1" a="1"/>
  <c r="J164" i="1" s="1"/>
  <c r="F174" i="1"/>
  <c r="K162" i="1" a="1"/>
  <c r="K162" i="1" s="1"/>
  <c r="J162" i="1" a="1"/>
  <c r="J162" i="1" s="1"/>
  <c r="F192" i="1"/>
  <c r="K180" i="1" a="1"/>
  <c r="K180" i="1" s="1"/>
  <c r="J180" i="1" a="1"/>
  <c r="J180" i="1" s="1"/>
  <c r="F197" i="1"/>
  <c r="K185" i="1" a="1"/>
  <c r="K185" i="1" s="1"/>
  <c r="J185" i="1" a="1"/>
  <c r="J185" i="1" s="1"/>
  <c r="F211" i="1"/>
  <c r="J199" i="1" a="1"/>
  <c r="J199" i="1" s="1"/>
  <c r="K199" i="1" a="1"/>
  <c r="K199" i="1" s="1"/>
  <c r="F201" i="1"/>
  <c r="K189" i="1" a="1"/>
  <c r="K189" i="1" s="1"/>
  <c r="J189" i="1" a="1"/>
  <c r="J189" i="1" s="1"/>
  <c r="F339" i="1"/>
  <c r="K327" i="1" a="1"/>
  <c r="K327" i="1" s="1"/>
  <c r="J327" i="1" a="1"/>
  <c r="J327" i="1" s="1"/>
  <c r="F158" i="1"/>
  <c r="K146" i="1" a="1"/>
  <c r="K146" i="1" s="1"/>
  <c r="J146" i="1" a="1"/>
  <c r="J146" i="1" s="1"/>
  <c r="F203" i="1"/>
  <c r="J191" i="1" a="1"/>
  <c r="J191" i="1" s="1"/>
  <c r="K191" i="1" a="1"/>
  <c r="K191" i="1" s="1"/>
  <c r="F178" i="1"/>
  <c r="J166" i="1" a="1"/>
  <c r="J166" i="1" s="1"/>
  <c r="K166" i="1" a="1"/>
  <c r="K166" i="1" s="1"/>
  <c r="F148" i="1"/>
  <c r="K136" i="1" a="1"/>
  <c r="K136" i="1" s="1"/>
  <c r="J136" i="1" a="1"/>
  <c r="J136" i="1" s="1"/>
  <c r="O164" i="1" l="1"/>
  <c r="M164" i="1"/>
  <c r="R164" i="1" s="1"/>
  <c r="O191" i="1"/>
  <c r="M191" i="1"/>
  <c r="O180" i="1"/>
  <c r="M180" i="1"/>
  <c r="O189" i="1"/>
  <c r="M189" i="1"/>
  <c r="R189" i="1" s="1"/>
  <c r="O166" i="1"/>
  <c r="M166" i="1"/>
  <c r="R166" i="1" s="1"/>
  <c r="O145" i="1"/>
  <c r="M145" i="1"/>
  <c r="R145" i="1" s="1"/>
  <c r="P154" i="1"/>
  <c r="S154" i="1" s="1"/>
  <c r="O162" i="1"/>
  <c r="M162" i="1"/>
  <c r="R162" i="1" s="1"/>
  <c r="O199" i="1"/>
  <c r="M199" i="1"/>
  <c r="R199" i="1" s="1"/>
  <c r="O185" i="1"/>
  <c r="M185" i="1"/>
  <c r="R185" i="1" s="1"/>
  <c r="O327" i="1"/>
  <c r="M327" i="1"/>
  <c r="R327" i="1" s="1"/>
  <c r="O136" i="1"/>
  <c r="M136" i="1"/>
  <c r="R136" i="1" s="1"/>
  <c r="O146" i="1"/>
  <c r="M146" i="1"/>
  <c r="R146" i="1" s="1"/>
  <c r="P315" i="1"/>
  <c r="S315" i="1" s="1"/>
  <c r="P168" i="1"/>
  <c r="S168" i="1" s="1"/>
  <c r="P133" i="1"/>
  <c r="S133" i="1" s="1"/>
  <c r="P134" i="1"/>
  <c r="S134" i="1" s="1"/>
  <c r="T134" i="1"/>
  <c r="P124" i="1"/>
  <c r="S124" i="1" s="1"/>
  <c r="P173" i="1"/>
  <c r="S173" i="1" s="1"/>
  <c r="P177" i="1"/>
  <c r="S177" i="1" s="1"/>
  <c r="N136" i="1"/>
  <c r="T136" i="1" s="1"/>
  <c r="P152" i="1"/>
  <c r="S152" i="1" s="1"/>
  <c r="N166" i="1"/>
  <c r="T166" i="1" s="1"/>
  <c r="N180" i="1"/>
  <c r="T180" i="1" s="1"/>
  <c r="R180" i="1"/>
  <c r="N145" i="1"/>
  <c r="T145" i="1" s="1"/>
  <c r="N185" i="1"/>
  <c r="T185" i="1" s="1"/>
  <c r="N191" i="1"/>
  <c r="T191" i="1" s="1"/>
  <c r="R191" i="1"/>
  <c r="N146" i="1"/>
  <c r="N327" i="1"/>
  <c r="T327" i="1" s="1"/>
  <c r="P187" i="1"/>
  <c r="S187" i="1" s="1"/>
  <c r="N162" i="1"/>
  <c r="T162" i="1" s="1"/>
  <c r="N164" i="1"/>
  <c r="T164" i="1" s="1"/>
  <c r="P179" i="1"/>
  <c r="S179" i="1" s="1"/>
  <c r="N199" i="1"/>
  <c r="T199" i="1" s="1"/>
  <c r="N189" i="1"/>
  <c r="T189" i="1" s="1"/>
  <c r="J157" i="1" a="1"/>
  <c r="J157" i="1" s="1"/>
  <c r="F169" i="1"/>
  <c r="K157" i="1" a="1"/>
  <c r="K157" i="1" s="1"/>
  <c r="F215" i="1"/>
  <c r="J203" i="1" a="1"/>
  <c r="J203" i="1" s="1"/>
  <c r="K203" i="1" a="1"/>
  <c r="K203" i="1" s="1"/>
  <c r="F351" i="1"/>
  <c r="J339" i="1" a="1"/>
  <c r="J339" i="1" s="1"/>
  <c r="K339" i="1" a="1"/>
  <c r="K339" i="1" s="1"/>
  <c r="F186" i="1"/>
  <c r="J174" i="1" a="1"/>
  <c r="J174" i="1" s="1"/>
  <c r="K174" i="1" a="1"/>
  <c r="K174" i="1" s="1"/>
  <c r="F170" i="1"/>
  <c r="J158" i="1" a="1"/>
  <c r="J158" i="1" s="1"/>
  <c r="K158" i="1" a="1"/>
  <c r="K158" i="1" s="1"/>
  <c r="F213" i="1"/>
  <c r="K201" i="1" a="1"/>
  <c r="K201" i="1" s="1"/>
  <c r="J201" i="1" a="1"/>
  <c r="J201" i="1" s="1"/>
  <c r="F223" i="1"/>
  <c r="K211" i="1" a="1"/>
  <c r="K211" i="1" s="1"/>
  <c r="J211" i="1" a="1"/>
  <c r="J211" i="1" s="1"/>
  <c r="F190" i="1"/>
  <c r="K178" i="1" a="1"/>
  <c r="K178" i="1" s="1"/>
  <c r="J178" i="1" a="1"/>
  <c r="J178" i="1" s="1"/>
  <c r="F204" i="1"/>
  <c r="K192" i="1" a="1"/>
  <c r="K192" i="1" s="1"/>
  <c r="J192" i="1" a="1"/>
  <c r="J192" i="1" s="1"/>
  <c r="F209" i="1"/>
  <c r="K197" i="1" a="1"/>
  <c r="K197" i="1" s="1"/>
  <c r="J197" i="1" a="1"/>
  <c r="J197" i="1" s="1"/>
  <c r="F160" i="1"/>
  <c r="J148" i="1" a="1"/>
  <c r="J148" i="1" s="1"/>
  <c r="K148" i="1" a="1"/>
  <c r="K148" i="1" s="1"/>
  <c r="F188" i="1"/>
  <c r="J176" i="1" a="1"/>
  <c r="J176" i="1" s="1"/>
  <c r="K176" i="1" a="1"/>
  <c r="K176" i="1" s="1"/>
  <c r="P136" i="1" l="1"/>
  <c r="S136" i="1" s="1"/>
  <c r="O176" i="1"/>
  <c r="M176" i="1"/>
  <c r="O148" i="1"/>
  <c r="M148" i="1"/>
  <c r="R148" i="1" s="1"/>
  <c r="O157" i="1"/>
  <c r="M157" i="1"/>
  <c r="R157" i="1" s="1"/>
  <c r="O197" i="1"/>
  <c r="M197" i="1"/>
  <c r="R197" i="1" s="1"/>
  <c r="O192" i="1"/>
  <c r="M192" i="1"/>
  <c r="R192" i="1" s="1"/>
  <c r="O174" i="1"/>
  <c r="M174" i="1"/>
  <c r="R174" i="1" s="1"/>
  <c r="O158" i="1"/>
  <c r="M158" i="1"/>
  <c r="R158" i="1" s="1"/>
  <c r="O178" i="1"/>
  <c r="M178" i="1"/>
  <c r="R178" i="1" s="1"/>
  <c r="O211" i="1"/>
  <c r="M211" i="1"/>
  <c r="R211" i="1" s="1"/>
  <c r="O201" i="1"/>
  <c r="M201" i="1"/>
  <c r="R201" i="1" s="1"/>
  <c r="O339" i="1"/>
  <c r="M339" i="1"/>
  <c r="R339" i="1" s="1"/>
  <c r="O203" i="1"/>
  <c r="M203" i="1"/>
  <c r="R203" i="1" s="1"/>
  <c r="P185" i="1"/>
  <c r="S185" i="1" s="1"/>
  <c r="P146" i="1"/>
  <c r="S146" i="1" s="1"/>
  <c r="T146" i="1"/>
  <c r="P189" i="1"/>
  <c r="S189" i="1" s="1"/>
  <c r="P145" i="1"/>
  <c r="S145" i="1" s="1"/>
  <c r="P180" i="1"/>
  <c r="S180" i="1" s="1"/>
  <c r="P166" i="1"/>
  <c r="S166" i="1" s="1"/>
  <c r="N158" i="1"/>
  <c r="T158" i="1" s="1"/>
  <c r="N176" i="1"/>
  <c r="T176" i="1" s="1"/>
  <c r="R176" i="1"/>
  <c r="N178" i="1"/>
  <c r="T178" i="1" s="1"/>
  <c r="N339" i="1"/>
  <c r="T339" i="1" s="1"/>
  <c r="P191" i="1"/>
  <c r="S191" i="1" s="1"/>
  <c r="P327" i="1"/>
  <c r="S327" i="1" s="1"/>
  <c r="N211" i="1"/>
  <c r="T211" i="1" s="1"/>
  <c r="P162" i="1"/>
  <c r="S162" i="1" s="1"/>
  <c r="P164" i="1"/>
  <c r="S164" i="1" s="1"/>
  <c r="P199" i="1"/>
  <c r="S199" i="1" s="1"/>
  <c r="N192" i="1"/>
  <c r="T192" i="1" s="1"/>
  <c r="N203" i="1"/>
  <c r="T203" i="1" s="1"/>
  <c r="N157" i="1"/>
  <c r="T157" i="1" s="1"/>
  <c r="N174" i="1"/>
  <c r="T174" i="1" s="1"/>
  <c r="N148" i="1"/>
  <c r="T148" i="1" s="1"/>
  <c r="N197" i="1"/>
  <c r="T197" i="1" s="1"/>
  <c r="N201" i="1"/>
  <c r="K169" i="1" a="1"/>
  <c r="K169" i="1" s="1"/>
  <c r="F181" i="1"/>
  <c r="J169" i="1" a="1"/>
  <c r="J169" i="1" s="1"/>
  <c r="F235" i="1"/>
  <c r="K223" i="1" a="1"/>
  <c r="K223" i="1" s="1"/>
  <c r="J223" i="1" a="1"/>
  <c r="J223" i="1" s="1"/>
  <c r="F172" i="1"/>
  <c r="J160" i="1" a="1"/>
  <c r="J160" i="1" s="1"/>
  <c r="K160" i="1" a="1"/>
  <c r="K160" i="1" s="1"/>
  <c r="F202" i="1"/>
  <c r="J190" i="1" a="1"/>
  <c r="J190" i="1" s="1"/>
  <c r="K190" i="1" a="1"/>
  <c r="K190" i="1" s="1"/>
  <c r="F198" i="1"/>
  <c r="K186" i="1" a="1"/>
  <c r="K186" i="1" s="1"/>
  <c r="J186" i="1" a="1"/>
  <c r="J186" i="1" s="1"/>
  <c r="F221" i="1"/>
  <c r="K209" i="1" a="1"/>
  <c r="K209" i="1" s="1"/>
  <c r="J209" i="1" a="1"/>
  <c r="J209" i="1" s="1"/>
  <c r="F363" i="1"/>
  <c r="J351" i="1" a="1"/>
  <c r="J351" i="1" s="1"/>
  <c r="K351" i="1" a="1"/>
  <c r="K351" i="1" s="1"/>
  <c r="F182" i="1"/>
  <c r="K170" i="1" a="1"/>
  <c r="K170" i="1" s="1"/>
  <c r="J170" i="1" a="1"/>
  <c r="J170" i="1" s="1"/>
  <c r="F225" i="1"/>
  <c r="K213" i="1" a="1"/>
  <c r="K213" i="1" s="1"/>
  <c r="J213" i="1" a="1"/>
  <c r="J213" i="1" s="1"/>
  <c r="F200" i="1"/>
  <c r="J188" i="1" a="1"/>
  <c r="J188" i="1" s="1"/>
  <c r="K188" i="1" a="1"/>
  <c r="K188" i="1" s="1"/>
  <c r="F216" i="1"/>
  <c r="J204" i="1" a="1"/>
  <c r="J204" i="1" s="1"/>
  <c r="K204" i="1" a="1"/>
  <c r="K204" i="1" s="1"/>
  <c r="F227" i="1"/>
  <c r="K215" i="1" a="1"/>
  <c r="K215" i="1" s="1"/>
  <c r="J215" i="1" a="1"/>
  <c r="J215" i="1" s="1"/>
  <c r="P203" i="1" l="1"/>
  <c r="S203" i="1" s="1"/>
  <c r="O169" i="1"/>
  <c r="M169" i="1"/>
  <c r="O204" i="1"/>
  <c r="M204" i="1"/>
  <c r="R204" i="1" s="1"/>
  <c r="O209" i="1"/>
  <c r="M209" i="1"/>
  <c r="O188" i="1"/>
  <c r="M188" i="1"/>
  <c r="R188" i="1" s="1"/>
  <c r="O213" i="1"/>
  <c r="M213" i="1"/>
  <c r="R213" i="1" s="1"/>
  <c r="O190" i="1"/>
  <c r="M190" i="1"/>
  <c r="R190" i="1" s="1"/>
  <c r="O170" i="1"/>
  <c r="M170" i="1"/>
  <c r="R170" i="1" s="1"/>
  <c r="O351" i="1"/>
  <c r="M351" i="1"/>
  <c r="R351" i="1" s="1"/>
  <c r="O186" i="1"/>
  <c r="M186" i="1"/>
  <c r="O160" i="1"/>
  <c r="M160" i="1"/>
  <c r="R160" i="1" s="1"/>
  <c r="P211" i="1"/>
  <c r="S211" i="1" s="1"/>
  <c r="O215" i="1"/>
  <c r="M215" i="1"/>
  <c r="O223" i="1"/>
  <c r="M223" i="1"/>
  <c r="R223" i="1" s="1"/>
  <c r="P178" i="1"/>
  <c r="S178" i="1" s="1"/>
  <c r="P201" i="1"/>
  <c r="S201" i="1" s="1"/>
  <c r="T201" i="1"/>
  <c r="P339" i="1"/>
  <c r="S339" i="1" s="1"/>
  <c r="P174" i="1"/>
  <c r="S174" i="1" s="1"/>
  <c r="P197" i="1"/>
  <c r="S197" i="1" s="1"/>
  <c r="P158" i="1"/>
  <c r="S158" i="1" s="1"/>
  <c r="P176" i="1"/>
  <c r="S176" i="1" s="1"/>
  <c r="P157" i="1"/>
  <c r="S157" i="1" s="1"/>
  <c r="N190" i="1"/>
  <c r="T190" i="1" s="1"/>
  <c r="N204" i="1"/>
  <c r="T204" i="1" s="1"/>
  <c r="N351" i="1"/>
  <c r="T351" i="1" s="1"/>
  <c r="N169" i="1"/>
  <c r="T169" i="1" s="1"/>
  <c r="R169" i="1"/>
  <c r="N209" i="1"/>
  <c r="T209" i="1" s="1"/>
  <c r="R209" i="1"/>
  <c r="P192" i="1"/>
  <c r="S192" i="1" s="1"/>
  <c r="P148" i="1"/>
  <c r="S148" i="1" s="1"/>
  <c r="N215" i="1"/>
  <c r="T215" i="1" s="1"/>
  <c r="R215" i="1"/>
  <c r="N160" i="1"/>
  <c r="T160" i="1" s="1"/>
  <c r="N213" i="1"/>
  <c r="T213" i="1" s="1"/>
  <c r="N223" i="1"/>
  <c r="T223" i="1" s="1"/>
  <c r="N170" i="1"/>
  <c r="T170" i="1" s="1"/>
  <c r="N188" i="1"/>
  <c r="T188" i="1" s="1"/>
  <c r="N186" i="1"/>
  <c r="T186" i="1" s="1"/>
  <c r="R186" i="1"/>
  <c r="F193" i="1"/>
  <c r="J181" i="1" a="1"/>
  <c r="J181" i="1" s="1"/>
  <c r="K181" i="1" a="1"/>
  <c r="K181" i="1" s="1"/>
  <c r="F233" i="1"/>
  <c r="K221" i="1" a="1"/>
  <c r="K221" i="1" s="1"/>
  <c r="J221" i="1" a="1"/>
  <c r="J221" i="1" s="1"/>
  <c r="F184" i="1"/>
  <c r="J172" i="1" a="1"/>
  <c r="J172" i="1" s="1"/>
  <c r="K172" i="1" a="1"/>
  <c r="K172" i="1" s="1"/>
  <c r="F210" i="1"/>
  <c r="J198" i="1" a="1"/>
  <c r="J198" i="1" s="1"/>
  <c r="K198" i="1" a="1"/>
  <c r="K198" i="1" s="1"/>
  <c r="F214" i="1"/>
  <c r="J202" i="1" a="1"/>
  <c r="J202" i="1" s="1"/>
  <c r="K202" i="1" a="1"/>
  <c r="K202" i="1" s="1"/>
  <c r="F237" i="1"/>
  <c r="K225" i="1" a="1"/>
  <c r="K225" i="1" s="1"/>
  <c r="J225" i="1" a="1"/>
  <c r="J225" i="1" s="1"/>
  <c r="F247" i="1"/>
  <c r="K235" i="1" a="1"/>
  <c r="K235" i="1" s="1"/>
  <c r="J235" i="1" a="1"/>
  <c r="J235" i="1" s="1"/>
  <c r="F228" i="1"/>
  <c r="K216" i="1" a="1"/>
  <c r="K216" i="1" s="1"/>
  <c r="J216" i="1" a="1"/>
  <c r="J216" i="1" s="1"/>
  <c r="F239" i="1"/>
  <c r="K227" i="1" a="1"/>
  <c r="K227" i="1" s="1"/>
  <c r="J227" i="1" a="1"/>
  <c r="J227" i="1" s="1"/>
  <c r="F194" i="1"/>
  <c r="J182" i="1" a="1"/>
  <c r="J182" i="1" s="1"/>
  <c r="K182" i="1" a="1"/>
  <c r="K182" i="1" s="1"/>
  <c r="F212" i="1"/>
  <c r="J200" i="1" a="1"/>
  <c r="J200" i="1" s="1"/>
  <c r="K200" i="1" a="1"/>
  <c r="K200" i="1" s="1"/>
  <c r="F375" i="1"/>
  <c r="J363" i="1" a="1"/>
  <c r="J363" i="1" s="1"/>
  <c r="K363" i="1" a="1"/>
  <c r="K363" i="1" s="1"/>
  <c r="O200" i="1" l="1"/>
  <c r="M200" i="1"/>
  <c r="R200" i="1" s="1"/>
  <c r="O181" i="1"/>
  <c r="M181" i="1"/>
  <c r="R181" i="1" s="1"/>
  <c r="O182" i="1"/>
  <c r="M182" i="1"/>
  <c r="R182" i="1" s="1"/>
  <c r="O202" i="1"/>
  <c r="M202" i="1"/>
  <c r="O227" i="1"/>
  <c r="M227" i="1"/>
  <c r="R227" i="1" s="1"/>
  <c r="P215" i="1"/>
  <c r="S215" i="1" s="1"/>
  <c r="O198" i="1"/>
  <c r="M198" i="1"/>
  <c r="R198" i="1" s="1"/>
  <c r="P223" i="1"/>
  <c r="S223" i="1" s="1"/>
  <c r="O216" i="1"/>
  <c r="M216" i="1"/>
  <c r="R216" i="1" s="1"/>
  <c r="O172" i="1"/>
  <c r="M172" i="1"/>
  <c r="R172" i="1" s="1"/>
  <c r="O235" i="1"/>
  <c r="M235" i="1"/>
  <c r="R235" i="1" s="1"/>
  <c r="O221" i="1"/>
  <c r="M221" i="1"/>
  <c r="R221" i="1" s="1"/>
  <c r="O225" i="1"/>
  <c r="M225" i="1"/>
  <c r="R225" i="1" s="1"/>
  <c r="O363" i="1"/>
  <c r="M363" i="1"/>
  <c r="R363" i="1" s="1"/>
  <c r="P213" i="1"/>
  <c r="S213" i="1" s="1"/>
  <c r="P169" i="1"/>
  <c r="S169" i="1" s="1"/>
  <c r="P170" i="1"/>
  <c r="S170" i="1" s="1"/>
  <c r="P190" i="1"/>
  <c r="S190" i="1" s="1"/>
  <c r="P351" i="1"/>
  <c r="S351" i="1" s="1"/>
  <c r="P209" i="1"/>
  <c r="S209" i="1" s="1"/>
  <c r="P186" i="1"/>
  <c r="S186" i="1" s="1"/>
  <c r="N221" i="1"/>
  <c r="N172" i="1"/>
  <c r="T172" i="1" s="1"/>
  <c r="N181" i="1"/>
  <c r="T181" i="1" s="1"/>
  <c r="N227" i="1"/>
  <c r="T227" i="1" s="1"/>
  <c r="N200" i="1"/>
  <c r="T200" i="1" s="1"/>
  <c r="N235" i="1"/>
  <c r="T235" i="1" s="1"/>
  <c r="P160" i="1"/>
  <c r="S160" i="1" s="1"/>
  <c r="N202" i="1"/>
  <c r="T202" i="1" s="1"/>
  <c r="R202" i="1"/>
  <c r="N363" i="1"/>
  <c r="T363" i="1" s="1"/>
  <c r="N216" i="1"/>
  <c r="T216" i="1" s="1"/>
  <c r="P188" i="1"/>
  <c r="S188" i="1" s="1"/>
  <c r="N225" i="1"/>
  <c r="T225" i="1" s="1"/>
  <c r="P204" i="1"/>
  <c r="S204" i="1" s="1"/>
  <c r="N198" i="1"/>
  <c r="T198" i="1" s="1"/>
  <c r="N182" i="1"/>
  <c r="T182" i="1" s="1"/>
  <c r="J193" i="1" a="1"/>
  <c r="J193" i="1" s="1"/>
  <c r="K193" i="1" a="1"/>
  <c r="K193" i="1" s="1"/>
  <c r="F205" i="1"/>
  <c r="F251" i="1"/>
  <c r="J239" i="1" a="1"/>
  <c r="J239" i="1" s="1"/>
  <c r="K239" i="1" a="1"/>
  <c r="K239" i="1" s="1"/>
  <c r="F249" i="1"/>
  <c r="J237" i="1" a="1"/>
  <c r="J237" i="1" s="1"/>
  <c r="K237" i="1" a="1"/>
  <c r="K237" i="1" s="1"/>
  <c r="F222" i="1"/>
  <c r="J210" i="1" a="1"/>
  <c r="J210" i="1" s="1"/>
  <c r="K210" i="1" a="1"/>
  <c r="K210" i="1" s="1"/>
  <c r="F224" i="1"/>
  <c r="J212" i="1" a="1"/>
  <c r="J212" i="1" s="1"/>
  <c r="K212" i="1" a="1"/>
  <c r="K212" i="1" s="1"/>
  <c r="F240" i="1"/>
  <c r="K228" i="1" a="1"/>
  <c r="K228" i="1" s="1"/>
  <c r="J228" i="1" a="1"/>
  <c r="J228" i="1" s="1"/>
  <c r="F259" i="1"/>
  <c r="J247" i="1" a="1"/>
  <c r="J247" i="1" s="1"/>
  <c r="K247" i="1" a="1"/>
  <c r="K247" i="1" s="1"/>
  <c r="F226" i="1"/>
  <c r="J214" i="1" a="1"/>
  <c r="J214" i="1" s="1"/>
  <c r="K214" i="1" a="1"/>
  <c r="K214" i="1" s="1"/>
  <c r="F387" i="1"/>
  <c r="J375" i="1" a="1"/>
  <c r="J375" i="1" s="1"/>
  <c r="K375" i="1" a="1"/>
  <c r="K375" i="1" s="1"/>
  <c r="F196" i="1"/>
  <c r="K184" i="1" a="1"/>
  <c r="K184" i="1" s="1"/>
  <c r="J184" i="1" a="1"/>
  <c r="J184" i="1" s="1"/>
  <c r="F206" i="1"/>
  <c r="K194" i="1" a="1"/>
  <c r="K194" i="1" s="1"/>
  <c r="J194" i="1" a="1"/>
  <c r="J194" i="1" s="1"/>
  <c r="F245" i="1"/>
  <c r="J233" i="1" a="1"/>
  <c r="J233" i="1" s="1"/>
  <c r="K233" i="1" a="1"/>
  <c r="K233" i="1" s="1"/>
  <c r="O233" i="1" l="1"/>
  <c r="M233" i="1"/>
  <c r="O194" i="1"/>
  <c r="M194" i="1"/>
  <c r="R194" i="1" s="1"/>
  <c r="O193" i="1"/>
  <c r="M193" i="1"/>
  <c r="O212" i="1"/>
  <c r="M212" i="1"/>
  <c r="R212" i="1" s="1"/>
  <c r="O210" i="1"/>
  <c r="M210" i="1"/>
  <c r="R210" i="1" s="1"/>
  <c r="O375" i="1"/>
  <c r="M375" i="1"/>
  <c r="R375" i="1" s="1"/>
  <c r="P216" i="1"/>
  <c r="S216" i="1" s="1"/>
  <c r="O228" i="1"/>
  <c r="M228" i="1"/>
  <c r="R228" i="1" s="1"/>
  <c r="O184" i="1"/>
  <c r="M184" i="1"/>
  <c r="O214" i="1"/>
  <c r="M214" i="1"/>
  <c r="R214" i="1" s="1"/>
  <c r="O237" i="1"/>
  <c r="M237" i="1"/>
  <c r="R237" i="1" s="1"/>
  <c r="O247" i="1"/>
  <c r="M247" i="1"/>
  <c r="O239" i="1"/>
  <c r="M239" i="1"/>
  <c r="R239" i="1" s="1"/>
  <c r="P198" i="1"/>
  <c r="S198" i="1" s="1"/>
  <c r="P221" i="1"/>
  <c r="S221" i="1" s="1"/>
  <c r="T221" i="1"/>
  <c r="P225" i="1"/>
  <c r="S225" i="1" s="1"/>
  <c r="P202" i="1"/>
  <c r="S202" i="1" s="1"/>
  <c r="P182" i="1"/>
  <c r="S182" i="1" s="1"/>
  <c r="P227" i="1"/>
  <c r="S227" i="1" s="1"/>
  <c r="P172" i="1"/>
  <c r="S172" i="1" s="1"/>
  <c r="P200" i="1"/>
  <c r="S200" i="1" s="1"/>
  <c r="P181" i="1"/>
  <c r="S181" i="1" s="1"/>
  <c r="N210" i="1"/>
  <c r="T210" i="1" s="1"/>
  <c r="N194" i="1"/>
  <c r="T194" i="1" s="1"/>
  <c r="N247" i="1"/>
  <c r="T247" i="1" s="1"/>
  <c r="R247" i="1"/>
  <c r="N237" i="1"/>
  <c r="T237" i="1" s="1"/>
  <c r="N184" i="1"/>
  <c r="R184" i="1"/>
  <c r="N228" i="1"/>
  <c r="T228" i="1" s="1"/>
  <c r="N239" i="1"/>
  <c r="T239" i="1" s="1"/>
  <c r="N233" i="1"/>
  <c r="T233" i="1" s="1"/>
  <c r="R233" i="1"/>
  <c r="P363" i="1"/>
  <c r="S363" i="1" s="1"/>
  <c r="N214" i="1"/>
  <c r="T214" i="1" s="1"/>
  <c r="N375" i="1"/>
  <c r="T375" i="1" s="1"/>
  <c r="N212" i="1"/>
  <c r="T212" i="1" s="1"/>
  <c r="N193" i="1"/>
  <c r="T193" i="1" s="1"/>
  <c r="R193" i="1"/>
  <c r="P235" i="1"/>
  <c r="S235" i="1" s="1"/>
  <c r="F217" i="1"/>
  <c r="K205" i="1" a="1"/>
  <c r="K205" i="1" s="1"/>
  <c r="J205" i="1" a="1"/>
  <c r="J205" i="1" s="1"/>
  <c r="F218" i="1"/>
  <c r="K206" i="1" a="1"/>
  <c r="K206" i="1" s="1"/>
  <c r="J206" i="1" a="1"/>
  <c r="J206" i="1" s="1"/>
  <c r="F238" i="1"/>
  <c r="K226" i="1" a="1"/>
  <c r="K226" i="1" s="1"/>
  <c r="J226" i="1" a="1"/>
  <c r="J226" i="1" s="1"/>
  <c r="F208" i="1"/>
  <c r="K196" i="1" a="1"/>
  <c r="K196" i="1" s="1"/>
  <c r="J196" i="1" a="1"/>
  <c r="J196" i="1" s="1"/>
  <c r="F271" i="1"/>
  <c r="K259" i="1" a="1"/>
  <c r="K259" i="1" s="1"/>
  <c r="J259" i="1" a="1"/>
  <c r="J259" i="1" s="1"/>
  <c r="F261" i="1"/>
  <c r="K249" i="1" a="1"/>
  <c r="K249" i="1" s="1"/>
  <c r="J249" i="1" a="1"/>
  <c r="J249" i="1" s="1"/>
  <c r="F399" i="1"/>
  <c r="K387" i="1" a="1"/>
  <c r="K387" i="1" s="1"/>
  <c r="J387" i="1" a="1"/>
  <c r="J387" i="1" s="1"/>
  <c r="F236" i="1"/>
  <c r="K224" i="1" a="1"/>
  <c r="K224" i="1" s="1"/>
  <c r="J224" i="1" a="1"/>
  <c r="J224" i="1" s="1"/>
  <c r="F252" i="1"/>
  <c r="J240" i="1" a="1"/>
  <c r="J240" i="1" s="1"/>
  <c r="K240" i="1" a="1"/>
  <c r="K240" i="1" s="1"/>
  <c r="F234" i="1"/>
  <c r="J222" i="1" a="1"/>
  <c r="J222" i="1" s="1"/>
  <c r="K222" i="1" a="1"/>
  <c r="K222" i="1" s="1"/>
  <c r="F257" i="1"/>
  <c r="K245" i="1" a="1"/>
  <c r="K245" i="1" s="1"/>
  <c r="J245" i="1" a="1"/>
  <c r="J245" i="1" s="1"/>
  <c r="F263" i="1"/>
  <c r="K251" i="1" a="1"/>
  <c r="K251" i="1" s="1"/>
  <c r="J251" i="1" a="1"/>
  <c r="J251" i="1" s="1"/>
  <c r="O205" i="1" l="1"/>
  <c r="M205" i="1"/>
  <c r="O249" i="1"/>
  <c r="M249" i="1"/>
  <c r="R249" i="1" s="1"/>
  <c r="O245" i="1"/>
  <c r="M245" i="1"/>
  <c r="O259" i="1"/>
  <c r="M259" i="1"/>
  <c r="O222" i="1"/>
  <c r="M222" i="1"/>
  <c r="R222" i="1" s="1"/>
  <c r="O196" i="1"/>
  <c r="P196" i="1" s="1"/>
  <c r="S196" i="1" s="1"/>
  <c r="M196" i="1"/>
  <c r="R196" i="1" s="1"/>
  <c r="O240" i="1"/>
  <c r="M240" i="1"/>
  <c r="R240" i="1" s="1"/>
  <c r="O226" i="1"/>
  <c r="M226" i="1"/>
  <c r="R226" i="1" s="1"/>
  <c r="O224" i="1"/>
  <c r="M224" i="1"/>
  <c r="R224" i="1" s="1"/>
  <c r="O206" i="1"/>
  <c r="M206" i="1"/>
  <c r="R206" i="1" s="1"/>
  <c r="O387" i="1"/>
  <c r="M387" i="1"/>
  <c r="O251" i="1"/>
  <c r="M251" i="1"/>
  <c r="R251" i="1" s="1"/>
  <c r="P214" i="1"/>
  <c r="S214" i="1" s="1"/>
  <c r="P184" i="1"/>
  <c r="S184" i="1" s="1"/>
  <c r="T184" i="1"/>
  <c r="P210" i="1"/>
  <c r="S210" i="1" s="1"/>
  <c r="P237" i="1"/>
  <c r="S237" i="1" s="1"/>
  <c r="P247" i="1"/>
  <c r="S247" i="1" s="1"/>
  <c r="P194" i="1"/>
  <c r="S194" i="1" s="1"/>
  <c r="P193" i="1"/>
  <c r="S193" i="1" s="1"/>
  <c r="N205" i="1"/>
  <c r="T205" i="1" s="1"/>
  <c r="R205" i="1"/>
  <c r="N196" i="1"/>
  <c r="T196" i="1" s="1"/>
  <c r="N251" i="1"/>
  <c r="T251" i="1" s="1"/>
  <c r="N224" i="1"/>
  <c r="T224" i="1" s="1"/>
  <c r="N245" i="1"/>
  <c r="T245" i="1" s="1"/>
  <c r="R245" i="1"/>
  <c r="N206" i="1"/>
  <c r="T206" i="1" s="1"/>
  <c r="N259" i="1"/>
  <c r="T259" i="1" s="1"/>
  <c r="R259" i="1"/>
  <c r="N387" i="1"/>
  <c r="T387" i="1" s="1"/>
  <c r="R387" i="1"/>
  <c r="N249" i="1"/>
  <c r="T249" i="1" s="1"/>
  <c r="P228" i="1"/>
  <c r="S228" i="1" s="1"/>
  <c r="N240" i="1"/>
  <c r="T240" i="1" s="1"/>
  <c r="P233" i="1"/>
  <c r="S233" i="1" s="1"/>
  <c r="N226" i="1"/>
  <c r="T226" i="1" s="1"/>
  <c r="P239" i="1"/>
  <c r="S239" i="1" s="1"/>
  <c r="N222" i="1"/>
  <c r="T222" i="1" s="1"/>
  <c r="P212" i="1"/>
  <c r="S212" i="1" s="1"/>
  <c r="P375" i="1"/>
  <c r="S375" i="1" s="1"/>
  <c r="K217" i="1" a="1"/>
  <c r="K217" i="1" s="1"/>
  <c r="F229" i="1"/>
  <c r="J217" i="1" a="1"/>
  <c r="J217" i="1" s="1"/>
  <c r="F264" i="1"/>
  <c r="K252" i="1" a="1"/>
  <c r="K252" i="1" s="1"/>
  <c r="J252" i="1" a="1"/>
  <c r="J252" i="1" s="1"/>
  <c r="F275" i="1"/>
  <c r="K263" i="1" a="1"/>
  <c r="K263" i="1" s="1"/>
  <c r="J263" i="1" a="1"/>
  <c r="J263" i="1" s="1"/>
  <c r="F246" i="1"/>
  <c r="K234" i="1" a="1"/>
  <c r="K234" i="1" s="1"/>
  <c r="J234" i="1" a="1"/>
  <c r="J234" i="1" s="1"/>
  <c r="F273" i="1"/>
  <c r="K261" i="1" a="1"/>
  <c r="K261" i="1" s="1"/>
  <c r="J261" i="1" a="1"/>
  <c r="J261" i="1" s="1"/>
  <c r="F250" i="1"/>
  <c r="K238" i="1" a="1"/>
  <c r="K238" i="1" s="1"/>
  <c r="J238" i="1" a="1"/>
  <c r="J238" i="1" s="1"/>
  <c r="F248" i="1"/>
  <c r="K236" i="1" a="1"/>
  <c r="K236" i="1" s="1"/>
  <c r="J236" i="1" a="1"/>
  <c r="J236" i="1" s="1"/>
  <c r="F411" i="1"/>
  <c r="J399" i="1" a="1"/>
  <c r="J399" i="1" s="1"/>
  <c r="K399" i="1" a="1"/>
  <c r="K399" i="1" s="1"/>
  <c r="F220" i="1"/>
  <c r="J208" i="1" a="1"/>
  <c r="J208" i="1" s="1"/>
  <c r="K208" i="1" a="1"/>
  <c r="K208" i="1" s="1"/>
  <c r="F283" i="1"/>
  <c r="J271" i="1" a="1"/>
  <c r="J271" i="1" s="1"/>
  <c r="K271" i="1" a="1"/>
  <c r="K271" i="1" s="1"/>
  <c r="F269" i="1"/>
  <c r="K257" i="1" a="1"/>
  <c r="K257" i="1" s="1"/>
  <c r="J257" i="1" a="1"/>
  <c r="J257" i="1" s="1"/>
  <c r="F230" i="1"/>
  <c r="J218" i="1" a="1"/>
  <c r="J218" i="1" s="1"/>
  <c r="K218" i="1" a="1"/>
  <c r="K218" i="1" s="1"/>
  <c r="O217" i="1" l="1"/>
  <c r="M217" i="1"/>
  <c r="R217" i="1" s="1"/>
  <c r="O257" i="1"/>
  <c r="M257" i="1"/>
  <c r="R257" i="1" s="1"/>
  <c r="O238" i="1"/>
  <c r="M238" i="1"/>
  <c r="O261" i="1"/>
  <c r="M261" i="1"/>
  <c r="O271" i="1"/>
  <c r="M271" i="1"/>
  <c r="R271" i="1" s="1"/>
  <c r="O234" i="1"/>
  <c r="M234" i="1"/>
  <c r="R234" i="1" s="1"/>
  <c r="O208" i="1"/>
  <c r="M208" i="1"/>
  <c r="R208" i="1" s="1"/>
  <c r="O263" i="1"/>
  <c r="M263" i="1"/>
  <c r="R263" i="1" s="1"/>
  <c r="O399" i="1"/>
  <c r="M399" i="1"/>
  <c r="R399" i="1" s="1"/>
  <c r="O252" i="1"/>
  <c r="M252" i="1"/>
  <c r="R252" i="1" s="1"/>
  <c r="O236" i="1"/>
  <c r="M236" i="1"/>
  <c r="R236" i="1" s="1"/>
  <c r="O218" i="1"/>
  <c r="M218" i="1"/>
  <c r="P240" i="1"/>
  <c r="S240" i="1" s="1"/>
  <c r="P249" i="1"/>
  <c r="S249" i="1" s="1"/>
  <c r="P259" i="1"/>
  <c r="S259" i="1" s="1"/>
  <c r="P222" i="1"/>
  <c r="S222" i="1" s="1"/>
  <c r="P251" i="1"/>
  <c r="S251" i="1" s="1"/>
  <c r="P205" i="1"/>
  <c r="S205" i="1" s="1"/>
  <c r="N218" i="1"/>
  <c r="T218" i="1" s="1"/>
  <c r="R218" i="1"/>
  <c r="N236" i="1"/>
  <c r="T236" i="1" s="1"/>
  <c r="N263" i="1"/>
  <c r="T263" i="1" s="1"/>
  <c r="N399" i="1"/>
  <c r="T399" i="1" s="1"/>
  <c r="N257" i="1"/>
  <c r="T257" i="1" s="1"/>
  <c r="N238" i="1"/>
  <c r="T238" i="1" s="1"/>
  <c r="R238" i="1"/>
  <c r="N252" i="1"/>
  <c r="T252" i="1" s="1"/>
  <c r="P226" i="1"/>
  <c r="S226" i="1" s="1"/>
  <c r="P387" i="1"/>
  <c r="S387" i="1" s="1"/>
  <c r="N261" i="1"/>
  <c r="T261" i="1" s="1"/>
  <c r="R261" i="1"/>
  <c r="P224" i="1"/>
  <c r="S224" i="1" s="1"/>
  <c r="P245" i="1"/>
  <c r="S245" i="1" s="1"/>
  <c r="P206" i="1"/>
  <c r="S206" i="1" s="1"/>
  <c r="N208" i="1"/>
  <c r="T208" i="1" s="1"/>
  <c r="N217" i="1"/>
  <c r="T217" i="1" s="1"/>
  <c r="N234" i="1"/>
  <c r="T234" i="1" s="1"/>
  <c r="N271" i="1"/>
  <c r="T271" i="1" s="1"/>
  <c r="K229" i="1" a="1"/>
  <c r="K229" i="1" s="1"/>
  <c r="J229" i="1" a="1"/>
  <c r="J229" i="1" s="1"/>
  <c r="F241" i="1"/>
  <c r="F287" i="1"/>
  <c r="K275" i="1" a="1"/>
  <c r="K275" i="1" s="1"/>
  <c r="J275" i="1" a="1"/>
  <c r="J275" i="1" s="1"/>
  <c r="F285" i="1"/>
  <c r="J273" i="1" a="1"/>
  <c r="J273" i="1" s="1"/>
  <c r="K273" i="1" a="1"/>
  <c r="K273" i="1" s="1"/>
  <c r="F281" i="1"/>
  <c r="K269" i="1" a="1"/>
  <c r="K269" i="1" s="1"/>
  <c r="J269" i="1" a="1"/>
  <c r="J269" i="1" s="1"/>
  <c r="F423" i="1"/>
  <c r="J411" i="1" a="1"/>
  <c r="J411" i="1" s="1"/>
  <c r="K411" i="1" a="1"/>
  <c r="K411" i="1" s="1"/>
  <c r="F258" i="1"/>
  <c r="K246" i="1" a="1"/>
  <c r="K246" i="1" s="1"/>
  <c r="J246" i="1" a="1"/>
  <c r="J246" i="1" s="1"/>
  <c r="F232" i="1"/>
  <c r="K220" i="1" a="1"/>
  <c r="K220" i="1" s="1"/>
  <c r="J220" i="1" a="1"/>
  <c r="J220" i="1" s="1"/>
  <c r="F276" i="1"/>
  <c r="K264" i="1" a="1"/>
  <c r="K264" i="1" s="1"/>
  <c r="J264" i="1" a="1"/>
  <c r="J264" i="1" s="1"/>
  <c r="F295" i="1"/>
  <c r="K283" i="1" a="1"/>
  <c r="K283" i="1" s="1"/>
  <c r="J283" i="1" a="1"/>
  <c r="J283" i="1" s="1"/>
  <c r="F260" i="1"/>
  <c r="K248" i="1" a="1"/>
  <c r="K248" i="1" s="1"/>
  <c r="J248" i="1" a="1"/>
  <c r="J248" i="1" s="1"/>
  <c r="F242" i="1"/>
  <c r="K230" i="1" a="1"/>
  <c r="K230" i="1" s="1"/>
  <c r="J230" i="1" a="1"/>
  <c r="J230" i="1" s="1"/>
  <c r="F262" i="1"/>
  <c r="K250" i="1" a="1"/>
  <c r="K250" i="1" s="1"/>
  <c r="J250" i="1" a="1"/>
  <c r="J250" i="1" s="1"/>
  <c r="P252" i="1"/>
  <c r="S252" i="1" s="1"/>
  <c r="O220" i="1" l="1"/>
  <c r="M220" i="1"/>
  <c r="R220" i="1" s="1"/>
  <c r="O229" i="1"/>
  <c r="M229" i="1"/>
  <c r="R229" i="1" s="1"/>
  <c r="O230" i="1"/>
  <c r="M230" i="1"/>
  <c r="O250" i="1"/>
  <c r="M250" i="1"/>
  <c r="R250" i="1" s="1"/>
  <c r="O248" i="1"/>
  <c r="M248" i="1"/>
  <c r="R248" i="1" s="1"/>
  <c r="O269" i="1"/>
  <c r="M269" i="1"/>
  <c r="R269" i="1" s="1"/>
  <c r="O283" i="1"/>
  <c r="M283" i="1"/>
  <c r="R283" i="1" s="1"/>
  <c r="O246" i="1"/>
  <c r="M246" i="1"/>
  <c r="R246" i="1" s="1"/>
  <c r="O411" i="1"/>
  <c r="M411" i="1"/>
  <c r="R411" i="1" s="1"/>
  <c r="O264" i="1"/>
  <c r="M264" i="1"/>
  <c r="R264" i="1" s="1"/>
  <c r="O273" i="1"/>
  <c r="M273" i="1"/>
  <c r="R273" i="1" s="1"/>
  <c r="P261" i="1"/>
  <c r="S261" i="1" s="1"/>
  <c r="O275" i="1"/>
  <c r="M275" i="1"/>
  <c r="R275" i="1" s="1"/>
  <c r="P263" i="1"/>
  <c r="S263" i="1" s="1"/>
  <c r="P218" i="1"/>
  <c r="S218" i="1" s="1"/>
  <c r="P236" i="1"/>
  <c r="S236" i="1" s="1"/>
  <c r="P234" i="1"/>
  <c r="S234" i="1" s="1"/>
  <c r="P257" i="1"/>
  <c r="S257" i="1" s="1"/>
  <c r="P399" i="1"/>
  <c r="S399" i="1" s="1"/>
  <c r="P208" i="1"/>
  <c r="S208" i="1" s="1"/>
  <c r="P271" i="1"/>
  <c r="S271" i="1" s="1"/>
  <c r="P217" i="1"/>
  <c r="S217" i="1" s="1"/>
  <c r="N250" i="1"/>
  <c r="T250" i="1" s="1"/>
  <c r="N273" i="1"/>
  <c r="T273" i="1" s="1"/>
  <c r="N229" i="1"/>
  <c r="T229" i="1" s="1"/>
  <c r="N269" i="1"/>
  <c r="T269" i="1" s="1"/>
  <c r="N220" i="1"/>
  <c r="T220" i="1" s="1"/>
  <c r="N230" i="1"/>
  <c r="T230" i="1" s="1"/>
  <c r="R230" i="1"/>
  <c r="P238" i="1"/>
  <c r="S238" i="1" s="1"/>
  <c r="N275" i="1"/>
  <c r="T275" i="1" s="1"/>
  <c r="N264" i="1"/>
  <c r="T264" i="1" s="1"/>
  <c r="N248" i="1"/>
  <c r="T248" i="1" s="1"/>
  <c r="N246" i="1"/>
  <c r="T246" i="1" s="1"/>
  <c r="N283" i="1"/>
  <c r="T283" i="1" s="1"/>
  <c r="N411" i="1"/>
  <c r="T411" i="1" s="1"/>
  <c r="K241" i="1" a="1"/>
  <c r="K241" i="1" s="1"/>
  <c r="F253" i="1"/>
  <c r="J241" i="1" a="1"/>
  <c r="J241" i="1" s="1"/>
  <c r="F244" i="1"/>
  <c r="K232" i="1" a="1"/>
  <c r="K232" i="1" s="1"/>
  <c r="J232" i="1" a="1"/>
  <c r="J232" i="1" s="1"/>
  <c r="F288" i="1"/>
  <c r="J276" i="1" a="1"/>
  <c r="J276" i="1" s="1"/>
  <c r="K276" i="1" a="1"/>
  <c r="K276" i="1" s="1"/>
  <c r="F435" i="1"/>
  <c r="J423" i="1" a="1"/>
  <c r="J423" i="1" s="1"/>
  <c r="K423" i="1" a="1"/>
  <c r="K423" i="1" s="1"/>
  <c r="F272" i="1"/>
  <c r="J260" i="1" a="1"/>
  <c r="J260" i="1" s="1"/>
  <c r="K260" i="1" a="1"/>
  <c r="K260" i="1" s="1"/>
  <c r="F299" i="1"/>
  <c r="K287" i="1" a="1"/>
  <c r="K287" i="1" s="1"/>
  <c r="J287" i="1" a="1"/>
  <c r="J287" i="1" s="1"/>
  <c r="F274" i="1"/>
  <c r="J262" i="1" a="1"/>
  <c r="J262" i="1" s="1"/>
  <c r="K262" i="1" a="1"/>
  <c r="K262" i="1" s="1"/>
  <c r="F307" i="1"/>
  <c r="J295" i="1" a="1"/>
  <c r="J295" i="1" s="1"/>
  <c r="K295" i="1" a="1"/>
  <c r="K295" i="1" s="1"/>
  <c r="F254" i="1"/>
  <c r="J242" i="1" a="1"/>
  <c r="J242" i="1" s="1"/>
  <c r="K242" i="1" a="1"/>
  <c r="K242" i="1" s="1"/>
  <c r="F270" i="1"/>
  <c r="K258" i="1" a="1"/>
  <c r="K258" i="1" s="1"/>
  <c r="J258" i="1" a="1"/>
  <c r="J258" i="1" s="1"/>
  <c r="F297" i="1"/>
  <c r="J285" i="1" a="1"/>
  <c r="J285" i="1" s="1"/>
  <c r="K285" i="1" a="1"/>
  <c r="K285" i="1" s="1"/>
  <c r="F293" i="1"/>
  <c r="K281" i="1" a="1"/>
  <c r="K281" i="1" s="1"/>
  <c r="J281" i="1" a="1"/>
  <c r="J281" i="1" s="1"/>
  <c r="P248" i="1" l="1"/>
  <c r="S248" i="1" s="1"/>
  <c r="O423" i="1"/>
  <c r="M423" i="1"/>
  <c r="R423" i="1" s="1"/>
  <c r="O242" i="1"/>
  <c r="M242" i="1"/>
  <c r="R242" i="1" s="1"/>
  <c r="O262" i="1"/>
  <c r="M262" i="1"/>
  <c r="R262" i="1" s="1"/>
  <c r="O287" i="1"/>
  <c r="M287" i="1"/>
  <c r="O285" i="1"/>
  <c r="M285" i="1"/>
  <c r="R285" i="1" s="1"/>
  <c r="O260" i="1"/>
  <c r="M260" i="1"/>
  <c r="R260" i="1" s="1"/>
  <c r="O295" i="1"/>
  <c r="M295" i="1"/>
  <c r="R295" i="1" s="1"/>
  <c r="O258" i="1"/>
  <c r="M258" i="1"/>
  <c r="R258" i="1" s="1"/>
  <c r="O276" i="1"/>
  <c r="M276" i="1"/>
  <c r="R276" i="1" s="1"/>
  <c r="O281" i="1"/>
  <c r="M281" i="1"/>
  <c r="R281" i="1" s="1"/>
  <c r="O241" i="1"/>
  <c r="M241" i="1"/>
  <c r="R241" i="1" s="1"/>
  <c r="O232" i="1"/>
  <c r="M232" i="1"/>
  <c r="R232" i="1" s="1"/>
  <c r="P250" i="1"/>
  <c r="S250" i="1" s="1"/>
  <c r="P246" i="1"/>
  <c r="S246" i="1" s="1"/>
  <c r="P230" i="1"/>
  <c r="S230" i="1" s="1"/>
  <c r="P229" i="1"/>
  <c r="S229" i="1" s="1"/>
  <c r="P264" i="1"/>
  <c r="S264" i="1" s="1"/>
  <c r="P411" i="1"/>
  <c r="S411" i="1" s="1"/>
  <c r="P273" i="1"/>
  <c r="S273" i="1" s="1"/>
  <c r="N423" i="1"/>
  <c r="T423" i="1" s="1"/>
  <c r="N295" i="1"/>
  <c r="T295" i="1" s="1"/>
  <c r="P220" i="1"/>
  <c r="S220" i="1" s="1"/>
  <c r="N241" i="1"/>
  <c r="T241" i="1" s="1"/>
  <c r="P275" i="1"/>
  <c r="S275" i="1" s="1"/>
  <c r="N242" i="1"/>
  <c r="T242" i="1" s="1"/>
  <c r="N276" i="1"/>
  <c r="T276" i="1" s="1"/>
  <c r="N285" i="1"/>
  <c r="T285" i="1" s="1"/>
  <c r="N287" i="1"/>
  <c r="T287" i="1" s="1"/>
  <c r="R287" i="1"/>
  <c r="N281" i="1"/>
  <c r="T281" i="1" s="1"/>
  <c r="P269" i="1"/>
  <c r="S269" i="1" s="1"/>
  <c r="P283" i="1"/>
  <c r="S283" i="1" s="1"/>
  <c r="N262" i="1"/>
  <c r="T262" i="1" s="1"/>
  <c r="N258" i="1"/>
  <c r="T258" i="1" s="1"/>
  <c r="N260" i="1"/>
  <c r="T260" i="1" s="1"/>
  <c r="N232" i="1"/>
  <c r="T232" i="1" s="1"/>
  <c r="J253" i="1" a="1"/>
  <c r="J253" i="1" s="1"/>
  <c r="K253" i="1" a="1"/>
  <c r="K253" i="1" s="1"/>
  <c r="F265" i="1"/>
  <c r="F319" i="1"/>
  <c r="J307" i="1" a="1"/>
  <c r="J307" i="1" s="1"/>
  <c r="K307" i="1" a="1"/>
  <c r="K307" i="1" s="1"/>
  <c r="F447" i="1"/>
  <c r="K435" i="1" a="1"/>
  <c r="K435" i="1" s="1"/>
  <c r="J435" i="1" a="1"/>
  <c r="J435" i="1" s="1"/>
  <c r="F309" i="1"/>
  <c r="K297" i="1" a="1"/>
  <c r="K297" i="1" s="1"/>
  <c r="J297" i="1" a="1"/>
  <c r="J297" i="1" s="1"/>
  <c r="F286" i="1"/>
  <c r="J274" i="1" a="1"/>
  <c r="J274" i="1" s="1"/>
  <c r="K274" i="1" a="1"/>
  <c r="K274" i="1" s="1"/>
  <c r="F282" i="1"/>
  <c r="J270" i="1" a="1"/>
  <c r="J270" i="1" s="1"/>
  <c r="K270" i="1" a="1"/>
  <c r="K270" i="1" s="1"/>
  <c r="F305" i="1"/>
  <c r="K293" i="1" a="1"/>
  <c r="K293" i="1" s="1"/>
  <c r="J293" i="1" a="1"/>
  <c r="J293" i="1" s="1"/>
  <c r="F311" i="1"/>
  <c r="J299" i="1" a="1"/>
  <c r="J299" i="1" s="1"/>
  <c r="K299" i="1" a="1"/>
  <c r="K299" i="1" s="1"/>
  <c r="F256" i="1"/>
  <c r="K244" i="1" a="1"/>
  <c r="K244" i="1" s="1"/>
  <c r="J244" i="1" a="1"/>
  <c r="J244" i="1" s="1"/>
  <c r="F284" i="1"/>
  <c r="K272" i="1" a="1"/>
  <c r="K272" i="1" s="1"/>
  <c r="J272" i="1" a="1"/>
  <c r="J272" i="1" s="1"/>
  <c r="F300" i="1"/>
  <c r="K288" i="1" a="1"/>
  <c r="K288" i="1" s="1"/>
  <c r="J288" i="1" a="1"/>
  <c r="J288" i="1" s="1"/>
  <c r="F266" i="1"/>
  <c r="K254" i="1" a="1"/>
  <c r="K254" i="1" s="1"/>
  <c r="J254" i="1" a="1"/>
  <c r="J254" i="1" s="1"/>
  <c r="O288" i="1" l="1"/>
  <c r="M288" i="1"/>
  <c r="R288" i="1" s="1"/>
  <c r="O270" i="1"/>
  <c r="M270" i="1"/>
  <c r="R270" i="1" s="1"/>
  <c r="O253" i="1"/>
  <c r="M253" i="1"/>
  <c r="O254" i="1"/>
  <c r="M254" i="1"/>
  <c r="O297" i="1"/>
  <c r="M297" i="1"/>
  <c r="R297" i="1" s="1"/>
  <c r="O244" i="1"/>
  <c r="M244" i="1"/>
  <c r="R244" i="1" s="1"/>
  <c r="O293" i="1"/>
  <c r="P293" i="1" s="1"/>
  <c r="S293" i="1" s="1"/>
  <c r="M293" i="1"/>
  <c r="R293" i="1" s="1"/>
  <c r="O274" i="1"/>
  <c r="M274" i="1"/>
  <c r="R274" i="1" s="1"/>
  <c r="O299" i="1"/>
  <c r="M299" i="1"/>
  <c r="R299" i="1" s="1"/>
  <c r="O307" i="1"/>
  <c r="M307" i="1"/>
  <c r="R307" i="1" s="1"/>
  <c r="O272" i="1"/>
  <c r="M272" i="1"/>
  <c r="R272" i="1" s="1"/>
  <c r="O435" i="1"/>
  <c r="M435" i="1"/>
  <c r="R435" i="1" s="1"/>
  <c r="P262" i="1"/>
  <c r="S262" i="1" s="1"/>
  <c r="P295" i="1"/>
  <c r="S295" i="1" s="1"/>
  <c r="P287" i="1"/>
  <c r="S287" i="1" s="1"/>
  <c r="P281" i="1"/>
  <c r="S281" i="1" s="1"/>
  <c r="P276" i="1"/>
  <c r="S276" i="1" s="1"/>
  <c r="P241" i="1"/>
  <c r="S241" i="1" s="1"/>
  <c r="P423" i="1"/>
  <c r="S423" i="1" s="1"/>
  <c r="P260" i="1"/>
  <c r="S260" i="1" s="1"/>
  <c r="P232" i="1"/>
  <c r="S232" i="1" s="1"/>
  <c r="N274" i="1"/>
  <c r="T274" i="1" s="1"/>
  <c r="N244" i="1"/>
  <c r="T244" i="1" s="1"/>
  <c r="N299" i="1"/>
  <c r="T299" i="1" s="1"/>
  <c r="N297" i="1"/>
  <c r="T297" i="1" s="1"/>
  <c r="P242" i="1"/>
  <c r="S242" i="1" s="1"/>
  <c r="N293" i="1"/>
  <c r="T293" i="1" s="1"/>
  <c r="N288" i="1"/>
  <c r="T288" i="1" s="1"/>
  <c r="N307" i="1"/>
  <c r="T307" i="1" s="1"/>
  <c r="P258" i="1"/>
  <c r="S258" i="1" s="1"/>
  <c r="N253" i="1"/>
  <c r="T253" i="1" s="1"/>
  <c r="R253" i="1"/>
  <c r="N254" i="1"/>
  <c r="T254" i="1" s="1"/>
  <c r="R254" i="1"/>
  <c r="N435" i="1"/>
  <c r="T435" i="1" s="1"/>
  <c r="N272" i="1"/>
  <c r="T272" i="1" s="1"/>
  <c r="N270" i="1"/>
  <c r="T270" i="1" s="1"/>
  <c r="P285" i="1"/>
  <c r="S285" i="1" s="1"/>
  <c r="F277" i="1"/>
  <c r="J265" i="1" a="1"/>
  <c r="J265" i="1" s="1"/>
  <c r="K265" i="1" a="1"/>
  <c r="K265" i="1" s="1"/>
  <c r="F278" i="1"/>
  <c r="K266" i="1" a="1"/>
  <c r="K266" i="1" s="1"/>
  <c r="J266" i="1" a="1"/>
  <c r="J266" i="1" s="1"/>
  <c r="F321" i="1"/>
  <c r="J309" i="1" a="1"/>
  <c r="J309" i="1" s="1"/>
  <c r="K309" i="1" a="1"/>
  <c r="K309" i="1" s="1"/>
  <c r="F312" i="1"/>
  <c r="J300" i="1" a="1"/>
  <c r="J300" i="1" s="1"/>
  <c r="K300" i="1" a="1"/>
  <c r="K300" i="1" s="1"/>
  <c r="F331" i="1"/>
  <c r="K319" i="1" a="1"/>
  <c r="K319" i="1" s="1"/>
  <c r="J319" i="1" a="1"/>
  <c r="J319" i="1" s="1"/>
  <c r="F268" i="1"/>
  <c r="J256" i="1" a="1"/>
  <c r="J256" i="1" s="1"/>
  <c r="K256" i="1" a="1"/>
  <c r="K256" i="1" s="1"/>
  <c r="F317" i="1"/>
  <c r="K305" i="1" a="1"/>
  <c r="K305" i="1" s="1"/>
  <c r="J305" i="1" a="1"/>
  <c r="J305" i="1" s="1"/>
  <c r="F459" i="1"/>
  <c r="K447" i="1" a="1"/>
  <c r="K447" i="1" s="1"/>
  <c r="J447" i="1" a="1"/>
  <c r="J447" i="1" s="1"/>
  <c r="F323" i="1"/>
  <c r="J311" i="1" a="1"/>
  <c r="J311" i="1" s="1"/>
  <c r="K311" i="1" a="1"/>
  <c r="K311" i="1" s="1"/>
  <c r="K284" i="1" a="1"/>
  <c r="K284" i="1" s="1"/>
  <c r="F296" i="1"/>
  <c r="J284" i="1" a="1"/>
  <c r="J284" i="1" s="1"/>
  <c r="F294" i="1"/>
  <c r="J282" i="1" a="1"/>
  <c r="J282" i="1" s="1"/>
  <c r="K282" i="1" a="1"/>
  <c r="K282" i="1" s="1"/>
  <c r="F298" i="1"/>
  <c r="J286" i="1" a="1"/>
  <c r="J286" i="1" s="1"/>
  <c r="K286" i="1" a="1"/>
  <c r="K286" i="1" s="1"/>
  <c r="O265" i="1" l="1"/>
  <c r="M265" i="1"/>
  <c r="R265" i="1" s="1"/>
  <c r="O256" i="1"/>
  <c r="M256" i="1"/>
  <c r="R256" i="1" s="1"/>
  <c r="O282" i="1"/>
  <c r="M282" i="1"/>
  <c r="O319" i="1"/>
  <c r="M319" i="1"/>
  <c r="R319" i="1" s="1"/>
  <c r="O300" i="1"/>
  <c r="M300" i="1"/>
  <c r="R300" i="1" s="1"/>
  <c r="O311" i="1"/>
  <c r="M311" i="1"/>
  <c r="R311" i="1" s="1"/>
  <c r="O284" i="1"/>
  <c r="M284" i="1"/>
  <c r="R284" i="1" s="1"/>
  <c r="O309" i="1"/>
  <c r="M309" i="1"/>
  <c r="R309" i="1" s="1"/>
  <c r="O266" i="1"/>
  <c r="M266" i="1"/>
  <c r="R266" i="1" s="1"/>
  <c r="O286" i="1"/>
  <c r="M286" i="1"/>
  <c r="R286" i="1" s="1"/>
  <c r="O447" i="1"/>
  <c r="M447" i="1"/>
  <c r="R447" i="1" s="1"/>
  <c r="O305" i="1"/>
  <c r="M305" i="1"/>
  <c r="R305" i="1" s="1"/>
  <c r="P435" i="1"/>
  <c r="S435" i="1" s="1"/>
  <c r="P244" i="1"/>
  <c r="S244" i="1" s="1"/>
  <c r="P299" i="1"/>
  <c r="S299" i="1" s="1"/>
  <c r="P288" i="1"/>
  <c r="S288" i="1" s="1"/>
  <c r="P254" i="1"/>
  <c r="S254" i="1" s="1"/>
  <c r="P274" i="1"/>
  <c r="S274" i="1" s="1"/>
  <c r="P253" i="1"/>
  <c r="S253" i="1" s="1"/>
  <c r="P272" i="1"/>
  <c r="S272" i="1" s="1"/>
  <c r="N311" i="1"/>
  <c r="T311" i="1" s="1"/>
  <c r="N447" i="1"/>
  <c r="T447" i="1" s="1"/>
  <c r="N300" i="1"/>
  <c r="T300" i="1" s="1"/>
  <c r="N286" i="1"/>
  <c r="N265" i="1"/>
  <c r="T265" i="1" s="1"/>
  <c r="P307" i="1"/>
  <c r="S307" i="1" s="1"/>
  <c r="N309" i="1"/>
  <c r="T309" i="1" s="1"/>
  <c r="N256" i="1"/>
  <c r="T256" i="1" s="1"/>
  <c r="N319" i="1"/>
  <c r="T319" i="1" s="1"/>
  <c r="N282" i="1"/>
  <c r="T282" i="1" s="1"/>
  <c r="R282" i="1"/>
  <c r="N305" i="1"/>
  <c r="T305" i="1" s="1"/>
  <c r="N284" i="1"/>
  <c r="P270" i="1"/>
  <c r="S270" i="1" s="1"/>
  <c r="P297" i="1"/>
  <c r="S297" i="1" s="1"/>
  <c r="N266" i="1"/>
  <c r="T266" i="1" s="1"/>
  <c r="K277" i="1" a="1"/>
  <c r="K277" i="1" s="1"/>
  <c r="F289" i="1"/>
  <c r="J277" i="1" a="1"/>
  <c r="J277" i="1" s="1"/>
  <c r="F343" i="1"/>
  <c r="K331" i="1" a="1"/>
  <c r="K331" i="1" s="1"/>
  <c r="J331" i="1" a="1"/>
  <c r="J331" i="1" s="1"/>
  <c r="F471" i="1"/>
  <c r="K459" i="1" a="1"/>
  <c r="K459" i="1" s="1"/>
  <c r="J459" i="1" a="1"/>
  <c r="J459" i="1" s="1"/>
  <c r="F335" i="1"/>
  <c r="J323" i="1" a="1"/>
  <c r="J323" i="1" s="1"/>
  <c r="K323" i="1" a="1"/>
  <c r="K323" i="1" s="1"/>
  <c r="F280" i="1"/>
  <c r="J268" i="1" a="1"/>
  <c r="J268" i="1" s="1"/>
  <c r="K268" i="1" a="1"/>
  <c r="K268" i="1" s="1"/>
  <c r="F329" i="1"/>
  <c r="J317" i="1" a="1"/>
  <c r="J317" i="1" s="1"/>
  <c r="K317" i="1" a="1"/>
  <c r="K317" i="1" s="1"/>
  <c r="F308" i="1"/>
  <c r="K296" i="1" a="1"/>
  <c r="K296" i="1" s="1"/>
  <c r="J296" i="1" a="1"/>
  <c r="J296" i="1" s="1"/>
  <c r="F306" i="1"/>
  <c r="J294" i="1" a="1"/>
  <c r="J294" i="1" s="1"/>
  <c r="K294" i="1" a="1"/>
  <c r="K294" i="1" s="1"/>
  <c r="F333" i="1"/>
  <c r="K321" i="1" a="1"/>
  <c r="K321" i="1" s="1"/>
  <c r="J321" i="1" a="1"/>
  <c r="J321" i="1" s="1"/>
  <c r="F310" i="1"/>
  <c r="J298" i="1" a="1"/>
  <c r="J298" i="1" s="1"/>
  <c r="K298" i="1" a="1"/>
  <c r="K298" i="1" s="1"/>
  <c r="F324" i="1"/>
  <c r="K312" i="1" a="1"/>
  <c r="K312" i="1" s="1"/>
  <c r="J312" i="1" a="1"/>
  <c r="J312" i="1" s="1"/>
  <c r="F290" i="1"/>
  <c r="K278" i="1" a="1"/>
  <c r="K278" i="1" s="1"/>
  <c r="J278" i="1" a="1"/>
  <c r="J278" i="1" s="1"/>
  <c r="P305" i="1" l="1"/>
  <c r="S305" i="1" s="1"/>
  <c r="O323" i="1"/>
  <c r="M323" i="1"/>
  <c r="R323" i="1" s="1"/>
  <c r="O277" i="1"/>
  <c r="M277" i="1"/>
  <c r="R277" i="1" s="1"/>
  <c r="O268" i="1"/>
  <c r="M268" i="1"/>
  <c r="R268" i="1" s="1"/>
  <c r="P309" i="1"/>
  <c r="S309" i="1" s="1"/>
  <c r="O459" i="1"/>
  <c r="M459" i="1"/>
  <c r="R459" i="1" s="1"/>
  <c r="O294" i="1"/>
  <c r="M294" i="1"/>
  <c r="R294" i="1" s="1"/>
  <c r="O321" i="1"/>
  <c r="M321" i="1"/>
  <c r="R321" i="1" s="1"/>
  <c r="O312" i="1"/>
  <c r="M312" i="1"/>
  <c r="R312" i="1" s="1"/>
  <c r="O317" i="1"/>
  <c r="M317" i="1"/>
  <c r="R317" i="1" s="1"/>
  <c r="O298" i="1"/>
  <c r="M298" i="1"/>
  <c r="R298" i="1" s="1"/>
  <c r="O278" i="1"/>
  <c r="M278" i="1"/>
  <c r="R278" i="1" s="1"/>
  <c r="O296" i="1"/>
  <c r="M296" i="1"/>
  <c r="O331" i="1"/>
  <c r="M331" i="1"/>
  <c r="R331" i="1" s="1"/>
  <c r="P447" i="1"/>
  <c r="S447" i="1" s="1"/>
  <c r="P286" i="1"/>
  <c r="S286" i="1" s="1"/>
  <c r="T286" i="1"/>
  <c r="P282" i="1"/>
  <c r="S282" i="1" s="1"/>
  <c r="P300" i="1"/>
  <c r="S300" i="1" s="1"/>
  <c r="P284" i="1"/>
  <c r="S284" i="1" s="1"/>
  <c r="T284" i="1"/>
  <c r="P256" i="1"/>
  <c r="S256" i="1" s="1"/>
  <c r="P265" i="1"/>
  <c r="S265" i="1" s="1"/>
  <c r="P311" i="1"/>
  <c r="S311" i="1" s="1"/>
  <c r="P319" i="1"/>
  <c r="S319" i="1" s="1"/>
  <c r="N294" i="1"/>
  <c r="T294" i="1" s="1"/>
  <c r="N323" i="1"/>
  <c r="T323" i="1" s="1"/>
  <c r="N331" i="1"/>
  <c r="T331" i="1" s="1"/>
  <c r="P266" i="1"/>
  <c r="S266" i="1" s="1"/>
  <c r="N278" i="1"/>
  <c r="T278" i="1" s="1"/>
  <c r="N277" i="1"/>
  <c r="T277" i="1" s="1"/>
  <c r="N296" i="1"/>
  <c r="T296" i="1" s="1"/>
  <c r="R296" i="1"/>
  <c r="N298" i="1"/>
  <c r="T298" i="1" s="1"/>
  <c r="N268" i="1"/>
  <c r="T268" i="1" s="1"/>
  <c r="N312" i="1"/>
  <c r="T312" i="1" s="1"/>
  <c r="N459" i="1"/>
  <c r="T459" i="1" s="1"/>
  <c r="N317" i="1"/>
  <c r="T317" i="1" s="1"/>
  <c r="N321" i="1"/>
  <c r="T321" i="1" s="1"/>
  <c r="J289" i="1" a="1"/>
  <c r="J289" i="1" s="1"/>
  <c r="K289" i="1" a="1"/>
  <c r="K289" i="1" s="1"/>
  <c r="F301" i="1"/>
  <c r="F318" i="1"/>
  <c r="J306" i="1" a="1"/>
  <c r="J306" i="1" s="1"/>
  <c r="K306" i="1" a="1"/>
  <c r="K306" i="1" s="1"/>
  <c r="F355" i="1"/>
  <c r="K343" i="1" a="1"/>
  <c r="K343" i="1" s="1"/>
  <c r="J343" i="1" a="1"/>
  <c r="J343" i="1" s="1"/>
  <c r="F322" i="1"/>
  <c r="K310" i="1" a="1"/>
  <c r="K310" i="1" s="1"/>
  <c r="J310" i="1" a="1"/>
  <c r="J310" i="1" s="1"/>
  <c r="F341" i="1"/>
  <c r="J329" i="1" a="1"/>
  <c r="J329" i="1" s="1"/>
  <c r="K329" i="1" a="1"/>
  <c r="K329" i="1" s="1"/>
  <c r="F347" i="1"/>
  <c r="J335" i="1" a="1"/>
  <c r="J335" i="1" s="1"/>
  <c r="K335" i="1" a="1"/>
  <c r="K335" i="1" s="1"/>
  <c r="F345" i="1"/>
  <c r="K333" i="1" a="1"/>
  <c r="K333" i="1" s="1"/>
  <c r="J333" i="1" a="1"/>
  <c r="J333" i="1" s="1"/>
  <c r="F483" i="1"/>
  <c r="J471" i="1" a="1"/>
  <c r="J471" i="1" s="1"/>
  <c r="K471" i="1" a="1"/>
  <c r="K471" i="1" s="1"/>
  <c r="F336" i="1"/>
  <c r="K324" i="1" a="1"/>
  <c r="K324" i="1" s="1"/>
  <c r="J324" i="1" a="1"/>
  <c r="J324" i="1" s="1"/>
  <c r="F302" i="1"/>
  <c r="K290" i="1" a="1"/>
  <c r="K290" i="1" s="1"/>
  <c r="J290" i="1" a="1"/>
  <c r="J290" i="1" s="1"/>
  <c r="F292" i="1"/>
  <c r="J280" i="1" a="1"/>
  <c r="J280" i="1" s="1"/>
  <c r="K280" i="1" a="1"/>
  <c r="K280" i="1" s="1"/>
  <c r="F320" i="1"/>
  <c r="K308" i="1" a="1"/>
  <c r="K308" i="1" s="1"/>
  <c r="J308" i="1" a="1"/>
  <c r="J308" i="1" s="1"/>
  <c r="P331" i="1" l="1"/>
  <c r="S331" i="1" s="1"/>
  <c r="O335" i="1"/>
  <c r="M335" i="1"/>
  <c r="R335" i="1" s="1"/>
  <c r="O290" i="1"/>
  <c r="M290" i="1"/>
  <c r="R290" i="1" s="1"/>
  <c r="O310" i="1"/>
  <c r="M310" i="1"/>
  <c r="O280" i="1"/>
  <c r="M280" i="1"/>
  <c r="O289" i="1"/>
  <c r="M289" i="1"/>
  <c r="O329" i="1"/>
  <c r="M329" i="1"/>
  <c r="R329" i="1" s="1"/>
  <c r="P278" i="1"/>
  <c r="S278" i="1" s="1"/>
  <c r="O324" i="1"/>
  <c r="M324" i="1"/>
  <c r="R324" i="1" s="1"/>
  <c r="O343" i="1"/>
  <c r="M343" i="1"/>
  <c r="R343" i="1" s="1"/>
  <c r="O471" i="1"/>
  <c r="M471" i="1"/>
  <c r="R471" i="1" s="1"/>
  <c r="O308" i="1"/>
  <c r="M308" i="1"/>
  <c r="R308" i="1" s="1"/>
  <c r="O333" i="1"/>
  <c r="M333" i="1"/>
  <c r="R333" i="1" s="1"/>
  <c r="O306" i="1"/>
  <c r="M306" i="1"/>
  <c r="R306" i="1" s="1"/>
  <c r="P323" i="1"/>
  <c r="S323" i="1" s="1"/>
  <c r="P312" i="1"/>
  <c r="S312" i="1" s="1"/>
  <c r="P459" i="1"/>
  <c r="S459" i="1" s="1"/>
  <c r="P294" i="1"/>
  <c r="S294" i="1" s="1"/>
  <c r="N289" i="1"/>
  <c r="T289" i="1" s="1"/>
  <c r="R289" i="1"/>
  <c r="N335" i="1"/>
  <c r="T335" i="1" s="1"/>
  <c r="P277" i="1"/>
  <c r="S277" i="1" s="1"/>
  <c r="N324" i="1"/>
  <c r="T324" i="1" s="1"/>
  <c r="N471" i="1"/>
  <c r="T471" i="1" s="1"/>
  <c r="P321" i="1"/>
  <c r="S321" i="1" s="1"/>
  <c r="N343" i="1"/>
  <c r="T343" i="1" s="1"/>
  <c r="N290" i="1"/>
  <c r="T290" i="1" s="1"/>
  <c r="N308" i="1"/>
  <c r="T308" i="1" s="1"/>
  <c r="N280" i="1"/>
  <c r="T280" i="1" s="1"/>
  <c r="R280" i="1"/>
  <c r="P296" i="1"/>
  <c r="S296" i="1" s="1"/>
  <c r="N310" i="1"/>
  <c r="T310" i="1" s="1"/>
  <c r="R310" i="1"/>
  <c r="N306" i="1"/>
  <c r="T306" i="1" s="1"/>
  <c r="N329" i="1"/>
  <c r="T329" i="1" s="1"/>
  <c r="N333" i="1"/>
  <c r="T333" i="1" s="1"/>
  <c r="P317" i="1"/>
  <c r="S317" i="1" s="1"/>
  <c r="P268" i="1"/>
  <c r="S268" i="1" s="1"/>
  <c r="P298" i="1"/>
  <c r="S298" i="1" s="1"/>
  <c r="J301" i="1" a="1"/>
  <c r="J301" i="1" s="1"/>
  <c r="F313" i="1"/>
  <c r="K301" i="1" a="1"/>
  <c r="K301" i="1" s="1"/>
  <c r="F314" i="1"/>
  <c r="K302" i="1" a="1"/>
  <c r="K302" i="1" s="1"/>
  <c r="J302" i="1" a="1"/>
  <c r="J302" i="1" s="1"/>
  <c r="F357" i="1"/>
  <c r="J345" i="1" a="1"/>
  <c r="J345" i="1" s="1"/>
  <c r="K345" i="1" a="1"/>
  <c r="K345" i="1" s="1"/>
  <c r="P290" i="1"/>
  <c r="S290" i="1" s="1"/>
  <c r="F359" i="1"/>
  <c r="K347" i="1" a="1"/>
  <c r="K347" i="1" s="1"/>
  <c r="J347" i="1" a="1"/>
  <c r="J347" i="1" s="1"/>
  <c r="F353" i="1"/>
  <c r="K341" i="1" a="1"/>
  <c r="K341" i="1" s="1"/>
  <c r="J341" i="1" a="1"/>
  <c r="J341" i="1" s="1"/>
  <c r="F304" i="1"/>
  <c r="J292" i="1" a="1"/>
  <c r="J292" i="1" s="1"/>
  <c r="K292" i="1" a="1"/>
  <c r="K292" i="1" s="1"/>
  <c r="F348" i="1"/>
  <c r="K336" i="1" a="1"/>
  <c r="K336" i="1" s="1"/>
  <c r="J336" i="1" a="1"/>
  <c r="J336" i="1" s="1"/>
  <c r="F334" i="1"/>
  <c r="J322" i="1" a="1"/>
  <c r="J322" i="1" s="1"/>
  <c r="K322" i="1" a="1"/>
  <c r="K322" i="1" s="1"/>
  <c r="F330" i="1"/>
  <c r="J318" i="1" a="1"/>
  <c r="J318" i="1" s="1"/>
  <c r="K318" i="1" a="1"/>
  <c r="K318" i="1" s="1"/>
  <c r="F495" i="1"/>
  <c r="J483" i="1" a="1"/>
  <c r="J483" i="1" s="1"/>
  <c r="K483" i="1" a="1"/>
  <c r="K483" i="1" s="1"/>
  <c r="F367" i="1"/>
  <c r="K355" i="1" a="1"/>
  <c r="K355" i="1" s="1"/>
  <c r="J355" i="1" a="1"/>
  <c r="J355" i="1" s="1"/>
  <c r="F332" i="1"/>
  <c r="J320" i="1" a="1"/>
  <c r="J320" i="1" s="1"/>
  <c r="K320" i="1" a="1"/>
  <c r="K320" i="1" s="1"/>
  <c r="O355" i="1" l="1"/>
  <c r="M355" i="1"/>
  <c r="O292" i="1"/>
  <c r="M292" i="1"/>
  <c r="R292" i="1" s="1"/>
  <c r="O301" i="1"/>
  <c r="M301" i="1"/>
  <c r="R301" i="1" s="1"/>
  <c r="O320" i="1"/>
  <c r="M320" i="1"/>
  <c r="R320" i="1" s="1"/>
  <c r="O341" i="1"/>
  <c r="M341" i="1"/>
  <c r="R341" i="1" s="1"/>
  <c r="O483" i="1"/>
  <c r="M483" i="1"/>
  <c r="R483" i="1" s="1"/>
  <c r="O347" i="1"/>
  <c r="M347" i="1"/>
  <c r="R347" i="1" s="1"/>
  <c r="O318" i="1"/>
  <c r="M318" i="1"/>
  <c r="R318" i="1" s="1"/>
  <c r="O322" i="1"/>
  <c r="M322" i="1"/>
  <c r="R322" i="1" s="1"/>
  <c r="O345" i="1"/>
  <c r="M345" i="1"/>
  <c r="R345" i="1" s="1"/>
  <c r="P280" i="1"/>
  <c r="S280" i="1" s="1"/>
  <c r="O336" i="1"/>
  <c r="M336" i="1"/>
  <c r="O302" i="1"/>
  <c r="M302" i="1"/>
  <c r="R302" i="1" s="1"/>
  <c r="P335" i="1"/>
  <c r="S335" i="1" s="1"/>
  <c r="P333" i="1"/>
  <c r="S333" i="1" s="1"/>
  <c r="P306" i="1"/>
  <c r="S306" i="1" s="1"/>
  <c r="P471" i="1"/>
  <c r="S471" i="1" s="1"/>
  <c r="P324" i="1"/>
  <c r="S324" i="1" s="1"/>
  <c r="P289" i="1"/>
  <c r="S289" i="1" s="1"/>
  <c r="P310" i="1"/>
  <c r="S310" i="1" s="1"/>
  <c r="N347" i="1"/>
  <c r="T347" i="1" s="1"/>
  <c r="N320" i="1"/>
  <c r="T320" i="1" s="1"/>
  <c r="P343" i="1"/>
  <c r="S343" i="1" s="1"/>
  <c r="N341" i="1"/>
  <c r="T341" i="1" s="1"/>
  <c r="P329" i="1"/>
  <c r="S329" i="1" s="1"/>
  <c r="N292" i="1"/>
  <c r="T292" i="1" s="1"/>
  <c r="N302" i="1"/>
  <c r="T302" i="1" s="1"/>
  <c r="N318" i="1"/>
  <c r="T318" i="1" s="1"/>
  <c r="N322" i="1"/>
  <c r="T322" i="1" s="1"/>
  <c r="N336" i="1"/>
  <c r="T336" i="1" s="1"/>
  <c r="R336" i="1"/>
  <c r="N483" i="1"/>
  <c r="T483" i="1" s="1"/>
  <c r="P308" i="1"/>
  <c r="S308" i="1" s="1"/>
  <c r="N345" i="1"/>
  <c r="T345" i="1" s="1"/>
  <c r="N355" i="1"/>
  <c r="T355" i="1" s="1"/>
  <c r="R355" i="1"/>
  <c r="N301" i="1"/>
  <c r="T301" i="1" s="1"/>
  <c r="F325" i="1"/>
  <c r="J313" i="1" a="1"/>
  <c r="J313" i="1" s="1"/>
  <c r="K313" i="1" a="1"/>
  <c r="K313" i="1" s="1"/>
  <c r="F326" i="1"/>
  <c r="K314" i="1" a="1"/>
  <c r="K314" i="1" s="1"/>
  <c r="J314" i="1" a="1"/>
  <c r="J314" i="1" s="1"/>
  <c r="F316" i="1"/>
  <c r="K304" i="1" a="1"/>
  <c r="K304" i="1" s="1"/>
  <c r="J304" i="1" a="1"/>
  <c r="J304" i="1" s="1"/>
  <c r="F369" i="1"/>
  <c r="K357" i="1" a="1"/>
  <c r="K357" i="1" s="1"/>
  <c r="J357" i="1" a="1"/>
  <c r="J357" i="1" s="1"/>
  <c r="F344" i="1"/>
  <c r="J332" i="1" a="1"/>
  <c r="J332" i="1" s="1"/>
  <c r="K332" i="1" a="1"/>
  <c r="K332" i="1" s="1"/>
  <c r="F371" i="1"/>
  <c r="J359" i="1" a="1"/>
  <c r="J359" i="1" s="1"/>
  <c r="K359" i="1" a="1"/>
  <c r="K359" i="1" s="1"/>
  <c r="F507" i="1"/>
  <c r="J495" i="1" a="1"/>
  <c r="J495" i="1" s="1"/>
  <c r="K495" i="1" a="1"/>
  <c r="K495" i="1" s="1"/>
  <c r="F342" i="1"/>
  <c r="J330" i="1" a="1"/>
  <c r="J330" i="1" s="1"/>
  <c r="K330" i="1" a="1"/>
  <c r="K330" i="1" s="1"/>
  <c r="F365" i="1"/>
  <c r="J353" i="1" a="1"/>
  <c r="J353" i="1" s="1"/>
  <c r="K353" i="1" a="1"/>
  <c r="K353" i="1" s="1"/>
  <c r="F360" i="1"/>
  <c r="J348" i="1" a="1"/>
  <c r="J348" i="1" s="1"/>
  <c r="K348" i="1" a="1"/>
  <c r="K348" i="1" s="1"/>
  <c r="F379" i="1"/>
  <c r="J367" i="1" a="1"/>
  <c r="J367" i="1" s="1"/>
  <c r="K367" i="1" a="1"/>
  <c r="K367" i="1" s="1"/>
  <c r="F346" i="1"/>
  <c r="J334" i="1" a="1"/>
  <c r="J334" i="1" s="1"/>
  <c r="K334" i="1" a="1"/>
  <c r="K334" i="1" s="1"/>
  <c r="P345" i="1" l="1"/>
  <c r="S345" i="1" s="1"/>
  <c r="O334" i="1"/>
  <c r="M334" i="1"/>
  <c r="R334" i="1" s="1"/>
  <c r="O313" i="1"/>
  <c r="M313" i="1"/>
  <c r="R313" i="1" s="1"/>
  <c r="O348" i="1"/>
  <c r="M348" i="1"/>
  <c r="O357" i="1"/>
  <c r="M357" i="1"/>
  <c r="O359" i="1"/>
  <c r="M359" i="1"/>
  <c r="R359" i="1" s="1"/>
  <c r="O332" i="1"/>
  <c r="M332" i="1"/>
  <c r="R332" i="1" s="1"/>
  <c r="O353" i="1"/>
  <c r="M353" i="1"/>
  <c r="R353" i="1" s="1"/>
  <c r="O495" i="1"/>
  <c r="M495" i="1"/>
  <c r="R495" i="1" s="1"/>
  <c r="O330" i="1"/>
  <c r="M330" i="1"/>
  <c r="O367" i="1"/>
  <c r="M367" i="1"/>
  <c r="O304" i="1"/>
  <c r="M304" i="1"/>
  <c r="R304" i="1" s="1"/>
  <c r="P302" i="1"/>
  <c r="S302" i="1" s="1"/>
  <c r="O314" i="1"/>
  <c r="M314" i="1"/>
  <c r="R314" i="1" s="1"/>
  <c r="P341" i="1"/>
  <c r="S341" i="1" s="1"/>
  <c r="P320" i="1"/>
  <c r="S320" i="1" s="1"/>
  <c r="P347" i="1"/>
  <c r="S347" i="1" s="1"/>
  <c r="P318" i="1"/>
  <c r="S318" i="1" s="1"/>
  <c r="P336" i="1"/>
  <c r="S336" i="1" s="1"/>
  <c r="P301" i="1"/>
  <c r="S301" i="1" s="1"/>
  <c r="N353" i="1"/>
  <c r="T353" i="1" s="1"/>
  <c r="N495" i="1"/>
  <c r="T495" i="1" s="1"/>
  <c r="N304" i="1"/>
  <c r="T304" i="1" s="1"/>
  <c r="N332" i="1"/>
  <c r="T332" i="1" s="1"/>
  <c r="N334" i="1"/>
  <c r="T334" i="1" s="1"/>
  <c r="N330" i="1"/>
  <c r="T330" i="1" s="1"/>
  <c r="R330" i="1"/>
  <c r="N357" i="1"/>
  <c r="T357" i="1" s="1"/>
  <c r="R357" i="1"/>
  <c r="P322" i="1"/>
  <c r="S322" i="1" s="1"/>
  <c r="R367" i="1"/>
  <c r="N348" i="1"/>
  <c r="T348" i="1" s="1"/>
  <c r="R348" i="1"/>
  <c r="P483" i="1"/>
  <c r="S483" i="1" s="1"/>
  <c r="N313" i="1"/>
  <c r="T313" i="1" s="1"/>
  <c r="N359" i="1"/>
  <c r="T359" i="1" s="1"/>
  <c r="P292" i="1"/>
  <c r="S292" i="1" s="1"/>
  <c r="P355" i="1"/>
  <c r="S355" i="1" s="1"/>
  <c r="N314" i="1"/>
  <c r="T314" i="1" s="1"/>
  <c r="F337" i="1"/>
  <c r="K325" i="1" a="1"/>
  <c r="K325" i="1" s="1"/>
  <c r="J325" i="1" a="1"/>
  <c r="J325" i="1" s="1"/>
  <c r="F381" i="1"/>
  <c r="K369" i="1" a="1"/>
  <c r="K369" i="1" s="1"/>
  <c r="J369" i="1" a="1"/>
  <c r="J369" i="1" s="1"/>
  <c r="F372" i="1"/>
  <c r="K360" i="1" a="1"/>
  <c r="K360" i="1" s="1"/>
  <c r="J360" i="1" a="1"/>
  <c r="J360" i="1" s="1"/>
  <c r="F356" i="1"/>
  <c r="K344" i="1" a="1"/>
  <c r="K344" i="1" s="1"/>
  <c r="J344" i="1" a="1"/>
  <c r="J344" i="1" s="1"/>
  <c r="F358" i="1"/>
  <c r="J346" i="1" a="1"/>
  <c r="J346" i="1" s="1"/>
  <c r="K346" i="1" a="1"/>
  <c r="K346" i="1" s="1"/>
  <c r="N367" i="1"/>
  <c r="T367" i="1" s="1"/>
  <c r="F354" i="1"/>
  <c r="J342" i="1" a="1"/>
  <c r="J342" i="1" s="1"/>
  <c r="K342" i="1" a="1"/>
  <c r="K342" i="1" s="1"/>
  <c r="F338" i="1"/>
  <c r="J326" i="1" a="1"/>
  <c r="J326" i="1" s="1"/>
  <c r="K326" i="1" a="1"/>
  <c r="K326" i="1" s="1"/>
  <c r="F328" i="1"/>
  <c r="K316" i="1" a="1"/>
  <c r="K316" i="1" s="1"/>
  <c r="J316" i="1" a="1"/>
  <c r="J316" i="1" s="1"/>
  <c r="F377" i="1"/>
  <c r="J365" i="1" a="1"/>
  <c r="J365" i="1" s="1"/>
  <c r="K365" i="1" a="1"/>
  <c r="K365" i="1" s="1"/>
  <c r="F519" i="1"/>
  <c r="K507" i="1" a="1"/>
  <c r="K507" i="1" s="1"/>
  <c r="J507" i="1" a="1"/>
  <c r="J507" i="1" s="1"/>
  <c r="F383" i="1"/>
  <c r="J371" i="1" a="1"/>
  <c r="J371" i="1" s="1"/>
  <c r="K371" i="1" a="1"/>
  <c r="K371" i="1" s="1"/>
  <c r="F391" i="1"/>
  <c r="J379" i="1" a="1"/>
  <c r="J379" i="1" s="1"/>
  <c r="K379" i="1" a="1"/>
  <c r="K379" i="1" s="1"/>
  <c r="O369" i="1" l="1"/>
  <c r="M369" i="1"/>
  <c r="R369" i="1" s="1"/>
  <c r="O325" i="1"/>
  <c r="M325" i="1"/>
  <c r="R325" i="1" s="1"/>
  <c r="O342" i="1"/>
  <c r="M342" i="1"/>
  <c r="O379" i="1"/>
  <c r="M379" i="1"/>
  <c r="R379" i="1" s="1"/>
  <c r="O507" i="1"/>
  <c r="M507" i="1"/>
  <c r="R507" i="1" s="1"/>
  <c r="O346" i="1"/>
  <c r="M346" i="1"/>
  <c r="R346" i="1" s="1"/>
  <c r="R371" i="1"/>
  <c r="O365" i="1"/>
  <c r="M365" i="1"/>
  <c r="R365" i="1" s="1"/>
  <c r="O344" i="1"/>
  <c r="M344" i="1"/>
  <c r="R344" i="1" s="1"/>
  <c r="O360" i="1"/>
  <c r="M360" i="1"/>
  <c r="R360" i="1" s="1"/>
  <c r="O326" i="1"/>
  <c r="M326" i="1"/>
  <c r="R326" i="1" s="1"/>
  <c r="O371" i="1"/>
  <c r="M371" i="1"/>
  <c r="O316" i="1"/>
  <c r="M316" i="1"/>
  <c r="P348" i="1"/>
  <c r="S348" i="1" s="1"/>
  <c r="P353" i="1"/>
  <c r="S353" i="1" s="1"/>
  <c r="P332" i="1"/>
  <c r="S332" i="1" s="1"/>
  <c r="P313" i="1"/>
  <c r="S313" i="1" s="1"/>
  <c r="P359" i="1"/>
  <c r="S359" i="1" s="1"/>
  <c r="P304" i="1"/>
  <c r="S304" i="1" s="1"/>
  <c r="P334" i="1"/>
  <c r="S334" i="1" s="1"/>
  <c r="P495" i="1"/>
  <c r="S495" i="1" s="1"/>
  <c r="P357" i="1"/>
  <c r="S357" i="1" s="1"/>
  <c r="P314" i="1"/>
  <c r="S314" i="1" s="1"/>
  <c r="N325" i="1"/>
  <c r="T325" i="1" s="1"/>
  <c r="N379" i="1"/>
  <c r="N344" i="1"/>
  <c r="T344" i="1" s="1"/>
  <c r="N326" i="1"/>
  <c r="T326" i="1" s="1"/>
  <c r="N360" i="1"/>
  <c r="T360" i="1" s="1"/>
  <c r="N316" i="1"/>
  <c r="T316" i="1" s="1"/>
  <c r="R316" i="1"/>
  <c r="P330" i="1"/>
  <c r="S330" i="1" s="1"/>
  <c r="N507" i="1"/>
  <c r="T507" i="1" s="1"/>
  <c r="N346" i="1"/>
  <c r="T346" i="1" s="1"/>
  <c r="N342" i="1"/>
  <c r="T342" i="1" s="1"/>
  <c r="R342" i="1"/>
  <c r="J337" i="1" a="1"/>
  <c r="J337" i="1" s="1"/>
  <c r="K337" i="1" a="1"/>
  <c r="K337" i="1" s="1"/>
  <c r="F349" i="1"/>
  <c r="P367" i="1"/>
  <c r="S367" i="1" s="1"/>
  <c r="F384" i="1"/>
  <c r="J372" i="1" a="1"/>
  <c r="J372" i="1" s="1"/>
  <c r="K372" i="1" a="1"/>
  <c r="K372" i="1" s="1"/>
  <c r="F395" i="1"/>
  <c r="K383" i="1" a="1"/>
  <c r="K383" i="1" s="1"/>
  <c r="J383" i="1" a="1"/>
  <c r="J383" i="1" s="1"/>
  <c r="F350" i="1"/>
  <c r="J338" i="1" a="1"/>
  <c r="J338" i="1" s="1"/>
  <c r="K338" i="1" a="1"/>
  <c r="K338" i="1" s="1"/>
  <c r="N369" i="1"/>
  <c r="T369" i="1" s="1"/>
  <c r="F393" i="1"/>
  <c r="K381" i="1" a="1"/>
  <c r="K381" i="1" s="1"/>
  <c r="J381" i="1" a="1"/>
  <c r="J381" i="1" s="1"/>
  <c r="F531" i="1"/>
  <c r="J519" i="1" a="1"/>
  <c r="J519" i="1" s="1"/>
  <c r="K519" i="1" a="1"/>
  <c r="K519" i="1" s="1"/>
  <c r="F340" i="1"/>
  <c r="K328" i="1" a="1"/>
  <c r="K328" i="1" s="1"/>
  <c r="J328" i="1" a="1"/>
  <c r="J328" i="1" s="1"/>
  <c r="N371" i="1"/>
  <c r="T371" i="1" s="1"/>
  <c r="F366" i="1"/>
  <c r="K354" i="1" a="1"/>
  <c r="K354" i="1" s="1"/>
  <c r="J354" i="1" a="1"/>
  <c r="J354" i="1" s="1"/>
  <c r="F370" i="1"/>
  <c r="K358" i="1" a="1"/>
  <c r="K358" i="1" s="1"/>
  <c r="J358" i="1" a="1"/>
  <c r="J358" i="1" s="1"/>
  <c r="F368" i="1"/>
  <c r="K356" i="1" a="1"/>
  <c r="K356" i="1" s="1"/>
  <c r="J356" i="1" a="1"/>
  <c r="J356" i="1" s="1"/>
  <c r="F403" i="1"/>
  <c r="J391" i="1" a="1"/>
  <c r="J391" i="1" s="1"/>
  <c r="K391" i="1" a="1"/>
  <c r="K391" i="1" s="1"/>
  <c r="N365" i="1"/>
  <c r="T365" i="1" s="1"/>
  <c r="F389" i="1"/>
  <c r="K377" i="1" a="1"/>
  <c r="K377" i="1" s="1"/>
  <c r="J377" i="1" a="1"/>
  <c r="J377" i="1" s="1"/>
  <c r="O377" i="1" l="1"/>
  <c r="M377" i="1"/>
  <c r="R377" i="1" s="1"/>
  <c r="O356" i="1"/>
  <c r="M356" i="1"/>
  <c r="R356" i="1" s="1"/>
  <c r="O358" i="1"/>
  <c r="M358" i="1"/>
  <c r="O338" i="1"/>
  <c r="M338" i="1"/>
  <c r="R338" i="1" s="1"/>
  <c r="O391" i="1"/>
  <c r="M391" i="1"/>
  <c r="R391" i="1" s="1"/>
  <c r="O354" i="1"/>
  <c r="M354" i="1"/>
  <c r="R354" i="1" s="1"/>
  <c r="O372" i="1"/>
  <c r="M372" i="1"/>
  <c r="O381" i="1"/>
  <c r="M381" i="1"/>
  <c r="R381" i="1" s="1"/>
  <c r="O383" i="1"/>
  <c r="M383" i="1"/>
  <c r="R383" i="1" s="1"/>
  <c r="O328" i="1"/>
  <c r="M328" i="1"/>
  <c r="R328" i="1" s="1"/>
  <c r="O519" i="1"/>
  <c r="M519" i="1"/>
  <c r="R519" i="1" s="1"/>
  <c r="O337" i="1"/>
  <c r="M337" i="1"/>
  <c r="R337" i="1" s="1"/>
  <c r="P379" i="1"/>
  <c r="S379" i="1" s="1"/>
  <c r="T379" i="1"/>
  <c r="P344" i="1"/>
  <c r="S344" i="1" s="1"/>
  <c r="P342" i="1"/>
  <c r="S342" i="1" s="1"/>
  <c r="P325" i="1"/>
  <c r="S325" i="1" s="1"/>
  <c r="P326" i="1"/>
  <c r="S326" i="1" s="1"/>
  <c r="R372" i="1"/>
  <c r="N381" i="1"/>
  <c r="T381" i="1" s="1"/>
  <c r="P346" i="1"/>
  <c r="S346" i="1" s="1"/>
  <c r="P316" i="1"/>
  <c r="S316" i="1" s="1"/>
  <c r="N377" i="1"/>
  <c r="T377" i="1" s="1"/>
  <c r="P507" i="1"/>
  <c r="S507" i="1" s="1"/>
  <c r="P360" i="1"/>
  <c r="S360" i="1" s="1"/>
  <c r="N337" i="1"/>
  <c r="T337" i="1" s="1"/>
  <c r="N391" i="1"/>
  <c r="T391" i="1" s="1"/>
  <c r="N338" i="1"/>
  <c r="T338" i="1" s="1"/>
  <c r="N358" i="1"/>
  <c r="T358" i="1" s="1"/>
  <c r="R358" i="1"/>
  <c r="N328" i="1"/>
  <c r="T328" i="1" s="1"/>
  <c r="N354" i="1"/>
  <c r="T354" i="1" s="1"/>
  <c r="N356" i="1"/>
  <c r="T356" i="1" s="1"/>
  <c r="N519" i="1"/>
  <c r="T519" i="1" s="1"/>
  <c r="N383" i="1"/>
  <c r="T383" i="1" s="1"/>
  <c r="F361" i="1"/>
  <c r="K349" i="1" a="1"/>
  <c r="K349" i="1" s="1"/>
  <c r="J349" i="1" a="1"/>
  <c r="J349" i="1" s="1"/>
  <c r="P369" i="1"/>
  <c r="S369" i="1" s="1"/>
  <c r="F396" i="1"/>
  <c r="J384" i="1" a="1"/>
  <c r="J384" i="1" s="1"/>
  <c r="K384" i="1" a="1"/>
  <c r="K384" i="1" s="1"/>
  <c r="F378" i="1"/>
  <c r="J366" i="1" a="1"/>
  <c r="J366" i="1" s="1"/>
  <c r="K366" i="1" a="1"/>
  <c r="K366" i="1" s="1"/>
  <c r="F415" i="1"/>
  <c r="J403" i="1" a="1"/>
  <c r="J403" i="1" s="1"/>
  <c r="K403" i="1" a="1"/>
  <c r="K403" i="1" s="1"/>
  <c r="F543" i="1"/>
  <c r="J531" i="1" a="1"/>
  <c r="J531" i="1" s="1"/>
  <c r="K531" i="1" a="1"/>
  <c r="K531" i="1" s="1"/>
  <c r="F362" i="1"/>
  <c r="J350" i="1" a="1"/>
  <c r="J350" i="1" s="1"/>
  <c r="K350" i="1" a="1"/>
  <c r="K350" i="1" s="1"/>
  <c r="F407" i="1"/>
  <c r="K395" i="1" a="1"/>
  <c r="K395" i="1" s="1"/>
  <c r="J395" i="1" a="1"/>
  <c r="J395" i="1" s="1"/>
  <c r="F401" i="1"/>
  <c r="K389" i="1" a="1"/>
  <c r="K389" i="1" s="1"/>
  <c r="J389" i="1" a="1"/>
  <c r="J389" i="1" s="1"/>
  <c r="P371" i="1"/>
  <c r="S371" i="1" s="1"/>
  <c r="P365" i="1"/>
  <c r="S365" i="1" s="1"/>
  <c r="F382" i="1"/>
  <c r="K370" i="1" a="1"/>
  <c r="K370" i="1" s="1"/>
  <c r="J370" i="1" a="1"/>
  <c r="J370" i="1" s="1"/>
  <c r="N372" i="1"/>
  <c r="T372" i="1" s="1"/>
  <c r="F380" i="1"/>
  <c r="J368" i="1" a="1"/>
  <c r="J368" i="1" s="1"/>
  <c r="K368" i="1" a="1"/>
  <c r="K368" i="1" s="1"/>
  <c r="F405" i="1"/>
  <c r="J393" i="1" a="1"/>
  <c r="J393" i="1" s="1"/>
  <c r="K393" i="1" a="1"/>
  <c r="K393" i="1" s="1"/>
  <c r="F352" i="1"/>
  <c r="J340" i="1" a="1"/>
  <c r="J340" i="1" s="1"/>
  <c r="K340" i="1" a="1"/>
  <c r="K340" i="1" s="1"/>
  <c r="O384" i="1" l="1"/>
  <c r="M384" i="1"/>
  <c r="O370" i="1"/>
  <c r="M370" i="1"/>
  <c r="O395" i="1"/>
  <c r="M395" i="1"/>
  <c r="O349" i="1"/>
  <c r="M349" i="1"/>
  <c r="R349" i="1" s="1"/>
  <c r="O531" i="1"/>
  <c r="M531" i="1"/>
  <c r="R531" i="1" s="1"/>
  <c r="O403" i="1"/>
  <c r="M403" i="1"/>
  <c r="R403" i="1" s="1"/>
  <c r="O340" i="1"/>
  <c r="M340" i="1"/>
  <c r="R340" i="1" s="1"/>
  <c r="O393" i="1"/>
  <c r="M393" i="1"/>
  <c r="R393" i="1" s="1"/>
  <c r="O350" i="1"/>
  <c r="M350" i="1"/>
  <c r="R350" i="1" s="1"/>
  <c r="O368" i="1"/>
  <c r="M368" i="1"/>
  <c r="R368" i="1" s="1"/>
  <c r="O389" i="1"/>
  <c r="M389" i="1"/>
  <c r="R389" i="1" s="1"/>
  <c r="O366" i="1"/>
  <c r="M366" i="1"/>
  <c r="R366" i="1" s="1"/>
  <c r="P354" i="1"/>
  <c r="S354" i="1" s="1"/>
  <c r="P383" i="1"/>
  <c r="S383" i="1" s="1"/>
  <c r="P381" i="1"/>
  <c r="S381" i="1" s="1"/>
  <c r="P338" i="1"/>
  <c r="S338" i="1" s="1"/>
  <c r="P519" i="1"/>
  <c r="S519" i="1" s="1"/>
  <c r="P328" i="1"/>
  <c r="S328" i="1" s="1"/>
  <c r="R370" i="1"/>
  <c r="P337" i="1"/>
  <c r="S337" i="1" s="1"/>
  <c r="N340" i="1"/>
  <c r="T340" i="1" s="1"/>
  <c r="N349" i="1"/>
  <c r="T349" i="1" s="1"/>
  <c r="P358" i="1"/>
  <c r="S358" i="1" s="1"/>
  <c r="N403" i="1"/>
  <c r="T403" i="1" s="1"/>
  <c r="N395" i="1"/>
  <c r="T395" i="1" s="1"/>
  <c r="R395" i="1"/>
  <c r="P377" i="1"/>
  <c r="S377" i="1" s="1"/>
  <c r="N393" i="1"/>
  <c r="T393" i="1" s="1"/>
  <c r="P356" i="1"/>
  <c r="S356" i="1" s="1"/>
  <c r="N531" i="1"/>
  <c r="T531" i="1" s="1"/>
  <c r="N384" i="1"/>
  <c r="T384" i="1" s="1"/>
  <c r="R384" i="1"/>
  <c r="P391" i="1"/>
  <c r="S391" i="1" s="1"/>
  <c r="N389" i="1"/>
  <c r="T389" i="1" s="1"/>
  <c r="N350" i="1"/>
  <c r="T350" i="1" s="1"/>
  <c r="K361" i="1" a="1"/>
  <c r="K361" i="1" s="1"/>
  <c r="F373" i="1"/>
  <c r="J361" i="1" a="1"/>
  <c r="J361" i="1" s="1"/>
  <c r="F419" i="1"/>
  <c r="K407" i="1" a="1"/>
  <c r="K407" i="1" s="1"/>
  <c r="J407" i="1" a="1"/>
  <c r="J407" i="1" s="1"/>
  <c r="N366" i="1"/>
  <c r="T366" i="1" s="1"/>
  <c r="N368" i="1"/>
  <c r="T368" i="1" s="1"/>
  <c r="F374" i="1"/>
  <c r="J362" i="1" a="1"/>
  <c r="J362" i="1" s="1"/>
  <c r="K362" i="1" a="1"/>
  <c r="K362" i="1" s="1"/>
  <c r="F408" i="1"/>
  <c r="J396" i="1" a="1"/>
  <c r="J396" i="1" s="1"/>
  <c r="K396" i="1" a="1"/>
  <c r="K396" i="1" s="1"/>
  <c r="P372" i="1"/>
  <c r="S372" i="1" s="1"/>
  <c r="F413" i="1"/>
  <c r="K401" i="1" a="1"/>
  <c r="K401" i="1" s="1"/>
  <c r="J401" i="1" a="1"/>
  <c r="J401" i="1" s="1"/>
  <c r="F555" i="1"/>
  <c r="J543" i="1" a="1"/>
  <c r="J543" i="1" s="1"/>
  <c r="K543" i="1" a="1"/>
  <c r="K543" i="1" s="1"/>
  <c r="F417" i="1"/>
  <c r="K405" i="1" a="1"/>
  <c r="K405" i="1" s="1"/>
  <c r="J405" i="1" a="1"/>
  <c r="J405" i="1" s="1"/>
  <c r="N370" i="1"/>
  <c r="T370" i="1" s="1"/>
  <c r="F427" i="1"/>
  <c r="K415" i="1" a="1"/>
  <c r="K415" i="1" s="1"/>
  <c r="J415" i="1" a="1"/>
  <c r="J415" i="1" s="1"/>
  <c r="F392" i="1"/>
  <c r="J380" i="1" a="1"/>
  <c r="J380" i="1" s="1"/>
  <c r="K380" i="1" a="1"/>
  <c r="K380" i="1" s="1"/>
  <c r="F394" i="1"/>
  <c r="K382" i="1" a="1"/>
  <c r="K382" i="1" s="1"/>
  <c r="J382" i="1" a="1"/>
  <c r="J382" i="1" s="1"/>
  <c r="F390" i="1"/>
  <c r="J378" i="1" a="1"/>
  <c r="J378" i="1" s="1"/>
  <c r="K378" i="1" a="1"/>
  <c r="K378" i="1" s="1"/>
  <c r="F364" i="1"/>
  <c r="K352" i="1" a="1"/>
  <c r="K352" i="1" s="1"/>
  <c r="J352" i="1" a="1"/>
  <c r="J352" i="1" s="1"/>
  <c r="P389" i="1" l="1"/>
  <c r="S389" i="1" s="1"/>
  <c r="P349" i="1"/>
  <c r="S349" i="1" s="1"/>
  <c r="O407" i="1"/>
  <c r="M407" i="1"/>
  <c r="R407" i="1" s="1"/>
  <c r="O401" i="1"/>
  <c r="M401" i="1"/>
  <c r="R401" i="1" s="1"/>
  <c r="O396" i="1"/>
  <c r="M396" i="1"/>
  <c r="R396" i="1" s="1"/>
  <c r="O382" i="1"/>
  <c r="M382" i="1"/>
  <c r="R382" i="1" s="1"/>
  <c r="O380" i="1"/>
  <c r="M380" i="1"/>
  <c r="R380" i="1" s="1"/>
  <c r="O415" i="1"/>
  <c r="M415" i="1"/>
  <c r="R415" i="1" s="1"/>
  <c r="O378" i="1"/>
  <c r="M378" i="1"/>
  <c r="R378" i="1" s="1"/>
  <c r="O361" i="1"/>
  <c r="M361" i="1"/>
  <c r="R361" i="1" s="1"/>
  <c r="O362" i="1"/>
  <c r="M362" i="1"/>
  <c r="R362" i="1" s="1"/>
  <c r="O352" i="1"/>
  <c r="M352" i="1"/>
  <c r="O405" i="1"/>
  <c r="M405" i="1"/>
  <c r="R405" i="1" s="1"/>
  <c r="O543" i="1"/>
  <c r="M543" i="1"/>
  <c r="R543" i="1" s="1"/>
  <c r="P403" i="1"/>
  <c r="S403" i="1" s="1"/>
  <c r="P384" i="1"/>
  <c r="S384" i="1" s="1"/>
  <c r="P395" i="1"/>
  <c r="S395" i="1" s="1"/>
  <c r="P340" i="1"/>
  <c r="S340" i="1" s="1"/>
  <c r="P350" i="1"/>
  <c r="S350" i="1" s="1"/>
  <c r="P531" i="1"/>
  <c r="S531" i="1" s="1"/>
  <c r="N407" i="1"/>
  <c r="T407" i="1" s="1"/>
  <c r="N378" i="1"/>
  <c r="T378" i="1" s="1"/>
  <c r="N405" i="1"/>
  <c r="T405" i="1" s="1"/>
  <c r="N396" i="1"/>
  <c r="T396" i="1" s="1"/>
  <c r="N543" i="1"/>
  <c r="T543" i="1" s="1"/>
  <c r="P393" i="1"/>
  <c r="S393" i="1" s="1"/>
  <c r="N352" i="1"/>
  <c r="T352" i="1" s="1"/>
  <c r="R352" i="1"/>
  <c r="N380" i="1"/>
  <c r="T380" i="1" s="1"/>
  <c r="N415" i="1"/>
  <c r="T415" i="1" s="1"/>
  <c r="N361" i="1"/>
  <c r="T361" i="1" s="1"/>
  <c r="N382" i="1"/>
  <c r="T382" i="1" s="1"/>
  <c r="N401" i="1"/>
  <c r="T401" i="1" s="1"/>
  <c r="F385" i="1"/>
  <c r="K373" i="1" a="1"/>
  <c r="K373" i="1" s="1"/>
  <c r="J373" i="1" a="1"/>
  <c r="J373" i="1" s="1"/>
  <c r="P366" i="1"/>
  <c r="S366" i="1" s="1"/>
  <c r="F376" i="1"/>
  <c r="K364" i="1" a="1"/>
  <c r="K364" i="1" s="1"/>
  <c r="J364" i="1" a="1"/>
  <c r="J364" i="1" s="1"/>
  <c r="F439" i="1"/>
  <c r="K427" i="1" a="1"/>
  <c r="K427" i="1" s="1"/>
  <c r="J427" i="1" a="1"/>
  <c r="J427" i="1" s="1"/>
  <c r="F420" i="1"/>
  <c r="J408" i="1" a="1"/>
  <c r="J408" i="1" s="1"/>
  <c r="K408" i="1" a="1"/>
  <c r="K408" i="1" s="1"/>
  <c r="F402" i="1"/>
  <c r="J390" i="1" a="1"/>
  <c r="J390" i="1" s="1"/>
  <c r="K390" i="1" a="1"/>
  <c r="K390" i="1" s="1"/>
  <c r="F429" i="1"/>
  <c r="J417" i="1" a="1"/>
  <c r="J417" i="1" s="1"/>
  <c r="K417" i="1" a="1"/>
  <c r="K417" i="1" s="1"/>
  <c r="F567" i="1"/>
  <c r="K555" i="1" a="1"/>
  <c r="K555" i="1" s="1"/>
  <c r="J555" i="1" a="1"/>
  <c r="J555" i="1" s="1"/>
  <c r="F386" i="1"/>
  <c r="K374" i="1" a="1"/>
  <c r="K374" i="1" s="1"/>
  <c r="J374" i="1" a="1"/>
  <c r="J374" i="1" s="1"/>
  <c r="F425" i="1"/>
  <c r="K413" i="1" a="1"/>
  <c r="K413" i="1" s="1"/>
  <c r="J413" i="1" a="1"/>
  <c r="J413" i="1" s="1"/>
  <c r="F431" i="1"/>
  <c r="J419" i="1" a="1"/>
  <c r="J419" i="1" s="1"/>
  <c r="K419" i="1" a="1"/>
  <c r="K419" i="1" s="1"/>
  <c r="F404" i="1"/>
  <c r="J392" i="1" a="1"/>
  <c r="J392" i="1" s="1"/>
  <c r="K392" i="1" a="1"/>
  <c r="K392" i="1" s="1"/>
  <c r="N362" i="1"/>
  <c r="T362" i="1" s="1"/>
  <c r="P370" i="1"/>
  <c r="S370" i="1" s="1"/>
  <c r="F406" i="1"/>
  <c r="J394" i="1" a="1"/>
  <c r="J394" i="1" s="1"/>
  <c r="K394" i="1" a="1"/>
  <c r="K394" i="1" s="1"/>
  <c r="P368" i="1"/>
  <c r="S368" i="1" s="1"/>
  <c r="P352" i="1" l="1"/>
  <c r="S352" i="1" s="1"/>
  <c r="O364" i="1"/>
  <c r="M364" i="1"/>
  <c r="R364" i="1" s="1"/>
  <c r="O417" i="1"/>
  <c r="M417" i="1"/>
  <c r="R417" i="1" s="1"/>
  <c r="O392" i="1"/>
  <c r="M392" i="1"/>
  <c r="O373" i="1"/>
  <c r="M373" i="1"/>
  <c r="R373" i="1" s="1"/>
  <c r="P361" i="1"/>
  <c r="S361" i="1" s="1"/>
  <c r="O390" i="1"/>
  <c r="M390" i="1"/>
  <c r="R390" i="1" s="1"/>
  <c r="O374" i="1"/>
  <c r="M374" i="1"/>
  <c r="R374" i="1" s="1"/>
  <c r="O394" i="1"/>
  <c r="M394" i="1"/>
  <c r="R394" i="1" s="1"/>
  <c r="O419" i="1"/>
  <c r="M419" i="1"/>
  <c r="R419" i="1" s="1"/>
  <c r="O413" i="1"/>
  <c r="M413" i="1"/>
  <c r="R413" i="1" s="1"/>
  <c r="O555" i="1"/>
  <c r="M555" i="1"/>
  <c r="R555" i="1" s="1"/>
  <c r="O408" i="1"/>
  <c r="M408" i="1"/>
  <c r="R408" i="1" s="1"/>
  <c r="O427" i="1"/>
  <c r="M427" i="1"/>
  <c r="R427" i="1" s="1"/>
  <c r="P401" i="1"/>
  <c r="S401" i="1" s="1"/>
  <c r="P405" i="1"/>
  <c r="S405" i="1" s="1"/>
  <c r="P543" i="1"/>
  <c r="S543" i="1" s="1"/>
  <c r="P378" i="1"/>
  <c r="S378" i="1" s="1"/>
  <c r="P407" i="1"/>
  <c r="S407" i="1" s="1"/>
  <c r="P382" i="1"/>
  <c r="S382" i="1" s="1"/>
  <c r="P380" i="1"/>
  <c r="S380" i="1" s="1"/>
  <c r="P396" i="1"/>
  <c r="S396" i="1" s="1"/>
  <c r="N374" i="1"/>
  <c r="N427" i="1"/>
  <c r="T427" i="1" s="1"/>
  <c r="N394" i="1"/>
  <c r="T394" i="1" s="1"/>
  <c r="N413" i="1"/>
  <c r="T413" i="1" s="1"/>
  <c r="P415" i="1"/>
  <c r="S415" i="1" s="1"/>
  <c r="N390" i="1"/>
  <c r="T390" i="1" s="1"/>
  <c r="N392" i="1"/>
  <c r="T392" i="1" s="1"/>
  <c r="R392" i="1"/>
  <c r="N555" i="1"/>
  <c r="T555" i="1" s="1"/>
  <c r="N408" i="1"/>
  <c r="T408" i="1" s="1"/>
  <c r="N419" i="1"/>
  <c r="T419" i="1" s="1"/>
  <c r="N417" i="1"/>
  <c r="T417" i="1" s="1"/>
  <c r="N373" i="1"/>
  <c r="T373" i="1" s="1"/>
  <c r="F397" i="1"/>
  <c r="K385" i="1" a="1"/>
  <c r="K385" i="1" s="1"/>
  <c r="J385" i="1" a="1"/>
  <c r="J385" i="1" s="1"/>
  <c r="F416" i="1"/>
  <c r="J404" i="1" a="1"/>
  <c r="J404" i="1" s="1"/>
  <c r="K404" i="1" a="1"/>
  <c r="K404" i="1" s="1"/>
  <c r="F443" i="1"/>
  <c r="K431" i="1" a="1"/>
  <c r="K431" i="1" s="1"/>
  <c r="J431" i="1" a="1"/>
  <c r="J431" i="1" s="1"/>
  <c r="F451" i="1"/>
  <c r="K439" i="1" a="1"/>
  <c r="K439" i="1" s="1"/>
  <c r="J439" i="1" a="1"/>
  <c r="J439" i="1" s="1"/>
  <c r="N364" i="1"/>
  <c r="T364" i="1" s="1"/>
  <c r="F441" i="1"/>
  <c r="J429" i="1" a="1"/>
  <c r="J429" i="1" s="1"/>
  <c r="K429" i="1" a="1"/>
  <c r="K429" i="1" s="1"/>
  <c r="F388" i="1"/>
  <c r="K376" i="1" a="1"/>
  <c r="K376" i="1" s="1"/>
  <c r="J376" i="1" a="1"/>
  <c r="J376" i="1" s="1"/>
  <c r="F414" i="1"/>
  <c r="K402" i="1" a="1"/>
  <c r="K402" i="1" s="1"/>
  <c r="J402" i="1" a="1"/>
  <c r="J402" i="1" s="1"/>
  <c r="F579" i="1"/>
  <c r="K567" i="1" a="1"/>
  <c r="K567" i="1" s="1"/>
  <c r="J567" i="1" a="1"/>
  <c r="J567" i="1" s="1"/>
  <c r="P362" i="1"/>
  <c r="S362" i="1" s="1"/>
  <c r="F398" i="1"/>
  <c r="K386" i="1" a="1"/>
  <c r="K386" i="1" s="1"/>
  <c r="J386" i="1" a="1"/>
  <c r="J386" i="1" s="1"/>
  <c r="F432" i="1"/>
  <c r="K420" i="1" a="1"/>
  <c r="K420" i="1" s="1"/>
  <c r="J420" i="1" a="1"/>
  <c r="J420" i="1" s="1"/>
  <c r="F418" i="1"/>
  <c r="J406" i="1" a="1"/>
  <c r="J406" i="1" s="1"/>
  <c r="K406" i="1" a="1"/>
  <c r="K406" i="1" s="1"/>
  <c r="F437" i="1"/>
  <c r="J425" i="1" a="1"/>
  <c r="J425" i="1" s="1"/>
  <c r="K425" i="1" a="1"/>
  <c r="K425" i="1" s="1"/>
  <c r="O376" i="1" l="1"/>
  <c r="M376" i="1"/>
  <c r="O385" i="1"/>
  <c r="M385" i="1"/>
  <c r="R385" i="1" s="1"/>
  <c r="O406" i="1"/>
  <c r="M406" i="1"/>
  <c r="R406" i="1" s="1"/>
  <c r="O420" i="1"/>
  <c r="M420" i="1"/>
  <c r="R420" i="1" s="1"/>
  <c r="O429" i="1"/>
  <c r="M429" i="1"/>
  <c r="R429" i="1" s="1"/>
  <c r="O425" i="1"/>
  <c r="M425" i="1"/>
  <c r="R425" i="1" s="1"/>
  <c r="O386" i="1"/>
  <c r="M386" i="1"/>
  <c r="R386" i="1" s="1"/>
  <c r="O567" i="1"/>
  <c r="M567" i="1"/>
  <c r="R567" i="1" s="1"/>
  <c r="O431" i="1"/>
  <c r="M431" i="1"/>
  <c r="O402" i="1"/>
  <c r="M402" i="1"/>
  <c r="R402" i="1" s="1"/>
  <c r="O404" i="1"/>
  <c r="M404" i="1"/>
  <c r="R404" i="1" s="1"/>
  <c r="O439" i="1"/>
  <c r="M439" i="1"/>
  <c r="R439" i="1" s="1"/>
  <c r="P417" i="1"/>
  <c r="S417" i="1" s="1"/>
  <c r="P374" i="1"/>
  <c r="S374" i="1" s="1"/>
  <c r="T374" i="1"/>
  <c r="P408" i="1"/>
  <c r="S408" i="1" s="1"/>
  <c r="P390" i="1"/>
  <c r="S390" i="1" s="1"/>
  <c r="P394" i="1"/>
  <c r="S394" i="1" s="1"/>
  <c r="P555" i="1"/>
  <c r="S555" i="1" s="1"/>
  <c r="N386" i="1"/>
  <c r="T386" i="1" s="1"/>
  <c r="N385" i="1"/>
  <c r="T385" i="1" s="1"/>
  <c r="N406" i="1"/>
  <c r="T406" i="1" s="1"/>
  <c r="P413" i="1"/>
  <c r="S413" i="1" s="1"/>
  <c r="N404" i="1"/>
  <c r="T404" i="1" s="1"/>
  <c r="N425" i="1"/>
  <c r="T425" i="1" s="1"/>
  <c r="N567" i="1"/>
  <c r="P419" i="1"/>
  <c r="S419" i="1" s="1"/>
  <c r="N376" i="1"/>
  <c r="T376" i="1" s="1"/>
  <c r="R376" i="1"/>
  <c r="P392" i="1"/>
  <c r="S392" i="1" s="1"/>
  <c r="N439" i="1"/>
  <c r="T439" i="1" s="1"/>
  <c r="N431" i="1"/>
  <c r="T431" i="1" s="1"/>
  <c r="R431" i="1"/>
  <c r="N420" i="1"/>
  <c r="T420" i="1" s="1"/>
  <c r="P427" i="1"/>
  <c r="S427" i="1" s="1"/>
  <c r="N429" i="1"/>
  <c r="T429" i="1" s="1"/>
  <c r="N402" i="1"/>
  <c r="T402" i="1" s="1"/>
  <c r="F409" i="1"/>
  <c r="J397" i="1" a="1"/>
  <c r="J397" i="1" s="1"/>
  <c r="K397" i="1" a="1"/>
  <c r="K397" i="1" s="1"/>
  <c r="P373" i="1"/>
  <c r="S373" i="1" s="1"/>
  <c r="P364" i="1"/>
  <c r="S364" i="1" s="1"/>
  <c r="F463" i="1"/>
  <c r="J451" i="1" a="1"/>
  <c r="J451" i="1" s="1"/>
  <c r="K451" i="1" a="1"/>
  <c r="K451" i="1" s="1"/>
  <c r="P406" i="1"/>
  <c r="S406" i="1" s="1"/>
  <c r="F410" i="1"/>
  <c r="J398" i="1" a="1"/>
  <c r="J398" i="1" s="1"/>
  <c r="K398" i="1" a="1"/>
  <c r="K398" i="1" s="1"/>
  <c r="F453" i="1"/>
  <c r="K441" i="1" a="1"/>
  <c r="K441" i="1" s="1"/>
  <c r="J441" i="1" a="1"/>
  <c r="J441" i="1" s="1"/>
  <c r="F444" i="1"/>
  <c r="J432" i="1" a="1"/>
  <c r="J432" i="1" s="1"/>
  <c r="K432" i="1" a="1"/>
  <c r="K432" i="1" s="1"/>
  <c r="F400" i="1"/>
  <c r="K388" i="1" a="1"/>
  <c r="K388" i="1" s="1"/>
  <c r="J388" i="1" a="1"/>
  <c r="J388" i="1" s="1"/>
  <c r="F449" i="1"/>
  <c r="J437" i="1" a="1"/>
  <c r="J437" i="1" s="1"/>
  <c r="K437" i="1" a="1"/>
  <c r="K437" i="1" s="1"/>
  <c r="F430" i="1"/>
  <c r="K418" i="1" a="1"/>
  <c r="K418" i="1" s="1"/>
  <c r="J418" i="1" a="1"/>
  <c r="J418" i="1" s="1"/>
  <c r="F426" i="1"/>
  <c r="J414" i="1" a="1"/>
  <c r="J414" i="1" s="1"/>
  <c r="K414" i="1" a="1"/>
  <c r="K414" i="1" s="1"/>
  <c r="F428" i="1"/>
  <c r="J416" i="1" a="1"/>
  <c r="J416" i="1" s="1"/>
  <c r="K416" i="1" a="1"/>
  <c r="K416" i="1" s="1"/>
  <c r="F455" i="1"/>
  <c r="K443" i="1" a="1"/>
  <c r="K443" i="1" s="1"/>
  <c r="J443" i="1" a="1"/>
  <c r="J443" i="1" s="1"/>
  <c r="F591" i="1"/>
  <c r="J579" i="1" a="1"/>
  <c r="J579" i="1" s="1"/>
  <c r="K579" i="1" a="1"/>
  <c r="K579" i="1" s="1"/>
  <c r="P431" i="1" l="1"/>
  <c r="S431" i="1" s="1"/>
  <c r="O397" i="1"/>
  <c r="M397" i="1"/>
  <c r="R397" i="1" s="1"/>
  <c r="O418" i="1"/>
  <c r="M418" i="1"/>
  <c r="R418" i="1" s="1"/>
  <c r="O398" i="1"/>
  <c r="M398" i="1"/>
  <c r="O416" i="1"/>
  <c r="M416" i="1"/>
  <c r="O414" i="1"/>
  <c r="M414" i="1"/>
  <c r="R414" i="1" s="1"/>
  <c r="O443" i="1"/>
  <c r="M443" i="1"/>
  <c r="R443" i="1" s="1"/>
  <c r="O441" i="1"/>
  <c r="M441" i="1"/>
  <c r="R441" i="1" s="1"/>
  <c r="O451" i="1"/>
  <c r="M451" i="1"/>
  <c r="R451" i="1" s="1"/>
  <c r="O432" i="1"/>
  <c r="M432" i="1"/>
  <c r="R432" i="1" s="1"/>
  <c r="O437" i="1"/>
  <c r="M437" i="1"/>
  <c r="R437" i="1" s="1"/>
  <c r="O579" i="1"/>
  <c r="M579" i="1"/>
  <c r="R579" i="1" s="1"/>
  <c r="O388" i="1"/>
  <c r="M388" i="1"/>
  <c r="P429" i="1"/>
  <c r="S429" i="1" s="1"/>
  <c r="P386" i="1"/>
  <c r="S386" i="1" s="1"/>
  <c r="P439" i="1"/>
  <c r="S439" i="1" s="1"/>
  <c r="P567" i="1"/>
  <c r="S567" i="1" s="1"/>
  <c r="T567" i="1"/>
  <c r="P404" i="1"/>
  <c r="S404" i="1" s="1"/>
  <c r="P385" i="1"/>
  <c r="S385" i="1" s="1"/>
  <c r="P420" i="1"/>
  <c r="S420" i="1" s="1"/>
  <c r="P425" i="1"/>
  <c r="S425" i="1" s="1"/>
  <c r="N443" i="1"/>
  <c r="T443" i="1" s="1"/>
  <c r="P376" i="1"/>
  <c r="S376" i="1" s="1"/>
  <c r="N579" i="1"/>
  <c r="T579" i="1" s="1"/>
  <c r="N398" i="1"/>
  <c r="T398" i="1" s="1"/>
  <c r="R398" i="1"/>
  <c r="N416" i="1"/>
  <c r="T416" i="1" s="1"/>
  <c r="R416" i="1"/>
  <c r="N388" i="1"/>
  <c r="T388" i="1" s="1"/>
  <c r="R388" i="1"/>
  <c r="N451" i="1"/>
  <c r="T451" i="1" s="1"/>
  <c r="N418" i="1"/>
  <c r="T418" i="1" s="1"/>
  <c r="N437" i="1"/>
  <c r="T437" i="1" s="1"/>
  <c r="N414" i="1"/>
  <c r="T414" i="1" s="1"/>
  <c r="N397" i="1"/>
  <c r="T397" i="1" s="1"/>
  <c r="N441" i="1"/>
  <c r="T441" i="1" s="1"/>
  <c r="P402" i="1"/>
  <c r="S402" i="1" s="1"/>
  <c r="N432" i="1"/>
  <c r="T432" i="1" s="1"/>
  <c r="F421" i="1"/>
  <c r="K409" i="1" a="1"/>
  <c r="K409" i="1" s="1"/>
  <c r="J409" i="1" a="1"/>
  <c r="J409" i="1" s="1"/>
  <c r="F440" i="1"/>
  <c r="J428" i="1" a="1"/>
  <c r="J428" i="1" s="1"/>
  <c r="K428" i="1" a="1"/>
  <c r="K428" i="1" s="1"/>
  <c r="J591" i="1" a="1"/>
  <c r="J591" i="1" s="1"/>
  <c r="K591" i="1" a="1"/>
  <c r="K591" i="1" s="1"/>
  <c r="F467" i="1"/>
  <c r="J455" i="1" a="1"/>
  <c r="J455" i="1" s="1"/>
  <c r="K455" i="1" a="1"/>
  <c r="K455" i="1" s="1"/>
  <c r="F465" i="1"/>
  <c r="K453" i="1" a="1"/>
  <c r="K453" i="1" s="1"/>
  <c r="J453" i="1" a="1"/>
  <c r="J453" i="1" s="1"/>
  <c r="F438" i="1"/>
  <c r="K426" i="1" a="1"/>
  <c r="K426" i="1" s="1"/>
  <c r="J426" i="1" a="1"/>
  <c r="J426" i="1" s="1"/>
  <c r="F461" i="1"/>
  <c r="K449" i="1" a="1"/>
  <c r="K449" i="1" s="1"/>
  <c r="J449" i="1" a="1"/>
  <c r="J449" i="1" s="1"/>
  <c r="F456" i="1"/>
  <c r="J444" i="1" a="1"/>
  <c r="J444" i="1" s="1"/>
  <c r="K444" i="1" a="1"/>
  <c r="K444" i="1" s="1"/>
  <c r="F442" i="1"/>
  <c r="J430" i="1" a="1"/>
  <c r="J430" i="1" s="1"/>
  <c r="K430" i="1" a="1"/>
  <c r="K430" i="1" s="1"/>
  <c r="F475" i="1"/>
  <c r="K463" i="1" a="1"/>
  <c r="K463" i="1" s="1"/>
  <c r="J463" i="1" a="1"/>
  <c r="J463" i="1" s="1"/>
  <c r="F412" i="1"/>
  <c r="K400" i="1" a="1"/>
  <c r="K400" i="1" s="1"/>
  <c r="J400" i="1" a="1"/>
  <c r="J400" i="1" s="1"/>
  <c r="F422" i="1"/>
  <c r="K410" i="1" a="1"/>
  <c r="K410" i="1" s="1"/>
  <c r="J410" i="1" a="1"/>
  <c r="J410" i="1" s="1"/>
  <c r="P414" i="1" l="1"/>
  <c r="S414" i="1" s="1"/>
  <c r="P579" i="1"/>
  <c r="S579" i="1" s="1"/>
  <c r="O410" i="1"/>
  <c r="M410" i="1"/>
  <c r="O409" i="1"/>
  <c r="M409" i="1"/>
  <c r="R409" i="1" s="1"/>
  <c r="O430" i="1"/>
  <c r="M430" i="1"/>
  <c r="O455" i="1"/>
  <c r="M455" i="1"/>
  <c r="R455" i="1" s="1"/>
  <c r="O428" i="1"/>
  <c r="M428" i="1"/>
  <c r="R428" i="1" s="1"/>
  <c r="O400" i="1"/>
  <c r="M400" i="1"/>
  <c r="R400" i="1" s="1"/>
  <c r="O463" i="1"/>
  <c r="P463" i="1" s="1"/>
  <c r="S463" i="1" s="1"/>
  <c r="M463" i="1"/>
  <c r="R463" i="1" s="1"/>
  <c r="O444" i="1"/>
  <c r="M444" i="1"/>
  <c r="R444" i="1" s="1"/>
  <c r="O591" i="1"/>
  <c r="M591" i="1"/>
  <c r="R591" i="1" s="1"/>
  <c r="O426" i="1"/>
  <c r="M426" i="1"/>
  <c r="R426" i="1" s="1"/>
  <c r="O453" i="1"/>
  <c r="M453" i="1"/>
  <c r="R453" i="1" s="1"/>
  <c r="O449" i="1"/>
  <c r="M449" i="1"/>
  <c r="R449" i="1" s="1"/>
  <c r="P432" i="1"/>
  <c r="S432" i="1" s="1"/>
  <c r="P398" i="1"/>
  <c r="S398" i="1" s="1"/>
  <c r="P443" i="1"/>
  <c r="S443" i="1" s="1"/>
  <c r="P397" i="1"/>
  <c r="S397" i="1" s="1"/>
  <c r="P441" i="1"/>
  <c r="S441" i="1" s="1"/>
  <c r="P388" i="1"/>
  <c r="S388" i="1" s="1"/>
  <c r="P416" i="1"/>
  <c r="S416" i="1" s="1"/>
  <c r="P437" i="1"/>
  <c r="S437" i="1" s="1"/>
  <c r="N455" i="1"/>
  <c r="T455" i="1" s="1"/>
  <c r="N449" i="1"/>
  <c r="T449" i="1" s="1"/>
  <c r="N463" i="1"/>
  <c r="T463" i="1" s="1"/>
  <c r="N591" i="1"/>
  <c r="T591" i="1" s="1"/>
  <c r="N400" i="1"/>
  <c r="T400" i="1" s="1"/>
  <c r="N426" i="1"/>
  <c r="T426" i="1" s="1"/>
  <c r="P451" i="1"/>
  <c r="S451" i="1" s="1"/>
  <c r="N430" i="1"/>
  <c r="T430" i="1" s="1"/>
  <c r="R430" i="1"/>
  <c r="P418" i="1"/>
  <c r="S418" i="1" s="1"/>
  <c r="N410" i="1"/>
  <c r="T410" i="1" s="1"/>
  <c r="R410" i="1"/>
  <c r="N453" i="1"/>
  <c r="T453" i="1" s="1"/>
  <c r="N444" i="1"/>
  <c r="T444" i="1" s="1"/>
  <c r="N409" i="1"/>
  <c r="T409" i="1" s="1"/>
  <c r="N428" i="1"/>
  <c r="T428" i="1" s="1"/>
  <c r="F433" i="1"/>
  <c r="K421" i="1" a="1"/>
  <c r="K421" i="1" s="1"/>
  <c r="J421" i="1" a="1"/>
  <c r="J421" i="1" s="1"/>
  <c r="F450" i="1"/>
  <c r="K438" i="1" a="1"/>
  <c r="K438" i="1" s="1"/>
  <c r="J438" i="1" a="1"/>
  <c r="J438" i="1" s="1"/>
  <c r="F452" i="1"/>
  <c r="K440" i="1" a="1"/>
  <c r="K440" i="1" s="1"/>
  <c r="J440" i="1" a="1"/>
  <c r="J440" i="1" s="1"/>
  <c r="F454" i="1"/>
  <c r="J442" i="1" a="1"/>
  <c r="J442" i="1" s="1"/>
  <c r="K442" i="1" a="1"/>
  <c r="K442" i="1" s="1"/>
  <c r="F473" i="1"/>
  <c r="J461" i="1" a="1"/>
  <c r="J461" i="1" s="1"/>
  <c r="K461" i="1" a="1"/>
  <c r="K461" i="1" s="1"/>
  <c r="F479" i="1"/>
  <c r="J467" i="1" a="1"/>
  <c r="J467" i="1" s="1"/>
  <c r="K467" i="1" a="1"/>
  <c r="K467" i="1" s="1"/>
  <c r="F477" i="1"/>
  <c r="J465" i="1" a="1"/>
  <c r="J465" i="1" s="1"/>
  <c r="K465" i="1" a="1"/>
  <c r="K465" i="1" s="1"/>
  <c r="F424" i="1"/>
  <c r="J412" i="1" a="1"/>
  <c r="J412" i="1" s="1"/>
  <c r="K412" i="1" a="1"/>
  <c r="K412" i="1" s="1"/>
  <c r="P455" i="1"/>
  <c r="S455" i="1" s="1"/>
  <c r="P449" i="1"/>
  <c r="S449" i="1" s="1"/>
  <c r="F468" i="1"/>
  <c r="K456" i="1" a="1"/>
  <c r="K456" i="1" s="1"/>
  <c r="J456" i="1" a="1"/>
  <c r="J456" i="1" s="1"/>
  <c r="F487" i="1"/>
  <c r="K475" i="1" a="1"/>
  <c r="K475" i="1" s="1"/>
  <c r="J475" i="1" a="1"/>
  <c r="J475" i="1" s="1"/>
  <c r="F434" i="1"/>
  <c r="K422" i="1" a="1"/>
  <c r="K422" i="1" s="1"/>
  <c r="J422" i="1" a="1"/>
  <c r="J422" i="1" s="1"/>
  <c r="O438" i="1" l="1"/>
  <c r="M438" i="1"/>
  <c r="R438" i="1" s="1"/>
  <c r="O421" i="1"/>
  <c r="M421" i="1"/>
  <c r="O465" i="1"/>
  <c r="M465" i="1"/>
  <c r="R465" i="1" s="1"/>
  <c r="O467" i="1"/>
  <c r="M467" i="1"/>
  <c r="R467" i="1" s="1"/>
  <c r="O461" i="1"/>
  <c r="M461" i="1"/>
  <c r="R461" i="1" s="1"/>
  <c r="O442" i="1"/>
  <c r="M442" i="1"/>
  <c r="O440" i="1"/>
  <c r="M440" i="1"/>
  <c r="R440" i="1" s="1"/>
  <c r="O422" i="1"/>
  <c r="M422" i="1"/>
  <c r="R422" i="1" s="1"/>
  <c r="O475" i="1"/>
  <c r="M475" i="1"/>
  <c r="O456" i="1"/>
  <c r="M456" i="1"/>
  <c r="R456" i="1" s="1"/>
  <c r="O412" i="1"/>
  <c r="M412" i="1"/>
  <c r="P410" i="1"/>
  <c r="S410" i="1" s="1"/>
  <c r="P453" i="1"/>
  <c r="S453" i="1" s="1"/>
  <c r="P400" i="1"/>
  <c r="S400" i="1" s="1"/>
  <c r="P444" i="1"/>
  <c r="S444" i="1" s="1"/>
  <c r="P591" i="1"/>
  <c r="S591" i="1" s="1"/>
  <c r="P409" i="1"/>
  <c r="S409" i="1" s="1"/>
  <c r="N421" i="1"/>
  <c r="T421" i="1" s="1"/>
  <c r="R421" i="1"/>
  <c r="N442" i="1"/>
  <c r="T442" i="1" s="1"/>
  <c r="R442" i="1"/>
  <c r="N465" i="1"/>
  <c r="T465" i="1" s="1"/>
  <c r="N438" i="1"/>
  <c r="T438" i="1" s="1"/>
  <c r="P430" i="1"/>
  <c r="S430" i="1" s="1"/>
  <c r="N440" i="1"/>
  <c r="T440" i="1" s="1"/>
  <c r="N456" i="1"/>
  <c r="T456" i="1" s="1"/>
  <c r="N422" i="1"/>
  <c r="T422" i="1" s="1"/>
  <c r="P426" i="1"/>
  <c r="S426" i="1" s="1"/>
  <c r="N475" i="1"/>
  <c r="T475" i="1" s="1"/>
  <c r="R475" i="1"/>
  <c r="N412" i="1"/>
  <c r="T412" i="1" s="1"/>
  <c r="R412" i="1"/>
  <c r="P428" i="1"/>
  <c r="S428" i="1" s="1"/>
  <c r="N461" i="1"/>
  <c r="T461" i="1" s="1"/>
  <c r="N467" i="1"/>
  <c r="T467" i="1" s="1"/>
  <c r="K433" i="1" a="1"/>
  <c r="K433" i="1" s="1"/>
  <c r="F445" i="1"/>
  <c r="J433" i="1" a="1"/>
  <c r="J433" i="1" s="1"/>
  <c r="F436" i="1"/>
  <c r="K424" i="1" a="1"/>
  <c r="K424" i="1" s="1"/>
  <c r="J424" i="1" a="1"/>
  <c r="J424" i="1" s="1"/>
  <c r="F464" i="1"/>
  <c r="K452" i="1" a="1"/>
  <c r="K452" i="1" s="1"/>
  <c r="J452" i="1" a="1"/>
  <c r="J452" i="1" s="1"/>
  <c r="F446" i="1"/>
  <c r="J434" i="1" a="1"/>
  <c r="J434" i="1" s="1"/>
  <c r="K434" i="1" a="1"/>
  <c r="K434" i="1" s="1"/>
  <c r="F499" i="1"/>
  <c r="J487" i="1" a="1"/>
  <c r="J487" i="1" s="1"/>
  <c r="K487" i="1" a="1"/>
  <c r="K487" i="1" s="1"/>
  <c r="F462" i="1"/>
  <c r="K450" i="1" a="1"/>
  <c r="K450" i="1" s="1"/>
  <c r="J450" i="1" a="1"/>
  <c r="J450" i="1" s="1"/>
  <c r="F491" i="1"/>
  <c r="J479" i="1" a="1"/>
  <c r="J479" i="1" s="1"/>
  <c r="K479" i="1" a="1"/>
  <c r="K479" i="1" s="1"/>
  <c r="F489" i="1"/>
  <c r="K477" i="1" a="1"/>
  <c r="K477" i="1" s="1"/>
  <c r="J477" i="1" a="1"/>
  <c r="J477" i="1" s="1"/>
  <c r="F485" i="1"/>
  <c r="J473" i="1" a="1"/>
  <c r="J473" i="1" s="1"/>
  <c r="K473" i="1" a="1"/>
  <c r="K473" i="1" s="1"/>
  <c r="F480" i="1"/>
  <c r="K468" i="1" a="1"/>
  <c r="K468" i="1" s="1"/>
  <c r="J468" i="1" a="1"/>
  <c r="J468" i="1" s="1"/>
  <c r="F466" i="1"/>
  <c r="J454" i="1" a="1"/>
  <c r="J454" i="1" s="1"/>
  <c r="K454" i="1" a="1"/>
  <c r="K454" i="1" s="1"/>
  <c r="O452" i="1" l="1"/>
  <c r="M452" i="1"/>
  <c r="R452" i="1" s="1"/>
  <c r="O454" i="1"/>
  <c r="M454" i="1"/>
  <c r="P421" i="1"/>
  <c r="S421" i="1" s="1"/>
  <c r="O473" i="1"/>
  <c r="M473" i="1"/>
  <c r="R473" i="1" s="1"/>
  <c r="P412" i="1"/>
  <c r="S412" i="1" s="1"/>
  <c r="O487" i="1"/>
  <c r="M487" i="1"/>
  <c r="R487" i="1" s="1"/>
  <c r="O477" i="1"/>
  <c r="M477" i="1"/>
  <c r="R477" i="1" s="1"/>
  <c r="O479" i="1"/>
  <c r="M479" i="1"/>
  <c r="R479" i="1" s="1"/>
  <c r="O433" i="1"/>
  <c r="M433" i="1"/>
  <c r="R433" i="1" s="1"/>
  <c r="O468" i="1"/>
  <c r="M468" i="1"/>
  <c r="R468" i="1" s="1"/>
  <c r="O424" i="1"/>
  <c r="M424" i="1"/>
  <c r="R424" i="1" s="1"/>
  <c r="O450" i="1"/>
  <c r="M450" i="1"/>
  <c r="O434" i="1"/>
  <c r="M434" i="1"/>
  <c r="R434" i="1" s="1"/>
  <c r="P465" i="1"/>
  <c r="S465" i="1" s="1"/>
  <c r="P475" i="1"/>
  <c r="S475" i="1" s="1"/>
  <c r="P442" i="1"/>
  <c r="S442" i="1" s="1"/>
  <c r="P461" i="1"/>
  <c r="S461" i="1" s="1"/>
  <c r="N450" i="1"/>
  <c r="T450" i="1" s="1"/>
  <c r="R450" i="1"/>
  <c r="P456" i="1"/>
  <c r="S456" i="1" s="1"/>
  <c r="N473" i="1"/>
  <c r="T473" i="1" s="1"/>
  <c r="N434" i="1"/>
  <c r="T434" i="1" s="1"/>
  <c r="N424" i="1"/>
  <c r="T424" i="1" s="1"/>
  <c r="N487" i="1"/>
  <c r="T487" i="1" s="1"/>
  <c r="N477" i="1"/>
  <c r="T477" i="1" s="1"/>
  <c r="N479" i="1"/>
  <c r="T479" i="1" s="1"/>
  <c r="N452" i="1"/>
  <c r="T452" i="1" s="1"/>
  <c r="N468" i="1"/>
  <c r="T468" i="1" s="1"/>
  <c r="N433" i="1"/>
  <c r="T433" i="1" s="1"/>
  <c r="P438" i="1"/>
  <c r="S438" i="1" s="1"/>
  <c r="P422" i="1"/>
  <c r="S422" i="1" s="1"/>
  <c r="P467" i="1"/>
  <c r="S467" i="1" s="1"/>
  <c r="N454" i="1"/>
  <c r="T454" i="1" s="1"/>
  <c r="R454" i="1"/>
  <c r="P440" i="1"/>
  <c r="S440" i="1" s="1"/>
  <c r="K445" i="1" a="1"/>
  <c r="K445" i="1" s="1"/>
  <c r="J445" i="1" a="1"/>
  <c r="J445" i="1" s="1"/>
  <c r="F457" i="1"/>
  <c r="F492" i="1"/>
  <c r="K480" i="1" a="1"/>
  <c r="K480" i="1" s="1"/>
  <c r="J480" i="1" a="1"/>
  <c r="J480" i="1" s="1"/>
  <c r="F497" i="1"/>
  <c r="J485" i="1" a="1"/>
  <c r="J485" i="1" s="1"/>
  <c r="K485" i="1" a="1"/>
  <c r="K485" i="1" s="1"/>
  <c r="F501" i="1"/>
  <c r="K489" i="1" a="1"/>
  <c r="K489" i="1" s="1"/>
  <c r="J489" i="1" a="1"/>
  <c r="J489" i="1" s="1"/>
  <c r="F503" i="1"/>
  <c r="J491" i="1" a="1"/>
  <c r="J491" i="1" s="1"/>
  <c r="K491" i="1" a="1"/>
  <c r="K491" i="1" s="1"/>
  <c r="F511" i="1"/>
  <c r="K499" i="1" a="1"/>
  <c r="K499" i="1" s="1"/>
  <c r="J499" i="1" a="1"/>
  <c r="J499" i="1" s="1"/>
  <c r="F476" i="1"/>
  <c r="J464" i="1" a="1"/>
  <c r="J464" i="1" s="1"/>
  <c r="K464" i="1" a="1"/>
  <c r="K464" i="1" s="1"/>
  <c r="F458" i="1"/>
  <c r="J446" i="1" a="1"/>
  <c r="J446" i="1" s="1"/>
  <c r="K446" i="1" a="1"/>
  <c r="K446" i="1" s="1"/>
  <c r="F478" i="1"/>
  <c r="J466" i="1" a="1"/>
  <c r="J466" i="1" s="1"/>
  <c r="K466" i="1" a="1"/>
  <c r="K466" i="1" s="1"/>
  <c r="F474" i="1"/>
  <c r="J462" i="1" a="1"/>
  <c r="J462" i="1" s="1"/>
  <c r="K462" i="1" a="1"/>
  <c r="K462" i="1" s="1"/>
  <c r="F448" i="1"/>
  <c r="K436" i="1" a="1"/>
  <c r="K436" i="1" s="1"/>
  <c r="J436" i="1" a="1"/>
  <c r="J436" i="1" s="1"/>
  <c r="P450" i="1" l="1"/>
  <c r="S450" i="1" s="1"/>
  <c r="O464" i="1"/>
  <c r="M464" i="1"/>
  <c r="R464" i="1" s="1"/>
  <c r="O445" i="1"/>
  <c r="M445" i="1"/>
  <c r="R445" i="1" s="1"/>
  <c r="O462" i="1"/>
  <c r="M462" i="1"/>
  <c r="O491" i="1"/>
  <c r="M491" i="1"/>
  <c r="R491" i="1" s="1"/>
  <c r="O466" i="1"/>
  <c r="M466" i="1"/>
  <c r="R466" i="1" s="1"/>
  <c r="O489" i="1"/>
  <c r="M489" i="1"/>
  <c r="R489" i="1" s="1"/>
  <c r="O485" i="1"/>
  <c r="M485" i="1"/>
  <c r="R485" i="1" s="1"/>
  <c r="O499" i="1"/>
  <c r="M499" i="1"/>
  <c r="R499" i="1" s="1"/>
  <c r="O480" i="1"/>
  <c r="M480" i="1"/>
  <c r="R480" i="1" s="1"/>
  <c r="P468" i="1"/>
  <c r="S468" i="1" s="1"/>
  <c r="O436" i="1"/>
  <c r="M436" i="1"/>
  <c r="R436" i="1" s="1"/>
  <c r="P433" i="1"/>
  <c r="S433" i="1" s="1"/>
  <c r="O446" i="1"/>
  <c r="M446" i="1"/>
  <c r="R446" i="1" s="1"/>
  <c r="P424" i="1"/>
  <c r="S424" i="1" s="1"/>
  <c r="P473" i="1"/>
  <c r="S473" i="1" s="1"/>
  <c r="P454" i="1"/>
  <c r="S454" i="1" s="1"/>
  <c r="P434" i="1"/>
  <c r="S434" i="1" s="1"/>
  <c r="P477" i="1"/>
  <c r="S477" i="1" s="1"/>
  <c r="N462" i="1"/>
  <c r="T462" i="1" s="1"/>
  <c r="R462" i="1"/>
  <c r="N485" i="1"/>
  <c r="T485" i="1" s="1"/>
  <c r="N464" i="1"/>
  <c r="T464" i="1" s="1"/>
  <c r="N436" i="1"/>
  <c r="T436" i="1" s="1"/>
  <c r="N446" i="1"/>
  <c r="T446" i="1" s="1"/>
  <c r="N489" i="1"/>
  <c r="P452" i="1"/>
  <c r="S452" i="1" s="1"/>
  <c r="P479" i="1"/>
  <c r="S479" i="1" s="1"/>
  <c r="N480" i="1"/>
  <c r="T480" i="1" s="1"/>
  <c r="N466" i="1"/>
  <c r="T466" i="1" s="1"/>
  <c r="N445" i="1"/>
  <c r="T445" i="1" s="1"/>
  <c r="N499" i="1"/>
  <c r="T499" i="1" s="1"/>
  <c r="N491" i="1"/>
  <c r="T491" i="1" s="1"/>
  <c r="P487" i="1"/>
  <c r="S487" i="1" s="1"/>
  <c r="K457" i="1" a="1"/>
  <c r="K457" i="1" s="1"/>
  <c r="F469" i="1"/>
  <c r="J457" i="1" a="1"/>
  <c r="J457" i="1" s="1"/>
  <c r="F490" i="1"/>
  <c r="K478" i="1" a="1"/>
  <c r="K478" i="1" s="1"/>
  <c r="J478" i="1" a="1"/>
  <c r="J478" i="1" s="1"/>
  <c r="F513" i="1"/>
  <c r="K501" i="1" a="1"/>
  <c r="K501" i="1" s="1"/>
  <c r="J501" i="1" a="1"/>
  <c r="J501" i="1" s="1"/>
  <c r="F488" i="1"/>
  <c r="J476" i="1" a="1"/>
  <c r="J476" i="1" s="1"/>
  <c r="K476" i="1" a="1"/>
  <c r="K476" i="1" s="1"/>
  <c r="F523" i="1"/>
  <c r="J511" i="1" a="1"/>
  <c r="J511" i="1" s="1"/>
  <c r="K511" i="1" a="1"/>
  <c r="K511" i="1" s="1"/>
  <c r="F460" i="1"/>
  <c r="J448" i="1" a="1"/>
  <c r="J448" i="1" s="1"/>
  <c r="K448" i="1" a="1"/>
  <c r="K448" i="1" s="1"/>
  <c r="F486" i="1"/>
  <c r="K474" i="1" a="1"/>
  <c r="K474" i="1" s="1"/>
  <c r="J474" i="1" a="1"/>
  <c r="J474" i="1" s="1"/>
  <c r="F509" i="1"/>
  <c r="K497" i="1" a="1"/>
  <c r="K497" i="1" s="1"/>
  <c r="J497" i="1" a="1"/>
  <c r="J497" i="1" s="1"/>
  <c r="F515" i="1"/>
  <c r="J503" i="1" a="1"/>
  <c r="J503" i="1" s="1"/>
  <c r="K503" i="1" a="1"/>
  <c r="K503" i="1" s="1"/>
  <c r="F504" i="1"/>
  <c r="J492" i="1" a="1"/>
  <c r="J492" i="1" s="1"/>
  <c r="K492" i="1" a="1"/>
  <c r="K492" i="1" s="1"/>
  <c r="F470" i="1"/>
  <c r="J458" i="1" a="1"/>
  <c r="J458" i="1" s="1"/>
  <c r="K458" i="1" a="1"/>
  <c r="K458" i="1" s="1"/>
  <c r="O501" i="1" l="1"/>
  <c r="M501" i="1"/>
  <c r="R501" i="1" s="1"/>
  <c r="O497" i="1"/>
  <c r="M497" i="1"/>
  <c r="O458" i="1"/>
  <c r="M458" i="1"/>
  <c r="R458" i="1" s="1"/>
  <c r="O448" i="1"/>
  <c r="M448" i="1"/>
  <c r="R448" i="1" s="1"/>
  <c r="O457" i="1"/>
  <c r="M457" i="1"/>
  <c r="R457" i="1" s="1"/>
  <c r="O492" i="1"/>
  <c r="M492" i="1"/>
  <c r="R492" i="1" s="1"/>
  <c r="O511" i="1"/>
  <c r="M511" i="1"/>
  <c r="R511" i="1" s="1"/>
  <c r="O503" i="1"/>
  <c r="M503" i="1"/>
  <c r="R503" i="1" s="1"/>
  <c r="O478" i="1"/>
  <c r="M478" i="1"/>
  <c r="R478" i="1" s="1"/>
  <c r="O474" i="1"/>
  <c r="M474" i="1"/>
  <c r="R474" i="1" s="1"/>
  <c r="P462" i="1"/>
  <c r="S462" i="1" s="1"/>
  <c r="O476" i="1"/>
  <c r="M476" i="1"/>
  <c r="R476" i="1" s="1"/>
  <c r="P485" i="1"/>
  <c r="S485" i="1" s="1"/>
  <c r="P499" i="1"/>
  <c r="S499" i="1" s="1"/>
  <c r="P489" i="1"/>
  <c r="S489" i="1" s="1"/>
  <c r="T489" i="1"/>
  <c r="P491" i="1"/>
  <c r="S491" i="1" s="1"/>
  <c r="P466" i="1"/>
  <c r="S466" i="1" s="1"/>
  <c r="P445" i="1"/>
  <c r="S445" i="1" s="1"/>
  <c r="P436" i="1"/>
  <c r="S436" i="1" s="1"/>
  <c r="N503" i="1"/>
  <c r="T503" i="1" s="1"/>
  <c r="N511" i="1"/>
  <c r="T511" i="1" s="1"/>
  <c r="N457" i="1"/>
  <c r="T457" i="1" s="1"/>
  <c r="P480" i="1"/>
  <c r="S480" i="1" s="1"/>
  <c r="N458" i="1"/>
  <c r="T458" i="1" s="1"/>
  <c r="P464" i="1"/>
  <c r="S464" i="1" s="1"/>
  <c r="N501" i="1"/>
  <c r="T501" i="1" s="1"/>
  <c r="N474" i="1"/>
  <c r="T474" i="1" s="1"/>
  <c r="P446" i="1"/>
  <c r="S446" i="1" s="1"/>
  <c r="N497" i="1"/>
  <c r="T497" i="1" s="1"/>
  <c r="R497" i="1"/>
  <c r="N448" i="1"/>
  <c r="T448" i="1" s="1"/>
  <c r="N476" i="1"/>
  <c r="T476" i="1" s="1"/>
  <c r="N492" i="1"/>
  <c r="T492" i="1" s="1"/>
  <c r="N478" i="1"/>
  <c r="T478" i="1" s="1"/>
  <c r="F481" i="1"/>
  <c r="J469" i="1" a="1"/>
  <c r="J469" i="1" s="1"/>
  <c r="K469" i="1" a="1"/>
  <c r="K469" i="1" s="1"/>
  <c r="F535" i="1"/>
  <c r="K523" i="1" a="1"/>
  <c r="K523" i="1" s="1"/>
  <c r="J523" i="1" a="1"/>
  <c r="J523" i="1" s="1"/>
  <c r="F500" i="1"/>
  <c r="J488" i="1" a="1"/>
  <c r="J488" i="1" s="1"/>
  <c r="K488" i="1" a="1"/>
  <c r="K488" i="1" s="1"/>
  <c r="F502" i="1"/>
  <c r="K490" i="1" a="1"/>
  <c r="K490" i="1" s="1"/>
  <c r="J490" i="1" a="1"/>
  <c r="J490" i="1" s="1"/>
  <c r="F482" i="1"/>
  <c r="J470" i="1" a="1"/>
  <c r="J470" i="1" s="1"/>
  <c r="K470" i="1" a="1"/>
  <c r="K470" i="1" s="1"/>
  <c r="F498" i="1"/>
  <c r="J486" i="1" a="1"/>
  <c r="J486" i="1" s="1"/>
  <c r="K486" i="1" a="1"/>
  <c r="K486" i="1" s="1"/>
  <c r="F525" i="1"/>
  <c r="J513" i="1" a="1"/>
  <c r="J513" i="1" s="1"/>
  <c r="K513" i="1" a="1"/>
  <c r="K513" i="1" s="1"/>
  <c r="F521" i="1"/>
  <c r="K509" i="1" a="1"/>
  <c r="K509" i="1" s="1"/>
  <c r="J509" i="1" a="1"/>
  <c r="J509" i="1" s="1"/>
  <c r="F472" i="1"/>
  <c r="J460" i="1" a="1"/>
  <c r="J460" i="1" s="1"/>
  <c r="K460" i="1" a="1"/>
  <c r="K460" i="1" s="1"/>
  <c r="F527" i="1"/>
  <c r="K515" i="1" a="1"/>
  <c r="K515" i="1" s="1"/>
  <c r="J515" i="1" a="1"/>
  <c r="J515" i="1" s="1"/>
  <c r="F516" i="1"/>
  <c r="J504" i="1" a="1"/>
  <c r="J504" i="1" s="1"/>
  <c r="K504" i="1" a="1"/>
  <c r="K504" i="1" s="1"/>
  <c r="O469" i="1" l="1"/>
  <c r="M469" i="1"/>
  <c r="R469" i="1" s="1"/>
  <c r="O515" i="1"/>
  <c r="M515" i="1"/>
  <c r="O470" i="1"/>
  <c r="M470" i="1"/>
  <c r="O504" i="1"/>
  <c r="M504" i="1"/>
  <c r="R504" i="1" s="1"/>
  <c r="O490" i="1"/>
  <c r="M490" i="1"/>
  <c r="R490" i="1" s="1"/>
  <c r="O509" i="1"/>
  <c r="M509" i="1"/>
  <c r="R509" i="1" s="1"/>
  <c r="O523" i="1"/>
  <c r="M523" i="1"/>
  <c r="R523" i="1" s="1"/>
  <c r="O460" i="1"/>
  <c r="M460" i="1"/>
  <c r="R460" i="1" s="1"/>
  <c r="O488" i="1"/>
  <c r="M488" i="1"/>
  <c r="R488" i="1" s="1"/>
  <c r="O513" i="1"/>
  <c r="M513" i="1"/>
  <c r="R513" i="1" s="1"/>
  <c r="O486" i="1"/>
  <c r="M486" i="1"/>
  <c r="P503" i="1"/>
  <c r="S503" i="1" s="1"/>
  <c r="P476" i="1"/>
  <c r="S476" i="1" s="1"/>
  <c r="P448" i="1"/>
  <c r="S448" i="1" s="1"/>
  <c r="P511" i="1"/>
  <c r="S511" i="1" s="1"/>
  <c r="P457" i="1"/>
  <c r="S457" i="1" s="1"/>
  <c r="P458" i="1"/>
  <c r="S458" i="1" s="1"/>
  <c r="P492" i="1"/>
  <c r="S492" i="1" s="1"/>
  <c r="P478" i="1"/>
  <c r="S478" i="1" s="1"/>
  <c r="N469" i="1"/>
  <c r="T469" i="1" s="1"/>
  <c r="N509" i="1"/>
  <c r="T509" i="1" s="1"/>
  <c r="N513" i="1"/>
  <c r="T513" i="1" s="1"/>
  <c r="N504" i="1"/>
  <c r="T504" i="1" s="1"/>
  <c r="P501" i="1"/>
  <c r="S501" i="1" s="1"/>
  <c r="N515" i="1"/>
  <c r="T515" i="1" s="1"/>
  <c r="R515" i="1"/>
  <c r="N488" i="1"/>
  <c r="T488" i="1" s="1"/>
  <c r="N523" i="1"/>
  <c r="T523" i="1" s="1"/>
  <c r="N470" i="1"/>
  <c r="T470" i="1" s="1"/>
  <c r="R470" i="1"/>
  <c r="N460" i="1"/>
  <c r="T460" i="1" s="1"/>
  <c r="N490" i="1"/>
  <c r="T490" i="1" s="1"/>
  <c r="N486" i="1"/>
  <c r="T486" i="1" s="1"/>
  <c r="R486" i="1"/>
  <c r="P474" i="1"/>
  <c r="S474" i="1" s="1"/>
  <c r="P497" i="1"/>
  <c r="S497" i="1" s="1"/>
  <c r="F493" i="1"/>
  <c r="K481" i="1" a="1"/>
  <c r="K481" i="1" s="1"/>
  <c r="J481" i="1" a="1"/>
  <c r="J481" i="1" s="1"/>
  <c r="F539" i="1"/>
  <c r="K527" i="1" a="1"/>
  <c r="K527" i="1" s="1"/>
  <c r="J527" i="1" a="1"/>
  <c r="J527" i="1" s="1"/>
  <c r="F512" i="1"/>
  <c r="K500" i="1" a="1"/>
  <c r="K500" i="1" s="1"/>
  <c r="J500" i="1" a="1"/>
  <c r="J500" i="1" s="1"/>
  <c r="F533" i="1"/>
  <c r="J521" i="1" a="1"/>
  <c r="J521" i="1" s="1"/>
  <c r="K521" i="1" a="1"/>
  <c r="K521" i="1" s="1"/>
  <c r="F510" i="1"/>
  <c r="J498" i="1" a="1"/>
  <c r="J498" i="1" s="1"/>
  <c r="K498" i="1" a="1"/>
  <c r="K498" i="1" s="1"/>
  <c r="F484" i="1"/>
  <c r="K472" i="1" a="1"/>
  <c r="K472" i="1" s="1"/>
  <c r="J472" i="1" a="1"/>
  <c r="J472" i="1" s="1"/>
  <c r="F514" i="1"/>
  <c r="J502" i="1" a="1"/>
  <c r="J502" i="1" s="1"/>
  <c r="K502" i="1" a="1"/>
  <c r="K502" i="1" s="1"/>
  <c r="F537" i="1"/>
  <c r="J525" i="1" a="1"/>
  <c r="J525" i="1" s="1"/>
  <c r="K525" i="1" a="1"/>
  <c r="K525" i="1" s="1"/>
  <c r="F528" i="1"/>
  <c r="K516" i="1" a="1"/>
  <c r="K516" i="1" s="1"/>
  <c r="J516" i="1" a="1"/>
  <c r="J516" i="1" s="1"/>
  <c r="F494" i="1"/>
  <c r="J482" i="1" a="1"/>
  <c r="J482" i="1" s="1"/>
  <c r="K482" i="1" a="1"/>
  <c r="K482" i="1" s="1"/>
  <c r="F547" i="1"/>
  <c r="J535" i="1" a="1"/>
  <c r="J535" i="1" s="1"/>
  <c r="K535" i="1" a="1"/>
  <c r="K535" i="1" s="1"/>
  <c r="O472" i="1" l="1"/>
  <c r="M472" i="1"/>
  <c r="R472" i="1" s="1"/>
  <c r="O498" i="1"/>
  <c r="M498" i="1"/>
  <c r="R498" i="1" s="1"/>
  <c r="O482" i="1"/>
  <c r="M482" i="1"/>
  <c r="R482" i="1" s="1"/>
  <c r="P460" i="1"/>
  <c r="S460" i="1" s="1"/>
  <c r="O500" i="1"/>
  <c r="M500" i="1"/>
  <c r="R500" i="1" s="1"/>
  <c r="O502" i="1"/>
  <c r="M502" i="1"/>
  <c r="R502" i="1" s="1"/>
  <c r="O535" i="1"/>
  <c r="M535" i="1"/>
  <c r="R535" i="1" s="1"/>
  <c r="O525" i="1"/>
  <c r="M525" i="1"/>
  <c r="R525" i="1" s="1"/>
  <c r="O527" i="1"/>
  <c r="M527" i="1"/>
  <c r="R527" i="1" s="1"/>
  <c r="O516" i="1"/>
  <c r="M516" i="1"/>
  <c r="R516" i="1" s="1"/>
  <c r="O481" i="1"/>
  <c r="M481" i="1"/>
  <c r="O521" i="1"/>
  <c r="M521" i="1"/>
  <c r="R521" i="1" s="1"/>
  <c r="P469" i="1"/>
  <c r="S469" i="1" s="1"/>
  <c r="P513" i="1"/>
  <c r="S513" i="1" s="1"/>
  <c r="P490" i="1"/>
  <c r="S490" i="1" s="1"/>
  <c r="P488" i="1"/>
  <c r="S488" i="1" s="1"/>
  <c r="P515" i="1"/>
  <c r="S515" i="1" s="1"/>
  <c r="N527" i="1"/>
  <c r="T527" i="1" s="1"/>
  <c r="N481" i="1"/>
  <c r="T481" i="1" s="1"/>
  <c r="R481" i="1"/>
  <c r="N516" i="1"/>
  <c r="T516" i="1" s="1"/>
  <c r="P523" i="1"/>
  <c r="S523" i="1" s="1"/>
  <c r="N521" i="1"/>
  <c r="T521" i="1" s="1"/>
  <c r="N482" i="1"/>
  <c r="T482" i="1" s="1"/>
  <c r="N525" i="1"/>
  <c r="T525" i="1" s="1"/>
  <c r="P509" i="1"/>
  <c r="S509" i="1" s="1"/>
  <c r="P504" i="1"/>
  <c r="S504" i="1" s="1"/>
  <c r="N502" i="1"/>
  <c r="T502" i="1" s="1"/>
  <c r="N472" i="1"/>
  <c r="T472" i="1" s="1"/>
  <c r="N500" i="1"/>
  <c r="T500" i="1" s="1"/>
  <c r="N535" i="1"/>
  <c r="T535" i="1" s="1"/>
  <c r="N498" i="1"/>
  <c r="T498" i="1" s="1"/>
  <c r="P470" i="1"/>
  <c r="S470" i="1" s="1"/>
  <c r="P486" i="1"/>
  <c r="S486" i="1" s="1"/>
  <c r="F505" i="1"/>
  <c r="K493" i="1" a="1"/>
  <c r="K493" i="1" s="1"/>
  <c r="J493" i="1" a="1"/>
  <c r="J493" i="1" s="1"/>
  <c r="F559" i="1"/>
  <c r="K547" i="1" a="1"/>
  <c r="K547" i="1" s="1"/>
  <c r="J547" i="1" a="1"/>
  <c r="J547" i="1" s="1"/>
  <c r="F506" i="1"/>
  <c r="J494" i="1" a="1"/>
  <c r="J494" i="1" s="1"/>
  <c r="K494" i="1" a="1"/>
  <c r="K494" i="1" s="1"/>
  <c r="F496" i="1"/>
  <c r="K484" i="1" a="1"/>
  <c r="K484" i="1" s="1"/>
  <c r="J484" i="1" a="1"/>
  <c r="J484" i="1" s="1"/>
  <c r="F526" i="1"/>
  <c r="J514" i="1" a="1"/>
  <c r="J514" i="1" s="1"/>
  <c r="K514" i="1" a="1"/>
  <c r="K514" i="1" s="1"/>
  <c r="F545" i="1"/>
  <c r="J533" i="1" a="1"/>
  <c r="J533" i="1" s="1"/>
  <c r="K533" i="1" a="1"/>
  <c r="K533" i="1" s="1"/>
  <c r="F549" i="1"/>
  <c r="K537" i="1" a="1"/>
  <c r="K537" i="1" s="1"/>
  <c r="J537" i="1" a="1"/>
  <c r="J537" i="1" s="1"/>
  <c r="F522" i="1"/>
  <c r="J510" i="1" a="1"/>
  <c r="J510" i="1" s="1"/>
  <c r="K510" i="1" a="1"/>
  <c r="K510" i="1" s="1"/>
  <c r="F524" i="1"/>
  <c r="K512" i="1" a="1"/>
  <c r="K512" i="1" s="1"/>
  <c r="J512" i="1" a="1"/>
  <c r="J512" i="1" s="1"/>
  <c r="F540" i="1"/>
  <c r="J528" i="1" a="1"/>
  <c r="J528" i="1" s="1"/>
  <c r="K528" i="1" a="1"/>
  <c r="K528" i="1" s="1"/>
  <c r="F551" i="1"/>
  <c r="K539" i="1" a="1"/>
  <c r="K539" i="1" s="1"/>
  <c r="J539" i="1" a="1"/>
  <c r="J539" i="1" s="1"/>
  <c r="P516" i="1" l="1"/>
  <c r="S516" i="1" s="1"/>
  <c r="O514" i="1"/>
  <c r="M514" i="1"/>
  <c r="R514" i="1" s="1"/>
  <c r="O510" i="1"/>
  <c r="M510" i="1"/>
  <c r="O528" i="1"/>
  <c r="M528" i="1"/>
  <c r="R528" i="1" s="1"/>
  <c r="O484" i="1"/>
  <c r="M484" i="1"/>
  <c r="R484" i="1" s="1"/>
  <c r="O494" i="1"/>
  <c r="M494" i="1"/>
  <c r="R494" i="1" s="1"/>
  <c r="O493" i="1"/>
  <c r="M493" i="1"/>
  <c r="R493" i="1" s="1"/>
  <c r="O537" i="1"/>
  <c r="M537" i="1"/>
  <c r="R537" i="1" s="1"/>
  <c r="O547" i="1"/>
  <c r="M547" i="1"/>
  <c r="R547" i="1" s="1"/>
  <c r="O539" i="1"/>
  <c r="M539" i="1"/>
  <c r="O533" i="1"/>
  <c r="M533" i="1"/>
  <c r="R533" i="1" s="1"/>
  <c r="O512" i="1"/>
  <c r="M512" i="1"/>
  <c r="R512" i="1" s="1"/>
  <c r="P481" i="1"/>
  <c r="S481" i="1" s="1"/>
  <c r="P500" i="1"/>
  <c r="S500" i="1" s="1"/>
  <c r="P472" i="1"/>
  <c r="S472" i="1" s="1"/>
  <c r="P521" i="1"/>
  <c r="S521" i="1" s="1"/>
  <c r="P535" i="1"/>
  <c r="S535" i="1" s="1"/>
  <c r="P527" i="1"/>
  <c r="S527" i="1" s="1"/>
  <c r="N539" i="1"/>
  <c r="T539" i="1" s="1"/>
  <c r="R539" i="1"/>
  <c r="N537" i="1"/>
  <c r="T537" i="1" s="1"/>
  <c r="N493" i="1"/>
  <c r="T493" i="1" s="1"/>
  <c r="N484" i="1"/>
  <c r="T484" i="1" s="1"/>
  <c r="P502" i="1"/>
  <c r="S502" i="1" s="1"/>
  <c r="N494" i="1"/>
  <c r="P482" i="1"/>
  <c r="S482" i="1" s="1"/>
  <c r="N533" i="1"/>
  <c r="T533" i="1" s="1"/>
  <c r="P498" i="1"/>
  <c r="S498" i="1" s="1"/>
  <c r="N514" i="1"/>
  <c r="T514" i="1" s="1"/>
  <c r="N510" i="1"/>
  <c r="T510" i="1" s="1"/>
  <c r="R510" i="1"/>
  <c r="P525" i="1"/>
  <c r="S525" i="1" s="1"/>
  <c r="N547" i="1"/>
  <c r="T547" i="1" s="1"/>
  <c r="N512" i="1"/>
  <c r="T512" i="1" s="1"/>
  <c r="N528" i="1"/>
  <c r="T528" i="1" s="1"/>
  <c r="F517" i="1"/>
  <c r="J505" i="1" a="1"/>
  <c r="J505" i="1" s="1"/>
  <c r="K505" i="1" a="1"/>
  <c r="K505" i="1" s="1"/>
  <c r="F538" i="1"/>
  <c r="K526" i="1" a="1"/>
  <c r="K526" i="1" s="1"/>
  <c r="J526" i="1" a="1"/>
  <c r="J526" i="1" s="1"/>
  <c r="F518" i="1"/>
  <c r="K506" i="1" a="1"/>
  <c r="K506" i="1" s="1"/>
  <c r="J506" i="1" a="1"/>
  <c r="J506" i="1" s="1"/>
  <c r="F563" i="1"/>
  <c r="J551" i="1" a="1"/>
  <c r="J551" i="1" s="1"/>
  <c r="K551" i="1" a="1"/>
  <c r="K551" i="1" s="1"/>
  <c r="P484" i="1"/>
  <c r="S484" i="1" s="1"/>
  <c r="F508" i="1"/>
  <c r="J496" i="1" a="1"/>
  <c r="J496" i="1" s="1"/>
  <c r="K496" i="1" a="1"/>
  <c r="K496" i="1" s="1"/>
  <c r="F571" i="1"/>
  <c r="K559" i="1" a="1"/>
  <c r="K559" i="1" s="1"/>
  <c r="J559" i="1" a="1"/>
  <c r="J559" i="1" s="1"/>
  <c r="F536" i="1"/>
  <c r="J524" i="1" a="1"/>
  <c r="J524" i="1" s="1"/>
  <c r="K524" i="1" a="1"/>
  <c r="K524" i="1" s="1"/>
  <c r="F552" i="1"/>
  <c r="J540" i="1" a="1"/>
  <c r="J540" i="1" s="1"/>
  <c r="K540" i="1" a="1"/>
  <c r="K540" i="1" s="1"/>
  <c r="F557" i="1"/>
  <c r="K545" i="1" a="1"/>
  <c r="K545" i="1" s="1"/>
  <c r="J545" i="1" a="1"/>
  <c r="J545" i="1" s="1"/>
  <c r="F534" i="1"/>
  <c r="K522" i="1" a="1"/>
  <c r="K522" i="1" s="1"/>
  <c r="J522" i="1" a="1"/>
  <c r="J522" i="1" s="1"/>
  <c r="F561" i="1"/>
  <c r="J549" i="1" a="1"/>
  <c r="J549" i="1" s="1"/>
  <c r="K549" i="1" a="1"/>
  <c r="K549" i="1" s="1"/>
  <c r="O549" i="1" l="1"/>
  <c r="M549" i="1"/>
  <c r="R549" i="1" s="1"/>
  <c r="O506" i="1"/>
  <c r="M506" i="1"/>
  <c r="O526" i="1"/>
  <c r="M526" i="1"/>
  <c r="O505" i="1"/>
  <c r="M505" i="1"/>
  <c r="R505" i="1" s="1"/>
  <c r="O540" i="1"/>
  <c r="P540" i="1" s="1"/>
  <c r="S540" i="1" s="1"/>
  <c r="M540" i="1"/>
  <c r="R540" i="1" s="1"/>
  <c r="O522" i="1"/>
  <c r="M522" i="1"/>
  <c r="R522" i="1" s="1"/>
  <c r="O545" i="1"/>
  <c r="M545" i="1"/>
  <c r="O524" i="1"/>
  <c r="M524" i="1"/>
  <c r="R524" i="1" s="1"/>
  <c r="O559" i="1"/>
  <c r="M559" i="1"/>
  <c r="R559" i="1" s="1"/>
  <c r="O496" i="1"/>
  <c r="M496" i="1"/>
  <c r="O551" i="1"/>
  <c r="M551" i="1"/>
  <c r="R551" i="1" s="1"/>
  <c r="P494" i="1"/>
  <c r="S494" i="1" s="1"/>
  <c r="T494" i="1"/>
  <c r="P539" i="1"/>
  <c r="S539" i="1" s="1"/>
  <c r="P493" i="1"/>
  <c r="S493" i="1" s="1"/>
  <c r="P510" i="1"/>
  <c r="S510" i="1" s="1"/>
  <c r="P547" i="1"/>
  <c r="S547" i="1" s="1"/>
  <c r="P512" i="1"/>
  <c r="S512" i="1" s="1"/>
  <c r="P537" i="1"/>
  <c r="S537" i="1" s="1"/>
  <c r="N545" i="1"/>
  <c r="T545" i="1" s="1"/>
  <c r="R545" i="1"/>
  <c r="N540" i="1"/>
  <c r="T540" i="1" s="1"/>
  <c r="P514" i="1"/>
  <c r="S514" i="1" s="1"/>
  <c r="N551" i="1"/>
  <c r="T551" i="1" s="1"/>
  <c r="P533" i="1"/>
  <c r="S533" i="1" s="1"/>
  <c r="N549" i="1"/>
  <c r="T549" i="1" s="1"/>
  <c r="N524" i="1"/>
  <c r="T524" i="1" s="1"/>
  <c r="N496" i="1"/>
  <c r="T496" i="1" s="1"/>
  <c r="R496" i="1"/>
  <c r="P528" i="1"/>
  <c r="S528" i="1" s="1"/>
  <c r="N506" i="1"/>
  <c r="T506" i="1" s="1"/>
  <c r="R506" i="1"/>
  <c r="N505" i="1"/>
  <c r="T505" i="1" s="1"/>
  <c r="N526" i="1"/>
  <c r="T526" i="1" s="1"/>
  <c r="R526" i="1"/>
  <c r="N559" i="1"/>
  <c r="T559" i="1" s="1"/>
  <c r="N522" i="1"/>
  <c r="T522" i="1" s="1"/>
  <c r="F529" i="1"/>
  <c r="K517" i="1" a="1"/>
  <c r="K517" i="1" s="1"/>
  <c r="J517" i="1" a="1"/>
  <c r="J517" i="1" s="1"/>
  <c r="F575" i="1"/>
  <c r="J563" i="1" a="1"/>
  <c r="J563" i="1" s="1"/>
  <c r="K563" i="1" a="1"/>
  <c r="K563" i="1" s="1"/>
  <c r="F530" i="1"/>
  <c r="J518" i="1" a="1"/>
  <c r="J518" i="1" s="1"/>
  <c r="K518" i="1" a="1"/>
  <c r="K518" i="1" s="1"/>
  <c r="F573" i="1"/>
  <c r="K561" i="1" a="1"/>
  <c r="K561" i="1" s="1"/>
  <c r="J561" i="1" a="1"/>
  <c r="J561" i="1" s="1"/>
  <c r="F569" i="1"/>
  <c r="K557" i="1" a="1"/>
  <c r="K557" i="1" s="1"/>
  <c r="J557" i="1" a="1"/>
  <c r="J557" i="1" s="1"/>
  <c r="F583" i="1"/>
  <c r="K571" i="1" a="1"/>
  <c r="K571" i="1" s="1"/>
  <c r="J571" i="1" a="1"/>
  <c r="J571" i="1" s="1"/>
  <c r="F550" i="1"/>
  <c r="K538" i="1" a="1"/>
  <c r="K538" i="1" s="1"/>
  <c r="J538" i="1" a="1"/>
  <c r="J538" i="1" s="1"/>
  <c r="F546" i="1"/>
  <c r="K534" i="1" a="1"/>
  <c r="K534" i="1" s="1"/>
  <c r="J534" i="1" a="1"/>
  <c r="J534" i="1" s="1"/>
  <c r="F548" i="1"/>
  <c r="J536" i="1" a="1"/>
  <c r="J536" i="1" s="1"/>
  <c r="K536" i="1" a="1"/>
  <c r="K536" i="1" s="1"/>
  <c r="F564" i="1"/>
  <c r="J552" i="1" a="1"/>
  <c r="J552" i="1" s="1"/>
  <c r="K552" i="1" a="1"/>
  <c r="K552" i="1" s="1"/>
  <c r="F520" i="1"/>
  <c r="J508" i="1" a="1"/>
  <c r="J508" i="1" s="1"/>
  <c r="K508" i="1" a="1"/>
  <c r="K508" i="1" s="1"/>
  <c r="O534" i="1" l="1"/>
  <c r="M534" i="1"/>
  <c r="R534" i="1" s="1"/>
  <c r="O538" i="1"/>
  <c r="M538" i="1"/>
  <c r="O517" i="1"/>
  <c r="M517" i="1"/>
  <c r="O557" i="1"/>
  <c r="M557" i="1"/>
  <c r="R557" i="1" s="1"/>
  <c r="O563" i="1"/>
  <c r="M563" i="1"/>
  <c r="R563" i="1" s="1"/>
  <c r="O552" i="1"/>
  <c r="M552" i="1"/>
  <c r="R552" i="1" s="1"/>
  <c r="O536" i="1"/>
  <c r="M536" i="1"/>
  <c r="R536" i="1" s="1"/>
  <c r="O518" i="1"/>
  <c r="M518" i="1"/>
  <c r="R518" i="1" s="1"/>
  <c r="O571" i="1"/>
  <c r="M571" i="1"/>
  <c r="O508" i="1"/>
  <c r="M508" i="1"/>
  <c r="R508" i="1" s="1"/>
  <c r="O561" i="1"/>
  <c r="M561" i="1"/>
  <c r="R561" i="1" s="1"/>
  <c r="P522" i="1"/>
  <c r="S522" i="1" s="1"/>
  <c r="P551" i="1"/>
  <c r="S551" i="1" s="1"/>
  <c r="P505" i="1"/>
  <c r="S505" i="1" s="1"/>
  <c r="P526" i="1"/>
  <c r="S526" i="1" s="1"/>
  <c r="P496" i="1"/>
  <c r="S496" i="1" s="1"/>
  <c r="P559" i="1"/>
  <c r="S559" i="1" s="1"/>
  <c r="P524" i="1"/>
  <c r="S524" i="1" s="1"/>
  <c r="P545" i="1"/>
  <c r="S545" i="1" s="1"/>
  <c r="P506" i="1"/>
  <c r="S506" i="1" s="1"/>
  <c r="N534" i="1"/>
  <c r="T534" i="1" s="1"/>
  <c r="N561" i="1"/>
  <c r="T561" i="1" s="1"/>
  <c r="N557" i="1"/>
  <c r="T557" i="1" s="1"/>
  <c r="N508" i="1"/>
  <c r="T508" i="1" s="1"/>
  <c r="N518" i="1"/>
  <c r="T518" i="1" s="1"/>
  <c r="P549" i="1"/>
  <c r="S549" i="1" s="1"/>
  <c r="N538" i="1"/>
  <c r="T538" i="1" s="1"/>
  <c r="R538" i="1"/>
  <c r="N571" i="1"/>
  <c r="T571" i="1" s="1"/>
  <c r="R571" i="1"/>
  <c r="N536" i="1"/>
  <c r="T536" i="1" s="1"/>
  <c r="N517" i="1"/>
  <c r="T517" i="1" s="1"/>
  <c r="R517" i="1"/>
  <c r="N552" i="1"/>
  <c r="T552" i="1" s="1"/>
  <c r="N563" i="1"/>
  <c r="T563" i="1" s="1"/>
  <c r="K529" i="1" a="1"/>
  <c r="K529" i="1" s="1"/>
  <c r="F541" i="1"/>
  <c r="J529" i="1" a="1"/>
  <c r="J529" i="1" s="1"/>
  <c r="F560" i="1"/>
  <c r="J548" i="1" a="1"/>
  <c r="J548" i="1" s="1"/>
  <c r="K548" i="1" a="1"/>
  <c r="K548" i="1" s="1"/>
  <c r="F532" i="1"/>
  <c r="J520" i="1" a="1"/>
  <c r="J520" i="1" s="1"/>
  <c r="K520" i="1" a="1"/>
  <c r="K520" i="1" s="1"/>
  <c r="F581" i="1"/>
  <c r="J569" i="1" a="1"/>
  <c r="J569" i="1" s="1"/>
  <c r="K569" i="1" a="1"/>
  <c r="K569" i="1" s="1"/>
  <c r="F595" i="1"/>
  <c r="J583" i="1" a="1"/>
  <c r="J583" i="1" s="1"/>
  <c r="K583" i="1" a="1"/>
  <c r="K583" i="1" s="1"/>
  <c r="F542" i="1"/>
  <c r="J530" i="1" a="1"/>
  <c r="J530" i="1" s="1"/>
  <c r="K530" i="1" a="1"/>
  <c r="K530" i="1" s="1"/>
  <c r="F587" i="1"/>
  <c r="K575" i="1" a="1"/>
  <c r="K575" i="1" s="1"/>
  <c r="J575" i="1" a="1"/>
  <c r="J575" i="1" s="1"/>
  <c r="F562" i="1"/>
  <c r="J550" i="1" a="1"/>
  <c r="J550" i="1" s="1"/>
  <c r="K550" i="1" a="1"/>
  <c r="K550" i="1" s="1"/>
  <c r="F576" i="1"/>
  <c r="K564" i="1" a="1"/>
  <c r="K564" i="1" s="1"/>
  <c r="J564" i="1" a="1"/>
  <c r="J564" i="1" s="1"/>
  <c r="F558" i="1"/>
  <c r="J546" i="1" a="1"/>
  <c r="J546" i="1" s="1"/>
  <c r="K546" i="1" a="1"/>
  <c r="K546" i="1" s="1"/>
  <c r="F585" i="1"/>
  <c r="K573" i="1" a="1"/>
  <c r="K573" i="1" s="1"/>
  <c r="J573" i="1" a="1"/>
  <c r="J573" i="1" s="1"/>
  <c r="P536" i="1" l="1"/>
  <c r="S536" i="1" s="1"/>
  <c r="P534" i="1"/>
  <c r="S534" i="1" s="1"/>
  <c r="O520" i="1"/>
  <c r="M520" i="1"/>
  <c r="O548" i="1"/>
  <c r="M548" i="1"/>
  <c r="R548" i="1" s="1"/>
  <c r="O573" i="1"/>
  <c r="M573" i="1"/>
  <c r="R573" i="1" s="1"/>
  <c r="O529" i="1"/>
  <c r="M529" i="1"/>
  <c r="R529" i="1" s="1"/>
  <c r="O530" i="1"/>
  <c r="M530" i="1"/>
  <c r="R530" i="1" s="1"/>
  <c r="O546" i="1"/>
  <c r="M546" i="1"/>
  <c r="R546" i="1" s="1"/>
  <c r="O575" i="1"/>
  <c r="M575" i="1"/>
  <c r="R575" i="1" s="1"/>
  <c r="O564" i="1"/>
  <c r="M564" i="1"/>
  <c r="R564" i="1" s="1"/>
  <c r="O550" i="1"/>
  <c r="M550" i="1"/>
  <c r="O583" i="1"/>
  <c r="M583" i="1"/>
  <c r="O569" i="1"/>
  <c r="M569" i="1"/>
  <c r="R569" i="1" s="1"/>
  <c r="P518" i="1"/>
  <c r="S518" i="1" s="1"/>
  <c r="P517" i="1"/>
  <c r="S517" i="1" s="1"/>
  <c r="P563" i="1"/>
  <c r="S563" i="1" s="1"/>
  <c r="P552" i="1"/>
  <c r="S552" i="1" s="1"/>
  <c r="P561" i="1"/>
  <c r="S561" i="1" s="1"/>
  <c r="P508" i="1"/>
  <c r="S508" i="1" s="1"/>
  <c r="P557" i="1"/>
  <c r="S557" i="1" s="1"/>
  <c r="P538" i="1"/>
  <c r="S538" i="1" s="1"/>
  <c r="N564" i="1"/>
  <c r="T564" i="1" s="1"/>
  <c r="N529" i="1"/>
  <c r="T529" i="1" s="1"/>
  <c r="N550" i="1"/>
  <c r="T550" i="1" s="1"/>
  <c r="R550" i="1"/>
  <c r="N573" i="1"/>
  <c r="T573" i="1" s="1"/>
  <c r="N569" i="1"/>
  <c r="T569" i="1" s="1"/>
  <c r="P571" i="1"/>
  <c r="S571" i="1" s="1"/>
  <c r="N520" i="1"/>
  <c r="T520" i="1" s="1"/>
  <c r="R520" i="1"/>
  <c r="N530" i="1"/>
  <c r="T530" i="1" s="1"/>
  <c r="N583" i="1"/>
  <c r="T583" i="1" s="1"/>
  <c r="R583" i="1"/>
  <c r="N548" i="1"/>
  <c r="T548" i="1" s="1"/>
  <c r="N546" i="1"/>
  <c r="T546" i="1" s="1"/>
  <c r="N575" i="1"/>
  <c r="T575" i="1" s="1"/>
  <c r="J541" i="1" a="1"/>
  <c r="J541" i="1" s="1"/>
  <c r="K541" i="1" a="1"/>
  <c r="K541" i="1" s="1"/>
  <c r="F553" i="1"/>
  <c r="F572" i="1"/>
  <c r="K560" i="1" a="1"/>
  <c r="K560" i="1" s="1"/>
  <c r="J560" i="1" a="1"/>
  <c r="J560" i="1" s="1"/>
  <c r="F597" i="1"/>
  <c r="J585" i="1" a="1"/>
  <c r="J585" i="1" s="1"/>
  <c r="K585" i="1" a="1"/>
  <c r="K585" i="1" s="1"/>
  <c r="F588" i="1"/>
  <c r="K576" i="1" a="1"/>
  <c r="K576" i="1" s="1"/>
  <c r="J576" i="1" a="1"/>
  <c r="J576" i="1" s="1"/>
  <c r="P550" i="1"/>
  <c r="S550" i="1" s="1"/>
  <c r="K595" i="1" a="1"/>
  <c r="K595" i="1" s="1"/>
  <c r="J595" i="1" a="1"/>
  <c r="J595" i="1" s="1"/>
  <c r="F544" i="1"/>
  <c r="J532" i="1" a="1"/>
  <c r="J532" i="1" s="1"/>
  <c r="K532" i="1" a="1"/>
  <c r="K532" i="1" s="1"/>
  <c r="F574" i="1"/>
  <c r="J562" i="1" a="1"/>
  <c r="J562" i="1" s="1"/>
  <c r="K562" i="1" a="1"/>
  <c r="K562" i="1" s="1"/>
  <c r="F593" i="1"/>
  <c r="J581" i="1" a="1"/>
  <c r="J581" i="1" s="1"/>
  <c r="K581" i="1" a="1"/>
  <c r="K581" i="1" s="1"/>
  <c r="F599" i="1"/>
  <c r="J587" i="1" a="1"/>
  <c r="J587" i="1" s="1"/>
  <c r="K587" i="1" a="1"/>
  <c r="K587" i="1" s="1"/>
  <c r="F570" i="1"/>
  <c r="J558" i="1" a="1"/>
  <c r="J558" i="1" s="1"/>
  <c r="K558" i="1" a="1"/>
  <c r="K558" i="1" s="1"/>
  <c r="F554" i="1"/>
  <c r="J542" i="1" a="1"/>
  <c r="J542" i="1" s="1"/>
  <c r="K542" i="1" a="1"/>
  <c r="K542" i="1" s="1"/>
  <c r="O581" i="1" l="1"/>
  <c r="M581" i="1"/>
  <c r="O560" i="1"/>
  <c r="M560" i="1"/>
  <c r="R560" i="1" s="1"/>
  <c r="O532" i="1"/>
  <c r="M532" i="1"/>
  <c r="R532" i="1" s="1"/>
  <c r="O541" i="1"/>
  <c r="M541" i="1"/>
  <c r="R541" i="1" s="1"/>
  <c r="O562" i="1"/>
  <c r="M562" i="1"/>
  <c r="R562" i="1" s="1"/>
  <c r="O542" i="1"/>
  <c r="M542" i="1"/>
  <c r="R542" i="1" s="1"/>
  <c r="P529" i="1"/>
  <c r="S529" i="1" s="1"/>
  <c r="O587" i="1"/>
  <c r="M587" i="1"/>
  <c r="R587" i="1" s="1"/>
  <c r="O595" i="1"/>
  <c r="M595" i="1"/>
  <c r="O558" i="1"/>
  <c r="M558" i="1"/>
  <c r="O576" i="1"/>
  <c r="M576" i="1"/>
  <c r="O585" i="1"/>
  <c r="M585" i="1"/>
  <c r="R585" i="1" s="1"/>
  <c r="P546" i="1"/>
  <c r="S546" i="1" s="1"/>
  <c r="P573" i="1"/>
  <c r="S573" i="1" s="1"/>
  <c r="P564" i="1"/>
  <c r="S564" i="1" s="1"/>
  <c r="P548" i="1"/>
  <c r="S548" i="1" s="1"/>
  <c r="P575" i="1"/>
  <c r="S575" i="1" s="1"/>
  <c r="N558" i="1"/>
  <c r="T558" i="1" s="1"/>
  <c r="R558" i="1"/>
  <c r="N576" i="1"/>
  <c r="T576" i="1" s="1"/>
  <c r="R576" i="1"/>
  <c r="N585" i="1"/>
  <c r="T585" i="1" s="1"/>
  <c r="N562" i="1"/>
  <c r="T562" i="1" s="1"/>
  <c r="P520" i="1"/>
  <c r="S520" i="1" s="1"/>
  <c r="P583" i="1"/>
  <c r="S583" i="1" s="1"/>
  <c r="N541" i="1"/>
  <c r="T541" i="1" s="1"/>
  <c r="N542" i="1"/>
  <c r="T542" i="1" s="1"/>
  <c r="N595" i="1"/>
  <c r="T595" i="1" s="1"/>
  <c r="R595" i="1"/>
  <c r="P530" i="1"/>
  <c r="S530" i="1" s="1"/>
  <c r="N581" i="1"/>
  <c r="T581" i="1" s="1"/>
  <c r="R581" i="1"/>
  <c r="N532" i="1"/>
  <c r="T532" i="1" s="1"/>
  <c r="N560" i="1"/>
  <c r="T560" i="1" s="1"/>
  <c r="N587" i="1"/>
  <c r="T587" i="1" s="1"/>
  <c r="P569" i="1"/>
  <c r="S569" i="1" s="1"/>
  <c r="J553" i="1" a="1"/>
  <c r="J553" i="1" s="1"/>
  <c r="K553" i="1" a="1"/>
  <c r="K553" i="1" s="1"/>
  <c r="F565" i="1"/>
  <c r="F600" i="1"/>
  <c r="K588" i="1" a="1"/>
  <c r="K588" i="1" s="1"/>
  <c r="J588" i="1" a="1"/>
  <c r="J588" i="1" s="1"/>
  <c r="F566" i="1"/>
  <c r="J554" i="1" a="1"/>
  <c r="J554" i="1" s="1"/>
  <c r="K554" i="1" a="1"/>
  <c r="K554" i="1" s="1"/>
  <c r="F586" i="1"/>
  <c r="K574" i="1" a="1"/>
  <c r="K574" i="1" s="1"/>
  <c r="J574" i="1" a="1"/>
  <c r="J574" i="1" s="1"/>
  <c r="F582" i="1"/>
  <c r="J570" i="1" a="1"/>
  <c r="J570" i="1" s="1"/>
  <c r="K570" i="1" a="1"/>
  <c r="K570" i="1" s="1"/>
  <c r="K593" i="1" a="1"/>
  <c r="K593" i="1" s="1"/>
  <c r="J593" i="1" a="1"/>
  <c r="J593" i="1" s="1"/>
  <c r="F584" i="1"/>
  <c r="J572" i="1" a="1"/>
  <c r="J572" i="1" s="1"/>
  <c r="K572" i="1" a="1"/>
  <c r="K572" i="1" s="1"/>
  <c r="J597" i="1" a="1"/>
  <c r="J597" i="1" s="1"/>
  <c r="K597" i="1" a="1"/>
  <c r="K597" i="1" s="1"/>
  <c r="K599" i="1" a="1"/>
  <c r="K599" i="1" s="1"/>
  <c r="J599" i="1" a="1"/>
  <c r="J599" i="1" s="1"/>
  <c r="F556" i="1"/>
  <c r="K544" i="1" a="1"/>
  <c r="K544" i="1" s="1"/>
  <c r="J544" i="1" a="1"/>
  <c r="J544" i="1" s="1"/>
  <c r="P558" i="1" l="1"/>
  <c r="S558" i="1" s="1"/>
  <c r="O593" i="1"/>
  <c r="M593" i="1"/>
  <c r="O553" i="1"/>
  <c r="M553" i="1"/>
  <c r="O588" i="1"/>
  <c r="M588" i="1"/>
  <c r="R588" i="1" s="1"/>
  <c r="O554" i="1"/>
  <c r="M554" i="1"/>
  <c r="R554" i="1" s="1"/>
  <c r="O570" i="1"/>
  <c r="M570" i="1"/>
  <c r="R570" i="1" s="1"/>
  <c r="O597" i="1"/>
  <c r="M597" i="1"/>
  <c r="R597" i="1" s="1"/>
  <c r="O572" i="1"/>
  <c r="M572" i="1"/>
  <c r="R572" i="1" s="1"/>
  <c r="O544" i="1"/>
  <c r="M544" i="1"/>
  <c r="R544" i="1" s="1"/>
  <c r="O574" i="1"/>
  <c r="M574" i="1"/>
  <c r="O599" i="1"/>
  <c r="M599" i="1"/>
  <c r="R599" i="1" s="1"/>
  <c r="P541" i="1"/>
  <c r="S541" i="1" s="1"/>
  <c r="P585" i="1"/>
  <c r="S585" i="1" s="1"/>
  <c r="P562" i="1"/>
  <c r="S562" i="1" s="1"/>
  <c r="P542" i="1"/>
  <c r="S542" i="1" s="1"/>
  <c r="P581" i="1"/>
  <c r="S581" i="1" s="1"/>
  <c r="P576" i="1"/>
  <c r="S576" i="1" s="1"/>
  <c r="P587" i="1"/>
  <c r="S587" i="1" s="1"/>
  <c r="P532" i="1"/>
  <c r="S532" i="1" s="1"/>
  <c r="N553" i="1"/>
  <c r="T553" i="1" s="1"/>
  <c r="R553" i="1"/>
  <c r="N599" i="1"/>
  <c r="T599" i="1" s="1"/>
  <c r="N572" i="1"/>
  <c r="T572" i="1" s="1"/>
  <c r="N570" i="1"/>
  <c r="T570" i="1" s="1"/>
  <c r="N574" i="1"/>
  <c r="T574" i="1" s="1"/>
  <c r="R574" i="1"/>
  <c r="N554" i="1"/>
  <c r="T554" i="1" s="1"/>
  <c r="N597" i="1"/>
  <c r="T597" i="1" s="1"/>
  <c r="P560" i="1"/>
  <c r="S560" i="1" s="1"/>
  <c r="N588" i="1"/>
  <c r="T588" i="1" s="1"/>
  <c r="P595" i="1"/>
  <c r="S595" i="1" s="1"/>
  <c r="N593" i="1"/>
  <c r="T593" i="1" s="1"/>
  <c r="R593" i="1"/>
  <c r="N544" i="1"/>
  <c r="T544" i="1" s="1"/>
  <c r="J565" i="1" a="1"/>
  <c r="J565" i="1" s="1"/>
  <c r="F577" i="1"/>
  <c r="K565" i="1" a="1"/>
  <c r="K565" i="1" s="1"/>
  <c r="F568" i="1"/>
  <c r="J556" i="1" a="1"/>
  <c r="J556" i="1" s="1"/>
  <c r="K556" i="1" a="1"/>
  <c r="K556" i="1" s="1"/>
  <c r="F594" i="1"/>
  <c r="K582" i="1" a="1"/>
  <c r="K582" i="1" s="1"/>
  <c r="J582" i="1" a="1"/>
  <c r="J582" i="1" s="1"/>
  <c r="F596" i="1"/>
  <c r="K584" i="1" a="1"/>
  <c r="K584" i="1" s="1"/>
  <c r="J584" i="1" a="1"/>
  <c r="J584" i="1" s="1"/>
  <c r="J600" i="1" a="1"/>
  <c r="J600" i="1" s="1"/>
  <c r="K600" i="1" a="1"/>
  <c r="K600" i="1" s="1"/>
  <c r="F578" i="1"/>
  <c r="J566" i="1" a="1"/>
  <c r="J566" i="1" s="1"/>
  <c r="K566" i="1" a="1"/>
  <c r="K566" i="1" s="1"/>
  <c r="F598" i="1"/>
  <c r="K586" i="1" a="1"/>
  <c r="K586" i="1" s="1"/>
  <c r="J586" i="1" a="1"/>
  <c r="J586" i="1" s="1"/>
  <c r="O586" i="1" l="1"/>
  <c r="M586" i="1"/>
  <c r="R586" i="1" s="1"/>
  <c r="O582" i="1"/>
  <c r="M582" i="1"/>
  <c r="O600" i="1"/>
  <c r="M600" i="1"/>
  <c r="O556" i="1"/>
  <c r="M556" i="1"/>
  <c r="R556" i="1" s="1"/>
  <c r="O565" i="1"/>
  <c r="M565" i="1"/>
  <c r="R565" i="1" s="1"/>
  <c r="O584" i="1"/>
  <c r="M584" i="1"/>
  <c r="O566" i="1"/>
  <c r="M566" i="1"/>
  <c r="R566" i="1" s="1"/>
  <c r="P599" i="1"/>
  <c r="S599" i="1" s="1"/>
  <c r="P554" i="1"/>
  <c r="S554" i="1" s="1"/>
  <c r="P553" i="1"/>
  <c r="S553" i="1" s="1"/>
  <c r="P572" i="1"/>
  <c r="S572" i="1" s="1"/>
  <c r="P570" i="1"/>
  <c r="S570" i="1" s="1"/>
  <c r="P574" i="1"/>
  <c r="S574" i="1" s="1"/>
  <c r="P593" i="1"/>
  <c r="S593" i="1" s="1"/>
  <c r="P544" i="1"/>
  <c r="S544" i="1" s="1"/>
  <c r="N565" i="1"/>
  <c r="T565" i="1" s="1"/>
  <c r="N600" i="1"/>
  <c r="T600" i="1" s="1"/>
  <c r="R600" i="1"/>
  <c r="N582" i="1"/>
  <c r="T582" i="1" s="1"/>
  <c r="R582" i="1"/>
  <c r="N584" i="1"/>
  <c r="T584" i="1" s="1"/>
  <c r="R584" i="1"/>
  <c r="P597" i="1"/>
  <c r="S597" i="1" s="1"/>
  <c r="N566" i="1"/>
  <c r="T566" i="1" s="1"/>
  <c r="P588" i="1"/>
  <c r="S588" i="1" s="1"/>
  <c r="N556" i="1"/>
  <c r="T556" i="1" s="1"/>
  <c r="N586" i="1"/>
  <c r="T586" i="1" s="1"/>
  <c r="F589" i="1"/>
  <c r="J577" i="1" a="1"/>
  <c r="J577" i="1" s="1"/>
  <c r="K577" i="1" a="1"/>
  <c r="K577" i="1" s="1"/>
  <c r="J594" i="1" a="1"/>
  <c r="J594" i="1" s="1"/>
  <c r="K594" i="1" a="1"/>
  <c r="K594" i="1" s="1"/>
  <c r="F580" i="1"/>
  <c r="J568" i="1" a="1"/>
  <c r="J568" i="1" s="1"/>
  <c r="K568" i="1" a="1"/>
  <c r="K568" i="1" s="1"/>
  <c r="J598" i="1" a="1"/>
  <c r="J598" i="1" s="1"/>
  <c r="K598" i="1" a="1"/>
  <c r="K598" i="1" s="1"/>
  <c r="J596" i="1" a="1"/>
  <c r="J596" i="1" s="1"/>
  <c r="K596" i="1" a="1"/>
  <c r="K596" i="1" s="1"/>
  <c r="F590" i="1"/>
  <c r="J578" i="1" a="1"/>
  <c r="J578" i="1" s="1"/>
  <c r="K578" i="1" a="1"/>
  <c r="K578" i="1" s="1"/>
  <c r="P565" i="1" l="1"/>
  <c r="S565" i="1" s="1"/>
  <c r="O577" i="1"/>
  <c r="M577" i="1"/>
  <c r="R577" i="1" s="1"/>
  <c r="O594" i="1"/>
  <c r="M594" i="1"/>
  <c r="O598" i="1"/>
  <c r="M598" i="1"/>
  <c r="R598" i="1" s="1"/>
  <c r="O568" i="1"/>
  <c r="M568" i="1"/>
  <c r="R568" i="1" s="1"/>
  <c r="O578" i="1"/>
  <c r="M578" i="1"/>
  <c r="R578" i="1" s="1"/>
  <c r="O596" i="1"/>
  <c r="M596" i="1"/>
  <c r="R596" i="1" s="1"/>
  <c r="P566" i="1"/>
  <c r="S566" i="1" s="1"/>
  <c r="P600" i="1"/>
  <c r="S600" i="1" s="1"/>
  <c r="P556" i="1"/>
  <c r="S556" i="1" s="1"/>
  <c r="N598" i="1"/>
  <c r="T598" i="1" s="1"/>
  <c r="N578" i="1"/>
  <c r="T578" i="1" s="1"/>
  <c r="N596" i="1"/>
  <c r="T596" i="1" s="1"/>
  <c r="N594" i="1"/>
  <c r="T594" i="1" s="1"/>
  <c r="R594" i="1"/>
  <c r="N568" i="1"/>
  <c r="T568" i="1" s="1"/>
  <c r="N577" i="1"/>
  <c r="T577" i="1" s="1"/>
  <c r="P586" i="1"/>
  <c r="S586" i="1" s="1"/>
  <c r="P582" i="1"/>
  <c r="S582" i="1" s="1"/>
  <c r="P584" i="1"/>
  <c r="S584" i="1" s="1"/>
  <c r="F601" i="1"/>
  <c r="K589" i="1" a="1"/>
  <c r="K589" i="1" s="1"/>
  <c r="J589" i="1" a="1"/>
  <c r="J589" i="1" s="1"/>
  <c r="K590" i="1" a="1"/>
  <c r="K590" i="1" s="1"/>
  <c r="J590" i="1" a="1"/>
  <c r="J590" i="1" s="1"/>
  <c r="F592" i="1"/>
  <c r="K580" i="1" a="1"/>
  <c r="K580" i="1" s="1"/>
  <c r="J580" i="1" a="1"/>
  <c r="J580" i="1" s="1"/>
  <c r="P594" i="1" l="1"/>
  <c r="S594" i="1" s="1"/>
  <c r="P596" i="1"/>
  <c r="S596" i="1" s="1"/>
  <c r="P578" i="1"/>
  <c r="S578" i="1" s="1"/>
  <c r="P568" i="1"/>
  <c r="S568" i="1" s="1"/>
  <c r="O580" i="1"/>
  <c r="M580" i="1"/>
  <c r="O590" i="1"/>
  <c r="M590" i="1"/>
  <c r="O589" i="1"/>
  <c r="M589" i="1"/>
  <c r="R589" i="1" s="1"/>
  <c r="P598" i="1"/>
  <c r="S598" i="1" s="1"/>
  <c r="P577" i="1"/>
  <c r="S577" i="1" s="1"/>
  <c r="N590" i="1"/>
  <c r="T590" i="1" s="1"/>
  <c r="R590" i="1"/>
  <c r="N580" i="1"/>
  <c r="T580" i="1" s="1"/>
  <c r="R580" i="1"/>
  <c r="N589" i="1"/>
  <c r="T589" i="1" s="1"/>
  <c r="J601" i="1" a="1"/>
  <c r="J601" i="1" s="1"/>
  <c r="K601" i="1" a="1"/>
  <c r="K601" i="1" s="1"/>
  <c r="J592" i="1" a="1"/>
  <c r="J592" i="1" s="1"/>
  <c r="K592" i="1" a="1"/>
  <c r="K592" i="1" s="1"/>
  <c r="P589" i="1" l="1"/>
  <c r="S589" i="1" s="1"/>
  <c r="P590" i="1"/>
  <c r="S590" i="1" s="1"/>
  <c r="O601" i="1"/>
  <c r="M601" i="1"/>
  <c r="R601" i="1" s="1"/>
  <c r="O592" i="1"/>
  <c r="M592" i="1"/>
  <c r="R592" i="1" s="1"/>
  <c r="P580" i="1"/>
  <c r="S580" i="1" s="1"/>
  <c r="N592" i="1"/>
  <c r="T592" i="1" s="1"/>
  <c r="N601" i="1"/>
  <c r="T601" i="1" s="1"/>
  <c r="P601" i="1"/>
  <c r="S601" i="1" s="1"/>
  <c r="P592" i="1" l="1"/>
  <c r="S592"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<sst xmlns="http://schemas.openxmlformats.org/spreadsheetml/2006/main" count="386" uniqueCount="130">
  <si>
    <t>SN</t>
  </si>
  <si>
    <t>ProdCode</t>
  </si>
  <si>
    <t>Product</t>
  </si>
  <si>
    <t>Branch</t>
  </si>
  <si>
    <t>MonthCode</t>
  </si>
  <si>
    <t>Month</t>
  </si>
  <si>
    <t>Sales Budget</t>
  </si>
  <si>
    <t>Actual Sales</t>
  </si>
  <si>
    <t>Lagos</t>
  </si>
  <si>
    <t>Jan</t>
  </si>
  <si>
    <t>Feb</t>
  </si>
  <si>
    <t>Mar</t>
  </si>
  <si>
    <t>Apr</t>
  </si>
  <si>
    <t>May</t>
  </si>
  <si>
    <t>Jun</t>
  </si>
  <si>
    <t>Jul</t>
  </si>
  <si>
    <t>Aug</t>
  </si>
  <si>
    <t>Sept</t>
  </si>
  <si>
    <t>Oct</t>
  </si>
  <si>
    <t>Nov</t>
  </si>
  <si>
    <t>Dec</t>
  </si>
  <si>
    <t>Abuja</t>
  </si>
  <si>
    <t>Warri</t>
  </si>
  <si>
    <t>Kaduna</t>
  </si>
  <si>
    <t>Ibadan</t>
  </si>
  <si>
    <t>Expense Budget</t>
  </si>
  <si>
    <t>Actual Expense</t>
  </si>
  <si>
    <t>Code</t>
  </si>
  <si>
    <t>Prod Name</t>
  </si>
  <si>
    <t>Mango</t>
  </si>
  <si>
    <t>Orange</t>
  </si>
  <si>
    <t>Banana</t>
  </si>
  <si>
    <t>Apple</t>
  </si>
  <si>
    <t>Avocado</t>
  </si>
  <si>
    <t>Kiwi</t>
  </si>
  <si>
    <t>Pawpaw</t>
  </si>
  <si>
    <t>Sales Manager</t>
  </si>
  <si>
    <t>Adaora Okafor</t>
  </si>
  <si>
    <t>Emeka Nwosu</t>
  </si>
  <si>
    <t>Funmi Adeyemi</t>
  </si>
  <si>
    <t>Gbenga Adesanya</t>
  </si>
  <si>
    <t>Musa Garba</t>
  </si>
  <si>
    <t>Branch Manager</t>
  </si>
  <si>
    <t>Cucumber</t>
  </si>
  <si>
    <t>Melon</t>
  </si>
  <si>
    <t>Pineapple</t>
  </si>
  <si>
    <t>△Sales Variance</t>
  </si>
  <si>
    <t>△Expense  Variance</t>
  </si>
  <si>
    <t>Actual Net Profit</t>
  </si>
  <si>
    <t>Net Profit Variance</t>
  </si>
  <si>
    <t>Grand Total</t>
  </si>
  <si>
    <t>Sum of Sales Budget</t>
  </si>
  <si>
    <t>Sum of Actual Sales</t>
  </si>
  <si>
    <t>Sum of △Expense  Variance</t>
  </si>
  <si>
    <t>Sum of Actual Net Profit</t>
  </si>
  <si>
    <t>Sum of Sales Variance Percentage</t>
  </si>
  <si>
    <t>Sum of Net Profit Margin</t>
  </si>
  <si>
    <t>Sum of Expense Variance %</t>
  </si>
  <si>
    <t>Budget Net Profit</t>
  </si>
  <si>
    <t>Sum of Net Profit Variance %</t>
  </si>
  <si>
    <t>Sales_Budget</t>
  </si>
  <si>
    <t>Monthly  Profitability Trend</t>
  </si>
  <si>
    <t>Executive KPI's</t>
  </si>
  <si>
    <t>Sales_Variance %</t>
  </si>
  <si>
    <t>Expense_Variance %</t>
  </si>
  <si>
    <t>Net_Profit_Variance %</t>
  </si>
  <si>
    <t>Net _Profit_Margin</t>
  </si>
  <si>
    <t>Actual_Sales</t>
  </si>
  <si>
    <t xml:space="preserve"> Expense_Budget</t>
  </si>
  <si>
    <t>Actual_Expense</t>
  </si>
  <si>
    <t>Products</t>
  </si>
  <si>
    <t>SalesManager</t>
  </si>
  <si>
    <t>Sales Variance by Month</t>
  </si>
  <si>
    <t>Expense Variance by Month</t>
  </si>
  <si>
    <t>Sum of Actual Net Profit2</t>
  </si>
  <si>
    <t>Product_Branch</t>
  </si>
  <si>
    <t>Apple - Abuja</t>
  </si>
  <si>
    <t>Apple - Ibadan</t>
  </si>
  <si>
    <t>Apple - Kaduna</t>
  </si>
  <si>
    <t>Apple - Lagos</t>
  </si>
  <si>
    <t>Apple - Warri</t>
  </si>
  <si>
    <t>Avocado - Abuja</t>
  </si>
  <si>
    <t>Avocado - Ibadan</t>
  </si>
  <si>
    <t>Avocado - Kaduna</t>
  </si>
  <si>
    <t>Avocado - Lagos</t>
  </si>
  <si>
    <t>Avocado - Warri</t>
  </si>
  <si>
    <t>Banana - Abuja</t>
  </si>
  <si>
    <t>Banana - Ibadan</t>
  </si>
  <si>
    <t>Banana - Kaduna</t>
  </si>
  <si>
    <t>Banana - Lagos</t>
  </si>
  <si>
    <t>Banana - Warri</t>
  </si>
  <si>
    <t>Cucumber - Abuja</t>
  </si>
  <si>
    <t>Cucumber - Ibadan</t>
  </si>
  <si>
    <t>Cucumber - Kaduna</t>
  </si>
  <si>
    <t>Cucumber - Lagos</t>
  </si>
  <si>
    <t>Cucumber - Warri</t>
  </si>
  <si>
    <t>Kiwi - Abuja</t>
  </si>
  <si>
    <t>Kiwi - Ibadan</t>
  </si>
  <si>
    <t>Kiwi - Kaduna</t>
  </si>
  <si>
    <t>Kiwi - Lagos</t>
  </si>
  <si>
    <t>Kiwi - Warri</t>
  </si>
  <si>
    <t>Mango - Abuja</t>
  </si>
  <si>
    <t>Mango - Ibadan</t>
  </si>
  <si>
    <t>Mango - Kaduna</t>
  </si>
  <si>
    <t>Mango - Lagos</t>
  </si>
  <si>
    <t>Mango - Warri</t>
  </si>
  <si>
    <t>Melon - Abuja</t>
  </si>
  <si>
    <t>Melon - Ibadan</t>
  </si>
  <si>
    <t>Melon - Kaduna</t>
  </si>
  <si>
    <t>Melon - Lagos</t>
  </si>
  <si>
    <t>Melon - Warri</t>
  </si>
  <si>
    <t>Orange - Abuja</t>
  </si>
  <si>
    <t>Orange - Ibadan</t>
  </si>
  <si>
    <t>Orange - Kaduna</t>
  </si>
  <si>
    <t>Orange - Lagos</t>
  </si>
  <si>
    <t>Orange - Warri</t>
  </si>
  <si>
    <t>Pawpaw - Abuja</t>
  </si>
  <si>
    <t>Pawpaw - Ibadan</t>
  </si>
  <si>
    <t>Pawpaw - Kaduna</t>
  </si>
  <si>
    <t>Pawpaw - Lagos</t>
  </si>
  <si>
    <t>Pawpaw - Warri</t>
  </si>
  <si>
    <t>Pineapple - Abuja</t>
  </si>
  <si>
    <t>Pineapple - Ibadan</t>
  </si>
  <si>
    <t>Pineapple - Kaduna</t>
  </si>
  <si>
    <t>Pineapple - Lagos</t>
  </si>
  <si>
    <t>Pineapple - Warri</t>
  </si>
  <si>
    <t>Count of Product</t>
  </si>
  <si>
    <t>Net Profit Margin by Branch</t>
  </si>
  <si>
    <t xml:space="preserve">Expense Variance by Manager </t>
  </si>
  <si>
    <t>Net Profit Margin % By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</si>
</sst>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_-* #,##0.00_-;\-* #,##0.00_-;_-* &quot;-&quot;??_-;_-@_-"/>
    <numFmt numFmtId="165" formatCode="_-* #,##0_-;\-* #,##0_-;_-* &quot;-&quot;??_-;_-@_-"/>
    <numFmt numFmtId="166" formatCode="_-[$₦-406]* #,##0_-;_-[$₦-406]* \(#,##0\)_-;_-[$₦-406]* &quot;-&quot;_-;_-@_-"/>
    <numFmt numFmtId="167" formatCode="0.0%"/>
    <numFmt numFmtId="168" formatCode="[$₦-471]\ #,##0"/>
    <numFmt numFmtId="169" formatCode="_-[$₦-46A]* #,##0_-;\-[$₦-46A]* #,##0_-;_-[$₦-46A]* &quot;-&quot;_-;_-@_-"/>
    <numFmt numFmtId="170" formatCode="_-[$₦-406]* #,##0_);_-\([$₦-406]* #,##0\);_-[$₦-406]* &quot;-&quot;_);_-@_-"/>
    <numFmt numFmtId="171" formatCode="_-[$₦-46A]* #,##0_-;\-[$₦-46A]* #,##0_-;_-[$₦-46A]* &quot;-&quot;??_-;_-@_-"/>
  </numFmts>
  <fonts count="13" x14ac:knownFonts="1">
    <font>
      <sz val="11"/>
      <color theme="1"/>
      <name val="Calibri"/>
      <family val="2"/>
      <scheme val="minor"/>
    </font>
    <font>
      <sz val="11"/>
      <color theme="1"/>
      <name val="Calibri"/>
      <family val="2"/>
      <scheme val="minor"/>
    </font>
    <font>
      <sz val="9"/>
      <color theme="1"/>
      <name val="Biome"/>
      <family val="2"/>
    </font>
    <font>
      <sz val="8"/>
      <name val="Calibri"/>
      <family val="2"/>
      <scheme val="minor"/>
    </font>
    <font>
      <sz val="9"/>
      <color theme="2"/>
      <name val="Biome"/>
      <family val="2"/>
    </font>
    <font>
      <sz val="9"/>
      <color theme="0"/>
      <name val="Biome"/>
      <family val="2"/>
    </font>
    <font>
      <b/>
      <sz val="10"/>
      <color theme="0"/>
      <name val="Biome"/>
      <family val="2"/>
    </font>
    <font>
      <sz val="10"/>
      <color theme="1"/>
      <name val="Biome"/>
      <family val="2"/>
    </font>
    <font>
      <sz val="10"/>
      <color theme="1"/>
      <name val="Calibri"/>
      <family val="2"/>
      <scheme val="minor"/>
    </font>
    <font>
      <b/>
      <sz val="12"/>
      <color theme="0"/>
      <name val="Calibri"/>
      <family val="2"/>
      <scheme val="minor"/>
    </font>
    <font>
      <sz val="10"/>
      <color theme="0"/>
      <name val="Biome"/>
      <family val="2"/>
    </font>
    <font>
      <b/>
      <sz val="10"/>
      <color theme="0"/>
      <name val="Biome"/>
    </font>
    <font>
      <sz val="10"/>
      <color rgb="FFC00000"/>
      <name val="Biome"/>
      <family val="2"/>
    </font>
  </fonts>
  <fills count="6">
    <fill>
      <patternFill patternType="none"/>
    </fill>
    <fill>
      <patternFill patternType="gray125"/>
    </fill>
    <fill>
      <patternFill patternType="solid">
        <fgColor theme="1"/>
        <bgColor indexed="64"/>
      </patternFill>
    </fill>
    <fill>
      <patternFill patternType="solid">
        <fgColor theme="4" tint="-0.249977111117893"/>
        <bgColor indexed="64"/>
      </patternFill>
    </fill>
    <fill>
      <patternFill patternType="solid">
        <fgColor theme="1" tint="0.34998626667073579"/>
        <bgColor indexed="64"/>
      </patternFill>
    </fill>
    <fill>
      <patternFill patternType="solid">
        <fgColor theme="0" tint="-0.14999847407452621"/>
        <bgColor indexed="64"/>
      </patternFill>
    </fill>
  </fills>
  <borders count="2">
    <border>
      <left/>
      <right/>
      <top/>
      <bottom/>
      <diagonal/>
    </border>
    <border>
      <left/>
      <right/>
      <top/>
      <bottom style="thin">
        <color theme="4" tint="0.39997558519241921"/>
      </bottom>
      <diagonal/>
    </border>
  </borders>
  <cellStyleXfs count="2">
    <xf numFmtId="0" fontId="0" fillId="0" borderId="0"/>
    <xf numFmtId="164" fontId="1" fillId="0" borderId="0" applyFont="0" applyFill="0" applyBorder="0" applyAlignment="0" applyProtection="0"/>
  </cellStyleXfs>
  <cellXfs count="47">
    <xf numFmtId="0" fontId="0" fillId="0" borderId="0" xfId="0"/>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right" vertical="center"/>
    </xf>
    <xf numFmtId="165" fontId="2" fillId="0" borderId="0" xfId="1" applyNumberFormat="1" applyFont="1" applyAlignment="1">
      <alignment horizontal="right" vertical="center"/>
    </xf>
    <xf numFmtId="0" fontId="4" fillId="2" borderId="0" xfId="0" applyFont="1" applyFill="1" applyAlignment="1">
      <alignment horizontal="center" vertical="center"/>
    </xf>
    <xf numFmtId="0" fontId="4" fillId="2" borderId="0" xfId="0" applyFont="1" applyFill="1" applyAlignment="1">
      <alignment vertical="center"/>
    </xf>
    <xf numFmtId="0" fontId="5" fillId="2" borderId="0" xfId="0" applyFont="1" applyFill="1" applyAlignment="1">
      <alignment horizontal="center" vertical="center"/>
    </xf>
    <xf numFmtId="0" fontId="5" fillId="2" borderId="0" xfId="0" applyFont="1" applyFill="1" applyAlignment="1">
      <alignment vertical="center"/>
    </xf>
    <xf numFmtId="0" fontId="5" fillId="2" borderId="0" xfId="0" applyFont="1" applyFill="1" applyAlignment="1">
      <alignment horizontal="right" vertical="center"/>
    </xf>
    <xf numFmtId="164" fontId="5" fillId="2" borderId="0" xfId="1" applyFont="1" applyFill="1" applyAlignment="1">
      <alignment horizontal="right" vertical="center"/>
    </xf>
    <xf numFmtId="164" fontId="2" fillId="0" borderId="0" xfId="1" applyFont="1" applyAlignment="1">
      <alignment horizontal="right" vertical="center"/>
    </xf>
    <xf numFmtId="0" fontId="4" fillId="0" borderId="0" xfId="0" applyFont="1" applyAlignment="1">
      <alignment vertical="center"/>
    </xf>
    <xf numFmtId="166" fontId="5" fillId="2" borderId="0" xfId="1" applyNumberFormat="1" applyFont="1" applyFill="1" applyAlignment="1">
      <alignment horizontal="right" vertical="center"/>
    </xf>
    <xf numFmtId="166" fontId="0" fillId="0" borderId="0" xfId="0" applyNumberFormat="1"/>
    <xf numFmtId="166" fontId="4" fillId="0" borderId="0" xfId="0" applyNumberFormat="1" applyFont="1" applyAlignment="1">
      <alignment vertical="center"/>
    </xf>
    <xf numFmtId="166" fontId="2" fillId="0" borderId="0" xfId="0" applyNumberFormat="1" applyFont="1" applyAlignment="1">
      <alignment vertical="center"/>
    </xf>
    <xf numFmtId="0" fontId="2" fillId="0" borderId="0" xfId="0" applyFont="1"/>
    <xf numFmtId="0" fontId="6" fillId="3" borderId="0" xfId="0" applyFont="1" applyFill="1"/>
    <xf numFmtId="0" fontId="7" fillId="0" borderId="0" xfId="0" applyFont="1"/>
    <xf numFmtId="0" fontId="8" fillId="0" borderId="0" xfId="0" applyFont="1"/>
    <xf numFmtId="0" fontId="6" fillId="3" borderId="0" xfId="0" applyFont="1" applyFill="1" applyAlignment="1">
      <alignment horizontal="left"/>
    </xf>
    <xf numFmtId="169" fontId="2" fillId="0" borderId="0" xfId="0" applyNumberFormat="1" applyFont="1" applyAlignment="1">
      <alignment vertical="center"/>
    </xf>
    <xf numFmtId="169" fontId="9" fillId="3" borderId="0" xfId="0" applyNumberFormat="1" applyFont="1" applyFill="1"/>
    <xf numFmtId="0" fontId="9" fillId="3" borderId="1" xfId="0" applyFont="1" applyFill="1" applyBorder="1"/>
    <xf numFmtId="168" fontId="9" fillId="3" borderId="1" xfId="0" applyNumberFormat="1" applyFont="1" applyFill="1" applyBorder="1"/>
    <xf numFmtId="167" fontId="9" fillId="3" borderId="1" xfId="0" applyNumberFormat="1" applyFont="1" applyFill="1" applyBorder="1"/>
    <xf numFmtId="167" fontId="5" fillId="2" borderId="0" xfId="1" applyNumberFormat="1" applyFont="1" applyFill="1" applyAlignment="1">
      <alignment horizontal="right" vertical="center"/>
    </xf>
    <xf numFmtId="167" fontId="2" fillId="0" borderId="0" xfId="0" applyNumberFormat="1" applyFont="1" applyAlignment="1">
      <alignment vertical="center"/>
    </xf>
    <xf numFmtId="171" fontId="2" fillId="0" borderId="0" xfId="0" applyNumberFormat="1" applyFont="1" applyAlignment="1">
      <alignment vertical="center"/>
    </xf>
    <xf numFmtId="0" fontId="10" fillId="3" borderId="0" xfId="0" applyFont="1" applyFill="1"/>
    <xf numFmtId="0" fontId="7" fillId="0" borderId="0" xfId="0" applyFont="1" applyAlignment="1">
      <alignment horizontal="left"/>
    </xf>
    <xf numFmtId="167" fontId="7" fillId="0" borderId="0" xfId="0" applyNumberFormat="1" applyFont="1"/>
    <xf numFmtId="167" fontId="10" fillId="3" borderId="0" xfId="0" applyNumberFormat="1" applyFont="1" applyFill="1"/>
    <xf numFmtId="166" fontId="7" fillId="0" borderId="0" xfId="0" applyNumberFormat="1" applyFont="1"/>
    <xf numFmtId="166" fontId="10" fillId="3" borderId="0" xfId="0" applyNumberFormat="1" applyFont="1" applyFill="1"/>
    <xf numFmtId="169" fontId="7" fillId="0" borderId="0" xfId="0" applyNumberFormat="1" applyFont="1"/>
    <xf numFmtId="169" fontId="10" fillId="3" borderId="0" xfId="0" applyNumberFormat="1" applyFont="1" applyFill="1"/>
    <xf numFmtId="170" fontId="7" fillId="0" borderId="0" xfId="0" applyNumberFormat="1" applyFont="1"/>
    <xf numFmtId="0" fontId="7" fillId="0" borderId="0" xfId="0" applyFont="1" applyAlignment="1">
      <alignment horizontal="left" indent="1"/>
    </xf>
    <xf numFmtId="0" fontId="0" fillId="4" borderId="0" xfId="0" applyFill="1"/>
    <xf numFmtId="0" fontId="0" fillId="5" borderId="0" xfId="0" applyFill="1"/>
    <xf numFmtId="0" fontId="11" fillId="3" borderId="0" xfId="0" applyFont="1" applyFill="1"/>
    <xf numFmtId="0" fontId="10" fillId="3" borderId="0" xfId="0" applyFont="1" applyFill="1" applyAlignment="1"/>
    <xf numFmtId="0" fontId="7" fillId="0" borderId="0" xfId="0" applyNumberFormat="1" applyFont="1"/>
    <xf numFmtId="0" fontId="10" fillId="3" borderId="0" xfId="0" applyNumberFormat="1" applyFont="1" applyFill="1"/>
    <xf numFmtId="169" fontId="12" fillId="0" borderId="0" xfId="0" applyNumberFormat="1" applyFont="1"/>
  </cellXfs>
  <cellStyles count="2">
    <cellStyle name="Comma" xfId="1" builtinId="3"/>
    <cellStyle name="Normal" xfId="0" builtinId="0"/>
  </cellStyles>
  <dxfs count="2564">
    <dxf>
      <font>
        <color theme="0"/>
      </font>
      <fill>
        <patternFill patternType="solid">
          <fgColor indexed="64"/>
          <bgColor theme="4" tint="-0.249977111117893"/>
        </patternFill>
      </fill>
    </dxf>
    <dxf>
      <font>
        <sz val="10"/>
        <color theme="0"/>
        <name val="Biome"/>
        <scheme val="none"/>
      </font>
      <fill>
        <patternFill patternType="solid">
          <fgColor indexed="64"/>
          <bgColor theme="4" tint="-0.249977111117893"/>
        </patternFill>
      </fill>
    </dxf>
    <dxf>
      <font>
        <color theme="0"/>
      </font>
      <fill>
        <patternFill patternType="solid">
          <fgColor indexed="64"/>
          <bgColor theme="4" tint="-0.249977111117893"/>
        </patternFill>
      </fill>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numFmt numFmtId="167" formatCode="0.0%"/>
    </dxf>
    <dxf>
      <numFmt numFmtId="167" formatCode="0.0%"/>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numFmt numFmtId="167" formatCode="0.0%"/>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sz val="1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font>
        <name val="Biome"/>
        <scheme val="none"/>
      </font>
    </dxf>
    <dxf>
      <numFmt numFmtId="169" formatCode="_-[$₦-46A]* #,##0_-;\-[$₦-46A]* #,##0_-;_-[$₦-46A]* &quot;-&quot;_-;_-@_-"/>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numFmt numFmtId="167" formatCode="0.0%"/>
    </dxf>
    <dxf>
      <font>
        <color theme="0"/>
      </font>
      <fill>
        <patternFill patternType="solid">
          <fgColor indexed="64"/>
          <bgColor theme="4" tint="-0.249977111117893"/>
        </patternFill>
      </fill>
    </dxf>
    <dxf>
      <font>
        <color theme="0"/>
      </font>
      <fill>
        <patternFill patternType="solid">
          <fgColor indexed="64"/>
          <bgColor theme="4" tint="-0.249977111117893"/>
        </patternFill>
      </fill>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bgColor theme="4" tint="-0.249977111117893"/>
        </patternFill>
      </fill>
    </dxf>
    <dxf>
      <font>
        <color theme="0"/>
      </font>
    </dxf>
    <dxf>
      <font>
        <color theme="0"/>
      </font>
    </dxf>
    <dxf>
      <fill>
        <patternFill patternType="solid">
          <bgColor theme="4" tint="-0.249977111117893"/>
        </patternFill>
      </fill>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numFmt numFmtId="167" formatCode="0.0%"/>
    </dxf>
    <dxf>
      <numFmt numFmtId="167" formatCode="0.0%"/>
    </dxf>
    <dxf>
      <numFmt numFmtId="167" formatCode="0.0%"/>
    </dxf>
    <dxf>
      <numFmt numFmtId="169" formatCode="_-[$₦-46A]* #,##0_-;\-[$₦-46A]* #,##0_-;_-[$₦-46A]* &quot;-&quot;_-;_-@_-"/>
    </dxf>
    <dxf>
      <font>
        <b/>
        <color theme="0"/>
      </font>
      <fill>
        <patternFill patternType="solid">
          <fgColor indexed="64"/>
          <bgColor theme="4" tint="-0.249977111117893"/>
        </patternFill>
      </fill>
    </dxf>
    <dxf>
      <font>
        <b/>
        <color theme="0"/>
      </font>
      <fill>
        <patternFill patternType="solid">
          <fgColor indexed="64"/>
          <bgColor theme="4" tint="-0.249977111117893"/>
        </patternFill>
      </fill>
    </dxf>
    <dxf>
      <font>
        <b/>
        <color theme="0"/>
      </font>
      <fill>
        <patternFill patternType="solid">
          <fgColor indexed="64"/>
          <bgColor theme="4" tint="-0.249977111117893"/>
        </patternFill>
      </fill>
    </dxf>
    <dxf>
      <font>
        <color theme="0"/>
      </font>
      <fill>
        <patternFill patternType="solid">
          <fgColor indexed="64"/>
          <bgColor theme="4" tint="-0.249977111117893"/>
        </patternFill>
      </fill>
    </dxf>
    <dxf>
      <fill>
        <patternFill patternType="solid">
          <bgColor theme="4" tint="-0.249977111117893"/>
        </patternFill>
      </fill>
    </dxf>
    <dxf>
      <font>
        <color theme="0"/>
      </font>
    </dxf>
    <dxf>
      <font>
        <sz val="10"/>
      </font>
    </dxf>
    <dxf>
      <font>
        <sz val="10"/>
      </font>
    </dxf>
    <dxf>
      <font>
        <sz val="10"/>
      </font>
    </dxf>
    <dxf>
      <font>
        <name val="Biome"/>
        <scheme val="none"/>
      </font>
    </dxf>
    <dxf>
      <font>
        <name val="Biome"/>
        <scheme val="none"/>
      </font>
    </dxf>
    <dxf>
      <font>
        <name val="Biome"/>
        <scheme val="none"/>
      </font>
    </dxf>
    <dxf>
      <numFmt numFmtId="173" formatCode="[$₦-46A]#,##0.0"/>
    </dxf>
    <dxf>
      <numFmt numFmtId="169" formatCode="_-[$₦-46A]* #,##0_-;\-[$₦-46A]* #,##0_-;_-[$₦-46A]* &quot;-&quot;_-;_-@_-"/>
    </dxf>
    <dxf>
      <numFmt numFmtId="169" formatCode="_-[$₦-46A]* #,##0_-;\-[$₦-46A]* #,##0_-;_-[$₦-46A]* &quot;-&quot;_-;_-@_-"/>
    </dxf>
    <dxf>
      <numFmt numFmtId="167" formatCode="0.0%"/>
    </dxf>
    <dxf>
      <numFmt numFmtId="170" formatCode="_-[$₦-406]* #,##0_);_-\([$₦-406]* #,##0\);_-[$₦-406]* &quot;-&quot;_);_-@_-"/>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sz val="1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font>
        <name val="Biome"/>
        <scheme val="none"/>
      </font>
    </dxf>
    <dxf>
      <numFmt numFmtId="167" formatCode="0.0%"/>
    </dxf>
    <dxf>
      <numFmt numFmtId="167" formatCode="0.0%"/>
    </dxf>
    <dxf>
      <font>
        <color theme="0"/>
      </font>
      <fill>
        <patternFill patternType="solid">
          <fgColor indexed="64"/>
          <bgColor theme="4" tint="-0.249977111117893"/>
        </patternFill>
      </fill>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b/>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numFmt numFmtId="167" formatCode="0.0%"/>
    </dxf>
    <dxf>
      <fill>
        <patternFill patternType="solid">
          <bgColor theme="4" tint="-0.249977111117893"/>
        </patternFill>
      </fill>
    </dxf>
    <dxf>
      <fill>
        <patternFill patternType="solid">
          <bgColor theme="4" tint="-0.249977111117893"/>
        </patternFill>
      </fill>
    </dxf>
    <dxf>
      <font>
        <color theme="0"/>
      </font>
    </dxf>
    <dxf>
      <font>
        <color theme="0"/>
      </font>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ont>
        <sz val="1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font>
        <name val="Biome"/>
        <scheme val="none"/>
      </font>
    </dxf>
    <dxf>
      <numFmt numFmtId="167" formatCode="0.0%"/>
    </dxf>
    <dxf>
      <numFmt numFmtId="167" formatCode="0.0%"/>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numFmt numFmtId="167" formatCode="0.0%"/>
    </dxf>
    <dxf>
      <numFmt numFmtId="167" formatCode="0.0%"/>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numFmt numFmtId="167" formatCode="0.0%"/>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sz val="1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font>
        <name val="Biome"/>
        <scheme val="none"/>
      </font>
    </dxf>
    <dxf>
      <numFmt numFmtId="169" formatCode="_-[$₦-46A]* #,##0_-;\-[$₦-46A]* #,##0_-;_-[$₦-46A]* &quot;-&quot;_-;_-@_-"/>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numFmt numFmtId="167" formatCode="0.0%"/>
    </dxf>
    <dxf>
      <font>
        <color theme="0"/>
      </font>
      <fill>
        <patternFill patternType="solid">
          <fgColor indexed="64"/>
          <bgColor theme="4" tint="-0.249977111117893"/>
        </patternFill>
      </fill>
    </dxf>
    <dxf>
      <font>
        <color theme="0"/>
      </font>
      <fill>
        <patternFill patternType="solid">
          <fgColor indexed="64"/>
          <bgColor theme="4" tint="-0.249977111117893"/>
        </patternFill>
      </fill>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bgColor theme="4" tint="-0.249977111117893"/>
        </patternFill>
      </fill>
    </dxf>
    <dxf>
      <font>
        <color theme="0"/>
      </font>
    </dxf>
    <dxf>
      <font>
        <color theme="0"/>
      </font>
    </dxf>
    <dxf>
      <fill>
        <patternFill patternType="solid">
          <bgColor theme="4" tint="-0.249977111117893"/>
        </patternFill>
      </fill>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numFmt numFmtId="167" formatCode="0.0%"/>
    </dxf>
    <dxf>
      <numFmt numFmtId="167" formatCode="0.0%"/>
    </dxf>
    <dxf>
      <numFmt numFmtId="167" formatCode="0.0%"/>
    </dxf>
    <dxf>
      <numFmt numFmtId="169" formatCode="_-[$₦-46A]* #,##0_-;\-[$₦-46A]* #,##0_-;_-[$₦-46A]* &quot;-&quot;_-;_-@_-"/>
    </dxf>
    <dxf>
      <font>
        <b/>
        <color theme="0"/>
      </font>
      <fill>
        <patternFill patternType="solid">
          <fgColor indexed="64"/>
          <bgColor theme="4" tint="-0.249977111117893"/>
        </patternFill>
      </fill>
    </dxf>
    <dxf>
      <font>
        <b/>
        <color theme="0"/>
      </font>
      <fill>
        <patternFill patternType="solid">
          <fgColor indexed="64"/>
          <bgColor theme="4" tint="-0.249977111117893"/>
        </patternFill>
      </fill>
    </dxf>
    <dxf>
      <font>
        <b/>
        <color theme="0"/>
      </font>
      <fill>
        <patternFill patternType="solid">
          <fgColor indexed="64"/>
          <bgColor theme="4" tint="-0.249977111117893"/>
        </patternFill>
      </fill>
    </dxf>
    <dxf>
      <font>
        <color theme="0"/>
      </font>
      <fill>
        <patternFill patternType="solid">
          <fgColor indexed="64"/>
          <bgColor theme="4" tint="-0.249977111117893"/>
        </patternFill>
      </fill>
    </dxf>
    <dxf>
      <fill>
        <patternFill patternType="solid">
          <bgColor theme="4" tint="-0.249977111117893"/>
        </patternFill>
      </fill>
    </dxf>
    <dxf>
      <font>
        <color theme="0"/>
      </font>
    </dxf>
    <dxf>
      <font>
        <sz val="10"/>
      </font>
    </dxf>
    <dxf>
      <font>
        <sz val="10"/>
      </font>
    </dxf>
    <dxf>
      <font>
        <sz val="10"/>
      </font>
    </dxf>
    <dxf>
      <font>
        <name val="Biome"/>
        <scheme val="none"/>
      </font>
    </dxf>
    <dxf>
      <font>
        <name val="Biome"/>
        <scheme val="none"/>
      </font>
    </dxf>
    <dxf>
      <font>
        <name val="Biome"/>
        <scheme val="none"/>
      </font>
    </dxf>
    <dxf>
      <numFmt numFmtId="173" formatCode="[$₦-46A]#,##0.0"/>
    </dxf>
    <dxf>
      <numFmt numFmtId="169" formatCode="_-[$₦-46A]* #,##0_-;\-[$₦-46A]* #,##0_-;_-[$₦-46A]* &quot;-&quot;_-;_-@_-"/>
    </dxf>
    <dxf>
      <numFmt numFmtId="169" formatCode="_-[$₦-46A]* #,##0_-;\-[$₦-46A]* #,##0_-;_-[$₦-46A]* &quot;-&quot;_-;_-@_-"/>
    </dxf>
    <dxf>
      <numFmt numFmtId="167" formatCode="0.0%"/>
    </dxf>
    <dxf>
      <numFmt numFmtId="170" formatCode="_-[$₦-406]* #,##0_);_-\([$₦-406]* #,##0\);_-[$₦-406]* &quot;-&quot;_);_-@_-"/>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sz val="1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font>
        <name val="Biome"/>
        <scheme val="none"/>
      </font>
    </dxf>
    <dxf>
      <numFmt numFmtId="167" formatCode="0.0%"/>
    </dxf>
    <dxf>
      <numFmt numFmtId="167" formatCode="0.0%"/>
    </dxf>
    <dxf>
      <font>
        <color theme="0"/>
      </font>
      <fill>
        <patternFill patternType="solid">
          <fgColor indexed="64"/>
          <bgColor theme="4" tint="-0.249977111117893"/>
        </patternFill>
      </fill>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b/>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numFmt numFmtId="167" formatCode="0.0%"/>
    </dxf>
    <dxf>
      <fill>
        <patternFill patternType="solid">
          <bgColor theme="4" tint="-0.249977111117893"/>
        </patternFill>
      </fill>
    </dxf>
    <dxf>
      <fill>
        <patternFill patternType="solid">
          <bgColor theme="4" tint="-0.249977111117893"/>
        </patternFill>
      </fill>
    </dxf>
    <dxf>
      <font>
        <color theme="0"/>
      </font>
    </dxf>
    <dxf>
      <font>
        <color theme="0"/>
      </font>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ont>
        <sz val="1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font>
        <name val="Biome"/>
        <scheme val="none"/>
      </font>
    </dxf>
    <dxf>
      <numFmt numFmtId="167" formatCode="0.0%"/>
    </dxf>
    <dxf>
      <numFmt numFmtId="167" formatCode="0.0%"/>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numFmt numFmtId="167" formatCode="0.0%"/>
    </dxf>
    <dxf>
      <numFmt numFmtId="167" formatCode="0.0%"/>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numFmt numFmtId="167" formatCode="0.0%"/>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sz val="1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font>
        <name val="Biome"/>
        <scheme val="none"/>
      </font>
    </dxf>
    <dxf>
      <numFmt numFmtId="169" formatCode="_-[$₦-46A]* #,##0_-;\-[$₦-46A]* #,##0_-;_-[$₦-46A]* &quot;-&quot;_-;_-@_-"/>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numFmt numFmtId="167" formatCode="0.0%"/>
    </dxf>
    <dxf>
      <font>
        <color theme="0"/>
      </font>
      <fill>
        <patternFill patternType="solid">
          <fgColor indexed="64"/>
          <bgColor theme="4" tint="-0.249977111117893"/>
        </patternFill>
      </fill>
    </dxf>
    <dxf>
      <font>
        <color theme="0"/>
      </font>
      <fill>
        <patternFill patternType="solid">
          <fgColor indexed="64"/>
          <bgColor theme="4" tint="-0.249977111117893"/>
        </patternFill>
      </fill>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bgColor theme="4" tint="-0.249977111117893"/>
        </patternFill>
      </fill>
    </dxf>
    <dxf>
      <font>
        <color theme="0"/>
      </font>
    </dxf>
    <dxf>
      <font>
        <color theme="0"/>
      </font>
    </dxf>
    <dxf>
      <fill>
        <patternFill patternType="solid">
          <bgColor theme="4" tint="-0.249977111117893"/>
        </patternFill>
      </fill>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numFmt numFmtId="167" formatCode="0.0%"/>
    </dxf>
    <dxf>
      <numFmt numFmtId="167" formatCode="0.0%"/>
    </dxf>
    <dxf>
      <numFmt numFmtId="167" formatCode="0.0%"/>
    </dxf>
    <dxf>
      <numFmt numFmtId="169" formatCode="_-[$₦-46A]* #,##0_-;\-[$₦-46A]* #,##0_-;_-[$₦-46A]* &quot;-&quot;_-;_-@_-"/>
    </dxf>
    <dxf>
      <font>
        <b/>
        <color theme="0"/>
      </font>
      <fill>
        <patternFill patternType="solid">
          <fgColor indexed="64"/>
          <bgColor theme="4" tint="-0.249977111117893"/>
        </patternFill>
      </fill>
    </dxf>
    <dxf>
      <font>
        <b/>
        <color theme="0"/>
      </font>
      <fill>
        <patternFill patternType="solid">
          <fgColor indexed="64"/>
          <bgColor theme="4" tint="-0.249977111117893"/>
        </patternFill>
      </fill>
    </dxf>
    <dxf>
      <font>
        <b/>
        <color theme="0"/>
      </font>
      <fill>
        <patternFill patternType="solid">
          <fgColor indexed="64"/>
          <bgColor theme="4" tint="-0.249977111117893"/>
        </patternFill>
      </fill>
    </dxf>
    <dxf>
      <font>
        <color theme="0"/>
      </font>
      <fill>
        <patternFill patternType="solid">
          <fgColor indexed="64"/>
          <bgColor theme="4" tint="-0.249977111117893"/>
        </patternFill>
      </fill>
    </dxf>
    <dxf>
      <fill>
        <patternFill patternType="solid">
          <bgColor theme="4" tint="-0.249977111117893"/>
        </patternFill>
      </fill>
    </dxf>
    <dxf>
      <font>
        <color theme="0"/>
      </font>
    </dxf>
    <dxf>
      <font>
        <sz val="10"/>
      </font>
    </dxf>
    <dxf>
      <font>
        <sz val="10"/>
      </font>
    </dxf>
    <dxf>
      <font>
        <sz val="10"/>
      </font>
    </dxf>
    <dxf>
      <font>
        <name val="Biome"/>
        <scheme val="none"/>
      </font>
    </dxf>
    <dxf>
      <font>
        <name val="Biome"/>
        <scheme val="none"/>
      </font>
    </dxf>
    <dxf>
      <font>
        <name val="Biome"/>
        <scheme val="none"/>
      </font>
    </dxf>
    <dxf>
      <numFmt numFmtId="173" formatCode="[$₦-46A]#,##0.0"/>
    </dxf>
    <dxf>
      <numFmt numFmtId="169" formatCode="_-[$₦-46A]* #,##0_-;\-[$₦-46A]* #,##0_-;_-[$₦-46A]* &quot;-&quot;_-;_-@_-"/>
    </dxf>
    <dxf>
      <numFmt numFmtId="169" formatCode="_-[$₦-46A]* #,##0_-;\-[$₦-46A]* #,##0_-;_-[$₦-46A]* &quot;-&quot;_-;_-@_-"/>
    </dxf>
    <dxf>
      <numFmt numFmtId="167" formatCode="0.0%"/>
    </dxf>
    <dxf>
      <numFmt numFmtId="170" formatCode="_-[$₦-406]* #,##0_);_-\([$₦-406]* #,##0\);_-[$₦-406]* &quot;-&quot;_);_-@_-"/>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sz val="1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font>
        <name val="Biome"/>
        <scheme val="none"/>
      </font>
    </dxf>
    <dxf>
      <numFmt numFmtId="167" formatCode="0.0%"/>
    </dxf>
    <dxf>
      <numFmt numFmtId="167" formatCode="0.0%"/>
    </dxf>
    <dxf>
      <font>
        <color theme="0"/>
      </font>
      <fill>
        <patternFill patternType="solid">
          <fgColor indexed="64"/>
          <bgColor theme="4" tint="-0.249977111117893"/>
        </patternFill>
      </fill>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b/>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numFmt numFmtId="167" formatCode="0.0%"/>
    </dxf>
    <dxf>
      <fill>
        <patternFill patternType="solid">
          <bgColor theme="4" tint="-0.249977111117893"/>
        </patternFill>
      </fill>
    </dxf>
    <dxf>
      <fill>
        <patternFill patternType="solid">
          <bgColor theme="4" tint="-0.249977111117893"/>
        </patternFill>
      </fill>
    </dxf>
    <dxf>
      <font>
        <color theme="0"/>
      </font>
    </dxf>
    <dxf>
      <font>
        <color theme="0"/>
      </font>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ont>
        <sz val="1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font>
        <name val="Biome"/>
        <scheme val="none"/>
      </font>
    </dxf>
    <dxf>
      <numFmt numFmtId="167" formatCode="0.0%"/>
    </dxf>
    <dxf>
      <numFmt numFmtId="167" formatCode="0.0%"/>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numFmt numFmtId="167" formatCode="0.0%"/>
    </dxf>
    <dxf>
      <numFmt numFmtId="167" formatCode="0.0%"/>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numFmt numFmtId="167" formatCode="0.0%"/>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sz val="1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font>
        <name val="Biome"/>
        <scheme val="none"/>
      </font>
    </dxf>
    <dxf>
      <numFmt numFmtId="169" formatCode="_-[$₦-46A]* #,##0_-;\-[$₦-46A]* #,##0_-;_-[$₦-46A]* &quot;-&quot;_-;_-@_-"/>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numFmt numFmtId="167" formatCode="0.0%"/>
    </dxf>
    <dxf>
      <font>
        <color theme="0"/>
      </font>
      <fill>
        <patternFill patternType="solid">
          <fgColor indexed="64"/>
          <bgColor theme="4" tint="-0.249977111117893"/>
        </patternFill>
      </fill>
    </dxf>
    <dxf>
      <font>
        <color theme="0"/>
      </font>
      <fill>
        <patternFill patternType="solid">
          <fgColor indexed="64"/>
          <bgColor theme="4" tint="-0.249977111117893"/>
        </patternFill>
      </fill>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bgColor theme="4" tint="-0.249977111117893"/>
        </patternFill>
      </fill>
    </dxf>
    <dxf>
      <font>
        <color theme="0"/>
      </font>
    </dxf>
    <dxf>
      <font>
        <color theme="0"/>
      </font>
    </dxf>
    <dxf>
      <fill>
        <patternFill patternType="solid">
          <bgColor theme="4" tint="-0.249977111117893"/>
        </patternFill>
      </fill>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numFmt numFmtId="167" formatCode="0.0%"/>
    </dxf>
    <dxf>
      <numFmt numFmtId="167" formatCode="0.0%"/>
    </dxf>
    <dxf>
      <numFmt numFmtId="167" formatCode="0.0%"/>
    </dxf>
    <dxf>
      <numFmt numFmtId="169" formatCode="_-[$₦-46A]* #,##0_-;\-[$₦-46A]* #,##0_-;_-[$₦-46A]* &quot;-&quot;_-;_-@_-"/>
    </dxf>
    <dxf>
      <font>
        <b/>
        <color theme="0"/>
      </font>
      <fill>
        <patternFill patternType="solid">
          <fgColor indexed="64"/>
          <bgColor theme="4" tint="-0.249977111117893"/>
        </patternFill>
      </fill>
    </dxf>
    <dxf>
      <font>
        <b/>
        <color theme="0"/>
      </font>
      <fill>
        <patternFill patternType="solid">
          <fgColor indexed="64"/>
          <bgColor theme="4" tint="-0.249977111117893"/>
        </patternFill>
      </fill>
    </dxf>
    <dxf>
      <font>
        <b/>
        <color theme="0"/>
      </font>
      <fill>
        <patternFill patternType="solid">
          <fgColor indexed="64"/>
          <bgColor theme="4" tint="-0.249977111117893"/>
        </patternFill>
      </fill>
    </dxf>
    <dxf>
      <font>
        <color theme="0"/>
      </font>
      <fill>
        <patternFill patternType="solid">
          <fgColor indexed="64"/>
          <bgColor theme="4" tint="-0.249977111117893"/>
        </patternFill>
      </fill>
    </dxf>
    <dxf>
      <fill>
        <patternFill patternType="solid">
          <bgColor theme="4" tint="-0.249977111117893"/>
        </patternFill>
      </fill>
    </dxf>
    <dxf>
      <font>
        <color theme="0"/>
      </font>
    </dxf>
    <dxf>
      <font>
        <sz val="10"/>
      </font>
    </dxf>
    <dxf>
      <font>
        <sz val="10"/>
      </font>
    </dxf>
    <dxf>
      <font>
        <sz val="10"/>
      </font>
    </dxf>
    <dxf>
      <font>
        <name val="Biome"/>
        <scheme val="none"/>
      </font>
    </dxf>
    <dxf>
      <font>
        <name val="Biome"/>
        <scheme val="none"/>
      </font>
    </dxf>
    <dxf>
      <font>
        <name val="Biome"/>
        <scheme val="none"/>
      </font>
    </dxf>
    <dxf>
      <numFmt numFmtId="173" formatCode="[$₦-46A]#,##0.0"/>
    </dxf>
    <dxf>
      <numFmt numFmtId="169" formatCode="_-[$₦-46A]* #,##0_-;\-[$₦-46A]* #,##0_-;_-[$₦-46A]* &quot;-&quot;_-;_-@_-"/>
    </dxf>
    <dxf>
      <numFmt numFmtId="169" formatCode="_-[$₦-46A]* #,##0_-;\-[$₦-46A]* #,##0_-;_-[$₦-46A]* &quot;-&quot;_-;_-@_-"/>
    </dxf>
    <dxf>
      <numFmt numFmtId="167" formatCode="0.0%"/>
    </dxf>
    <dxf>
      <numFmt numFmtId="170" formatCode="_-[$₦-406]* #,##0_);_-\([$₦-406]* #,##0\);_-[$₦-406]* &quot;-&quot;_);_-@_-"/>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sz val="1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font>
        <name val="Biome"/>
        <scheme val="none"/>
      </font>
    </dxf>
    <dxf>
      <numFmt numFmtId="167" formatCode="0.0%"/>
    </dxf>
    <dxf>
      <numFmt numFmtId="167" formatCode="0.0%"/>
    </dxf>
    <dxf>
      <font>
        <color theme="0"/>
      </font>
      <fill>
        <patternFill patternType="solid">
          <fgColor indexed="64"/>
          <bgColor theme="4" tint="-0.249977111117893"/>
        </patternFill>
      </fill>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b/>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numFmt numFmtId="167" formatCode="0.0%"/>
    </dxf>
    <dxf>
      <fill>
        <patternFill patternType="solid">
          <bgColor theme="4" tint="-0.249977111117893"/>
        </patternFill>
      </fill>
    </dxf>
    <dxf>
      <fill>
        <patternFill patternType="solid">
          <bgColor theme="4" tint="-0.249977111117893"/>
        </patternFill>
      </fill>
    </dxf>
    <dxf>
      <font>
        <color theme="0"/>
      </font>
    </dxf>
    <dxf>
      <font>
        <color theme="0"/>
      </font>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ont>
        <sz val="1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font>
        <name val="Biome"/>
        <scheme val="none"/>
      </font>
    </dxf>
    <dxf>
      <numFmt numFmtId="167" formatCode="0.0%"/>
    </dxf>
    <dxf>
      <numFmt numFmtId="167" formatCode="0.0%"/>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numFmt numFmtId="167" formatCode="0.0%"/>
    </dxf>
    <dxf>
      <numFmt numFmtId="167" formatCode="0.0%"/>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numFmt numFmtId="167" formatCode="0.0%"/>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sz val="1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font>
        <name val="Biome"/>
        <scheme val="none"/>
      </font>
    </dxf>
    <dxf>
      <numFmt numFmtId="169" formatCode="_-[$₦-46A]* #,##0_-;\-[$₦-46A]* #,##0_-;_-[$₦-46A]* &quot;-&quot;_-;_-@_-"/>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numFmt numFmtId="167" formatCode="0.0%"/>
    </dxf>
    <dxf>
      <font>
        <color theme="0"/>
      </font>
      <fill>
        <patternFill patternType="solid">
          <fgColor indexed="64"/>
          <bgColor theme="4" tint="-0.249977111117893"/>
        </patternFill>
      </fill>
    </dxf>
    <dxf>
      <font>
        <color theme="0"/>
      </font>
      <fill>
        <patternFill patternType="solid">
          <fgColor indexed="64"/>
          <bgColor theme="4" tint="-0.249977111117893"/>
        </patternFill>
      </fill>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bgColor theme="4" tint="-0.249977111117893"/>
        </patternFill>
      </fill>
    </dxf>
    <dxf>
      <font>
        <color theme="0"/>
      </font>
    </dxf>
    <dxf>
      <font>
        <color theme="0"/>
      </font>
    </dxf>
    <dxf>
      <fill>
        <patternFill patternType="solid">
          <bgColor theme="4" tint="-0.249977111117893"/>
        </patternFill>
      </fill>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numFmt numFmtId="167" formatCode="0.0%"/>
    </dxf>
    <dxf>
      <numFmt numFmtId="167" formatCode="0.0%"/>
    </dxf>
    <dxf>
      <numFmt numFmtId="167" formatCode="0.0%"/>
    </dxf>
    <dxf>
      <numFmt numFmtId="169" formatCode="_-[$₦-46A]* #,##0_-;\-[$₦-46A]* #,##0_-;_-[$₦-46A]* &quot;-&quot;_-;_-@_-"/>
    </dxf>
    <dxf>
      <font>
        <b/>
        <color theme="0"/>
      </font>
      <fill>
        <patternFill patternType="solid">
          <fgColor indexed="64"/>
          <bgColor theme="4" tint="-0.249977111117893"/>
        </patternFill>
      </fill>
    </dxf>
    <dxf>
      <font>
        <b/>
        <color theme="0"/>
      </font>
      <fill>
        <patternFill patternType="solid">
          <fgColor indexed="64"/>
          <bgColor theme="4" tint="-0.249977111117893"/>
        </patternFill>
      </fill>
    </dxf>
    <dxf>
      <font>
        <b/>
        <color theme="0"/>
      </font>
      <fill>
        <patternFill patternType="solid">
          <fgColor indexed="64"/>
          <bgColor theme="4" tint="-0.249977111117893"/>
        </patternFill>
      </fill>
    </dxf>
    <dxf>
      <font>
        <color theme="0"/>
      </font>
      <fill>
        <patternFill patternType="solid">
          <fgColor indexed="64"/>
          <bgColor theme="4" tint="-0.249977111117893"/>
        </patternFill>
      </fill>
    </dxf>
    <dxf>
      <fill>
        <patternFill patternType="solid">
          <bgColor theme="4" tint="-0.249977111117893"/>
        </patternFill>
      </fill>
    </dxf>
    <dxf>
      <font>
        <color theme="0"/>
      </font>
    </dxf>
    <dxf>
      <font>
        <sz val="10"/>
      </font>
    </dxf>
    <dxf>
      <font>
        <sz val="10"/>
      </font>
    </dxf>
    <dxf>
      <font>
        <sz val="10"/>
      </font>
    </dxf>
    <dxf>
      <font>
        <name val="Biome"/>
        <scheme val="none"/>
      </font>
    </dxf>
    <dxf>
      <font>
        <name val="Biome"/>
        <scheme val="none"/>
      </font>
    </dxf>
    <dxf>
      <font>
        <name val="Biome"/>
        <scheme val="none"/>
      </font>
    </dxf>
    <dxf>
      <numFmt numFmtId="173" formatCode="[$₦-46A]#,##0.0"/>
    </dxf>
    <dxf>
      <numFmt numFmtId="169" formatCode="_-[$₦-46A]* #,##0_-;\-[$₦-46A]* #,##0_-;_-[$₦-46A]* &quot;-&quot;_-;_-@_-"/>
    </dxf>
    <dxf>
      <numFmt numFmtId="169" formatCode="_-[$₦-46A]* #,##0_-;\-[$₦-46A]* #,##0_-;_-[$₦-46A]* &quot;-&quot;_-;_-@_-"/>
    </dxf>
    <dxf>
      <numFmt numFmtId="167" formatCode="0.0%"/>
    </dxf>
    <dxf>
      <numFmt numFmtId="170" formatCode="_-[$₦-406]* #,##0_);_-\([$₦-406]* #,##0\);_-[$₦-406]* &quot;-&quot;_);_-@_-"/>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sz val="1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font>
        <name val="Biome"/>
        <scheme val="none"/>
      </font>
    </dxf>
    <dxf>
      <numFmt numFmtId="167" formatCode="0.0%"/>
    </dxf>
    <dxf>
      <numFmt numFmtId="167" formatCode="0.0%"/>
    </dxf>
    <dxf>
      <font>
        <color theme="0"/>
      </font>
      <fill>
        <patternFill patternType="solid">
          <fgColor indexed="64"/>
          <bgColor theme="4" tint="-0.249977111117893"/>
        </patternFill>
      </fill>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b/>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numFmt numFmtId="167" formatCode="0.0%"/>
    </dxf>
    <dxf>
      <fill>
        <patternFill patternType="solid">
          <bgColor theme="4" tint="-0.249977111117893"/>
        </patternFill>
      </fill>
    </dxf>
    <dxf>
      <fill>
        <patternFill patternType="solid">
          <bgColor theme="4" tint="-0.249977111117893"/>
        </patternFill>
      </fill>
    </dxf>
    <dxf>
      <font>
        <color theme="0"/>
      </font>
    </dxf>
    <dxf>
      <font>
        <color theme="0"/>
      </font>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ont>
        <sz val="1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font>
        <name val="Biome"/>
        <scheme val="none"/>
      </font>
    </dxf>
    <dxf>
      <numFmt numFmtId="167" formatCode="0.0%"/>
    </dxf>
    <dxf>
      <numFmt numFmtId="167" formatCode="0.0%"/>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sz val="1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font>
        <name val="Biome"/>
        <scheme val="none"/>
      </font>
    </dxf>
    <dxf>
      <numFmt numFmtId="169" formatCode="_-[$₦-46A]* #,##0_-;\-[$₦-46A]* #,##0_-;_-[$₦-46A]* &quot;-&quot;_-;_-@_-"/>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numFmt numFmtId="167" formatCode="0.0%"/>
    </dxf>
    <dxf>
      <font>
        <color theme="0"/>
      </font>
      <fill>
        <patternFill patternType="solid">
          <fgColor indexed="64"/>
          <bgColor theme="4" tint="-0.249977111117893"/>
        </patternFill>
      </fill>
    </dxf>
    <dxf>
      <font>
        <color theme="0"/>
      </font>
      <fill>
        <patternFill patternType="solid">
          <fgColor indexed="64"/>
          <bgColor theme="4" tint="-0.249977111117893"/>
        </patternFill>
      </fill>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bgColor theme="4" tint="-0.249977111117893"/>
        </patternFill>
      </fill>
    </dxf>
    <dxf>
      <font>
        <color theme="0"/>
      </font>
    </dxf>
    <dxf>
      <font>
        <color theme="0"/>
      </font>
    </dxf>
    <dxf>
      <fill>
        <patternFill patternType="solid">
          <bgColor theme="4" tint="-0.249977111117893"/>
        </patternFill>
      </fill>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numFmt numFmtId="167" formatCode="0.0%"/>
    </dxf>
    <dxf>
      <numFmt numFmtId="167" formatCode="0.0%"/>
    </dxf>
    <dxf>
      <numFmt numFmtId="167" formatCode="0.0%"/>
    </dxf>
    <dxf>
      <numFmt numFmtId="169" formatCode="_-[$₦-46A]* #,##0_-;\-[$₦-46A]* #,##0_-;_-[$₦-46A]* &quot;-&quot;_-;_-@_-"/>
    </dxf>
    <dxf>
      <font>
        <b/>
        <color theme="0"/>
      </font>
      <fill>
        <patternFill patternType="solid">
          <fgColor indexed="64"/>
          <bgColor theme="4" tint="-0.249977111117893"/>
        </patternFill>
      </fill>
    </dxf>
    <dxf>
      <font>
        <b/>
        <color theme="0"/>
      </font>
      <fill>
        <patternFill patternType="solid">
          <fgColor indexed="64"/>
          <bgColor theme="4" tint="-0.249977111117893"/>
        </patternFill>
      </fill>
    </dxf>
    <dxf>
      <font>
        <b/>
        <color theme="0"/>
      </font>
      <fill>
        <patternFill patternType="solid">
          <fgColor indexed="64"/>
          <bgColor theme="4" tint="-0.249977111117893"/>
        </patternFill>
      </fill>
    </dxf>
    <dxf>
      <font>
        <color theme="0"/>
      </font>
      <fill>
        <patternFill patternType="solid">
          <fgColor indexed="64"/>
          <bgColor theme="4" tint="-0.249977111117893"/>
        </patternFill>
      </fill>
    </dxf>
    <dxf>
      <fill>
        <patternFill patternType="solid">
          <bgColor theme="4" tint="-0.249977111117893"/>
        </patternFill>
      </fill>
    </dxf>
    <dxf>
      <font>
        <color theme="0"/>
      </font>
    </dxf>
    <dxf>
      <font>
        <sz val="10"/>
      </font>
    </dxf>
    <dxf>
      <font>
        <sz val="10"/>
      </font>
    </dxf>
    <dxf>
      <font>
        <sz val="10"/>
      </font>
    </dxf>
    <dxf>
      <font>
        <name val="Biome"/>
        <scheme val="none"/>
      </font>
    </dxf>
    <dxf>
      <font>
        <name val="Biome"/>
        <scheme val="none"/>
      </font>
    </dxf>
    <dxf>
      <font>
        <name val="Biome"/>
        <scheme val="none"/>
      </font>
    </dxf>
    <dxf>
      <numFmt numFmtId="173" formatCode="[$₦-46A]#,##0.0"/>
    </dxf>
    <dxf>
      <numFmt numFmtId="169" formatCode="_-[$₦-46A]* #,##0_-;\-[$₦-46A]* #,##0_-;_-[$₦-46A]* &quot;-&quot;_-;_-@_-"/>
    </dxf>
    <dxf>
      <numFmt numFmtId="169" formatCode="_-[$₦-46A]* #,##0_-;\-[$₦-46A]* #,##0_-;_-[$₦-46A]* &quot;-&quot;_-;_-@_-"/>
    </dxf>
    <dxf>
      <numFmt numFmtId="167" formatCode="0.0%"/>
    </dxf>
    <dxf>
      <numFmt numFmtId="170" formatCode="_-[$₦-406]* #,##0_);_-\([$₦-406]* #,##0\);_-[$₦-406]* &quot;-&quot;_);_-@_-"/>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sz val="1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font>
        <name val="Biome"/>
        <scheme val="none"/>
      </font>
    </dxf>
    <dxf>
      <numFmt numFmtId="167" formatCode="0.0%"/>
    </dxf>
    <dxf>
      <numFmt numFmtId="167" formatCode="0.0%"/>
    </dxf>
    <dxf>
      <font>
        <color theme="0"/>
      </font>
      <fill>
        <patternFill patternType="solid">
          <fgColor indexed="64"/>
          <bgColor theme="4" tint="-0.249977111117893"/>
        </patternFill>
      </fill>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b/>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numFmt numFmtId="167" formatCode="0.0%"/>
    </dxf>
    <dxf>
      <fill>
        <patternFill patternType="solid">
          <bgColor theme="4" tint="-0.249977111117893"/>
        </patternFill>
      </fill>
    </dxf>
    <dxf>
      <fill>
        <patternFill patternType="solid">
          <bgColor theme="4" tint="-0.249977111117893"/>
        </patternFill>
      </fill>
    </dxf>
    <dxf>
      <font>
        <color theme="0"/>
      </font>
    </dxf>
    <dxf>
      <font>
        <color theme="0"/>
      </font>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ont>
        <sz val="1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font>
        <name val="Biome"/>
        <scheme val="none"/>
      </font>
    </dxf>
    <dxf>
      <numFmt numFmtId="167" formatCode="0.0%"/>
    </dxf>
    <dxf>
      <numFmt numFmtId="167" formatCode="0.0%"/>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numFmt numFmtId="167" formatCode="0.0%"/>
    </dxf>
    <dxf>
      <numFmt numFmtId="167" formatCode="0.0%"/>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numFmt numFmtId="167" formatCode="0.0%"/>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sz val="1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font>
        <name val="Biome"/>
        <scheme val="none"/>
      </font>
    </dxf>
    <dxf>
      <numFmt numFmtId="169" formatCode="_-[$₦-46A]* #,##0_-;\-[$₦-46A]* #,##0_-;_-[$₦-46A]* &quot;-&quot;_-;_-@_-"/>
    </dxf>
    <dxf>
      <numFmt numFmtId="169" formatCode="_-[$₦-46A]* #,##0_-;\-[$₦-46A]* #,##0_-;_-[$₦-46A]* &quot;-&quot;_-;_-@_-"/>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sz val="1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font>
        <name val="Biome"/>
        <scheme val="none"/>
      </font>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sz val="1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font>
        <name val="Biome"/>
        <scheme val="none"/>
      </font>
    </dxf>
    <dxf>
      <numFmt numFmtId="167" formatCode="0.0%"/>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sz val="1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font>
        <name val="Biome"/>
        <scheme val="none"/>
      </font>
    </dxf>
    <dxf>
      <numFmt numFmtId="167" formatCode="0.0%"/>
    </dxf>
    <dxf>
      <numFmt numFmtId="13" formatCode="0%"/>
    </dxf>
    <dxf>
      <numFmt numFmtId="167" formatCode="0.0%"/>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sz val="1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font>
        <name val="Biome"/>
        <scheme val="none"/>
      </font>
    </dxf>
    <dxf>
      <numFmt numFmtId="13" formatCode="0%"/>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sz val="1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font>
        <name val="Biome"/>
        <scheme val="none"/>
      </font>
    </dxf>
    <dxf>
      <numFmt numFmtId="13" formatCode="0%"/>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sz val="1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font>
        <name val="Biome"/>
        <scheme val="none"/>
      </font>
    </dxf>
    <dxf>
      <numFmt numFmtId="13" formatCode="0%"/>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sz val="1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font>
        <name val="Biome"/>
        <scheme val="none"/>
      </font>
    </dxf>
    <dxf>
      <numFmt numFmtId="13" formatCode="0%"/>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sz val="1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font>
        <name val="Biome"/>
        <scheme val="none"/>
      </font>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sz val="1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font>
        <name val="Biome"/>
        <scheme val="none"/>
      </font>
    </dxf>
    <dxf>
      <numFmt numFmtId="167" formatCode="0.0%"/>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sz val="1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font>
        <name val="Biome"/>
        <scheme val="none"/>
      </font>
    </dxf>
    <dxf>
      <numFmt numFmtId="167" formatCode="0.0%"/>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numFmt numFmtId="169" formatCode="_-[$₦-46A]* #,##0_-;\-[$₦-46A]* #,##0_-;_-[$₦-46A]* &quot;-&quot;_-;_-@_-"/>
    </dxf>
    <dxf>
      <font>
        <color theme="0"/>
      </font>
      <fill>
        <patternFill patternType="solid">
          <fgColor indexed="64"/>
          <bgColor theme="4" tint="-0.249977111117893"/>
        </patternFill>
      </fill>
    </dxf>
    <dxf>
      <font>
        <color rgb="FFC00000"/>
      </font>
    </dxf>
    <dxf>
      <font>
        <color rgb="FFC00000"/>
      </font>
    </dxf>
    <dxf>
      <font>
        <color rgb="FFC00000"/>
      </font>
    </dxf>
    <dxf>
      <font>
        <color rgb="FFC00000"/>
      </font>
    </dxf>
    <dxf>
      <font>
        <color rgb="FFC00000"/>
      </font>
    </dxf>
    <dxf>
      <font>
        <color rgb="FFC00000"/>
      </font>
    </dxf>
    <dxf>
      <font>
        <b val="0"/>
        <i val="0"/>
        <strike val="0"/>
        <condense val="0"/>
        <extend val="0"/>
        <outline val="0"/>
        <shadow val="0"/>
        <u val="none"/>
        <vertAlign val="baseline"/>
        <sz val="11"/>
        <color theme="1"/>
        <name val="Calibri"/>
        <family val="2"/>
        <scheme val="minor"/>
      </font>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numFmt numFmtId="169" formatCode="_-[$₦-46A]* #,##0_-;\-[$₦-46A]* #,##0_-;_-[$₦-46A]* &quot;-&quot;_-;_-@_-"/>
    </dxf>
    <dxf>
      <font>
        <color theme="0"/>
      </font>
      <fill>
        <patternFill patternType="solid">
          <fgColor indexed="64"/>
          <bgColor theme="4" tint="-0.249977111117893"/>
        </patternFill>
      </fill>
    </dxf>
    <dxf>
      <font>
        <color rgb="FFC00000"/>
      </font>
    </dxf>
    <dxf>
      <font>
        <color rgb="FFC00000"/>
      </font>
    </dxf>
    <dxf>
      <font>
        <color rgb="FFC00000"/>
      </font>
    </dxf>
    <dxf>
      <font>
        <color rgb="FFC00000"/>
      </font>
    </dxf>
    <dxf>
      <font>
        <color rgb="FFC00000"/>
      </font>
    </dxf>
    <dxf>
      <font>
        <color rgb="FFC00000"/>
      </font>
    </dxf>
    <dxf>
      <font>
        <b val="0"/>
        <i val="0"/>
        <strike val="0"/>
        <condense val="0"/>
        <extend val="0"/>
        <outline val="0"/>
        <shadow val="0"/>
        <u val="none"/>
        <vertAlign val="baseline"/>
        <sz val="11"/>
        <color theme="1"/>
        <name val="Calibri"/>
        <family val="2"/>
        <scheme val="minor"/>
      </font>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numFmt numFmtId="169" formatCode="_-[$₦-46A]* #,##0_-;\-[$₦-46A]* #,##0_-;_-[$₦-46A]* &quot;-&quot;_-;_-@_-"/>
    </dxf>
    <dxf>
      <font>
        <color theme="0"/>
      </font>
      <fill>
        <patternFill patternType="solid">
          <fgColor indexed="64"/>
          <bgColor theme="4" tint="-0.249977111117893"/>
        </patternFill>
      </fill>
    </dxf>
    <dxf>
      <font>
        <color rgb="FFC00000"/>
      </font>
    </dxf>
    <dxf>
      <font>
        <color rgb="FFC00000"/>
      </font>
    </dxf>
    <dxf>
      <font>
        <color rgb="FFC00000"/>
      </font>
    </dxf>
    <dxf>
      <font>
        <color rgb="FFC00000"/>
      </font>
    </dxf>
    <dxf>
      <font>
        <color rgb="FFC00000"/>
      </font>
    </dxf>
    <dxf>
      <font>
        <color rgb="FFC00000"/>
      </font>
    </dxf>
    <dxf>
      <font>
        <b val="0"/>
        <i val="0"/>
        <strike val="0"/>
        <condense val="0"/>
        <extend val="0"/>
        <outline val="0"/>
        <shadow val="0"/>
        <u val="none"/>
        <vertAlign val="baseline"/>
        <sz val="11"/>
        <color theme="1"/>
        <name val="Calibri"/>
        <family val="2"/>
        <scheme val="minor"/>
      </font>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numFmt numFmtId="169" formatCode="_-[$₦-46A]* #,##0_-;\-[$₦-46A]* #,##0_-;_-[$₦-46A]* &quot;-&quot;_-;_-@_-"/>
    </dxf>
    <dxf>
      <font>
        <color theme="0"/>
      </font>
      <fill>
        <patternFill patternType="solid">
          <fgColor indexed="64"/>
          <bgColor theme="4" tint="-0.249977111117893"/>
        </patternFill>
      </fill>
    </dxf>
    <dxf>
      <font>
        <color rgb="FFC00000"/>
      </font>
    </dxf>
    <dxf>
      <font>
        <color rgb="FFC00000"/>
      </font>
    </dxf>
    <dxf>
      <font>
        <color rgb="FFC00000"/>
      </font>
    </dxf>
    <dxf>
      <font>
        <color rgb="FFC00000"/>
      </font>
    </dxf>
    <dxf>
      <font>
        <color rgb="FFC00000"/>
      </font>
    </dxf>
    <dxf>
      <font>
        <color rgb="FFC00000"/>
      </font>
    </dxf>
    <dxf>
      <font>
        <b val="0"/>
        <i val="0"/>
        <strike val="0"/>
        <condense val="0"/>
        <extend val="0"/>
        <outline val="0"/>
        <shadow val="0"/>
        <u val="none"/>
        <vertAlign val="baseline"/>
        <sz val="11"/>
        <color theme="1"/>
        <name val="Calibri"/>
        <family val="2"/>
        <scheme val="minor"/>
      </font>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numFmt numFmtId="169" formatCode="_-[$₦-46A]* #,##0_-;\-[$₦-46A]* #,##0_-;_-[$₦-46A]* &quot;-&quot;_-;_-@_-"/>
    </dxf>
    <dxf>
      <font>
        <color theme="0"/>
      </font>
      <fill>
        <patternFill patternType="solid">
          <fgColor indexed="64"/>
          <bgColor theme="4" tint="-0.249977111117893"/>
        </patternFill>
      </fill>
    </dxf>
    <dxf>
      <font>
        <color rgb="FFC00000"/>
      </font>
    </dxf>
    <dxf>
      <font>
        <color rgb="FFC00000"/>
      </font>
    </dxf>
    <dxf>
      <font>
        <color rgb="FFC00000"/>
      </font>
    </dxf>
    <dxf>
      <font>
        <color rgb="FFC00000"/>
      </font>
    </dxf>
    <dxf>
      <font>
        <color rgb="FFC00000"/>
      </font>
    </dxf>
    <dxf>
      <font>
        <color rgb="FFC00000"/>
      </font>
    </dxf>
    <dxf>
      <font>
        <b val="0"/>
        <i val="0"/>
        <strike val="0"/>
        <condense val="0"/>
        <extend val="0"/>
        <outline val="0"/>
        <shadow val="0"/>
        <u val="none"/>
        <vertAlign val="baseline"/>
        <sz val="11"/>
        <color theme="1"/>
        <name val="Calibri"/>
        <family val="2"/>
        <scheme val="minor"/>
      </font>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numFmt numFmtId="169" formatCode="_-[$₦-46A]* #,##0_-;\-[$₦-46A]* #,##0_-;_-[$₦-46A]* &quot;-&quot;_-;_-@_-"/>
    </dxf>
    <dxf>
      <font>
        <color theme="0"/>
      </font>
      <fill>
        <patternFill patternType="solid">
          <fgColor indexed="64"/>
          <bgColor theme="4" tint="-0.249977111117893"/>
        </patternFill>
      </fill>
    </dxf>
    <dxf>
      <font>
        <color rgb="FFC00000"/>
      </font>
    </dxf>
    <dxf>
      <font>
        <color rgb="FFC00000"/>
      </font>
    </dxf>
    <dxf>
      <font>
        <color rgb="FFC00000"/>
      </font>
    </dxf>
    <dxf>
      <font>
        <color rgb="FFC00000"/>
      </font>
    </dxf>
    <dxf>
      <font>
        <color rgb="FFC00000"/>
      </font>
    </dxf>
    <dxf>
      <font>
        <color rgb="FFC00000"/>
      </font>
    </dxf>
    <dxf>
      <font>
        <b val="0"/>
        <i val="0"/>
        <strike val="0"/>
        <condense val="0"/>
        <extend val="0"/>
        <outline val="0"/>
        <shadow val="0"/>
        <u val="none"/>
        <vertAlign val="baseline"/>
        <sz val="11"/>
        <color theme="1"/>
        <name val="Calibri"/>
        <family val="2"/>
        <scheme val="minor"/>
      </font>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numFmt numFmtId="169" formatCode="_-[$₦-46A]* #,##0_-;\-[$₦-46A]* #,##0_-;_-[$₦-46A]* &quot;-&quot;_-;_-@_-"/>
    </dxf>
    <dxf>
      <font>
        <color theme="0"/>
      </font>
      <fill>
        <patternFill patternType="solid">
          <fgColor indexed="64"/>
          <bgColor theme="4" tint="-0.249977111117893"/>
        </patternFill>
      </fill>
    </dxf>
    <dxf>
      <font>
        <color rgb="FFC00000"/>
      </font>
    </dxf>
    <dxf>
      <font>
        <color rgb="FFC00000"/>
      </font>
    </dxf>
    <dxf>
      <font>
        <color rgb="FFC00000"/>
      </font>
    </dxf>
    <dxf>
      <font>
        <color rgb="FFC00000"/>
      </font>
    </dxf>
    <dxf>
      <font>
        <color rgb="FFC00000"/>
      </font>
    </dxf>
    <dxf>
      <font>
        <color rgb="FFC00000"/>
      </font>
    </dxf>
    <dxf>
      <font>
        <b val="0"/>
        <i val="0"/>
        <strike val="0"/>
        <condense val="0"/>
        <extend val="0"/>
        <outline val="0"/>
        <shadow val="0"/>
        <u val="none"/>
        <vertAlign val="baseline"/>
        <sz val="11"/>
        <color theme="1"/>
        <name val="Calibri"/>
        <family val="2"/>
        <scheme val="minor"/>
      </font>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numFmt numFmtId="169" formatCode="_-[$₦-46A]* #,##0_-;\-[$₦-46A]* #,##0_-;_-[$₦-46A]* &quot;-&quot;_-;_-@_-"/>
    </dxf>
    <dxf>
      <font>
        <color theme="0"/>
      </font>
      <fill>
        <patternFill patternType="solid">
          <fgColor indexed="64"/>
          <bgColor theme="4" tint="-0.249977111117893"/>
        </patternFill>
      </fill>
    </dxf>
    <dxf>
      <font>
        <color rgb="FFC00000"/>
      </font>
    </dxf>
    <dxf>
      <font>
        <color rgb="FFC00000"/>
      </font>
    </dxf>
    <dxf>
      <font>
        <color rgb="FFC00000"/>
      </font>
    </dxf>
    <dxf>
      <font>
        <color rgb="FFC00000"/>
      </font>
    </dxf>
    <dxf>
      <font>
        <color rgb="FFC00000"/>
      </font>
    </dxf>
    <dxf>
      <font>
        <color rgb="FFC00000"/>
      </font>
    </dxf>
    <dxf>
      <font>
        <b val="0"/>
        <i val="0"/>
        <strike val="0"/>
        <condense val="0"/>
        <extend val="0"/>
        <outline val="0"/>
        <shadow val="0"/>
        <u val="none"/>
        <vertAlign val="baseline"/>
        <sz val="11"/>
        <color theme="1"/>
        <name val="Calibri"/>
        <family val="2"/>
        <scheme val="minor"/>
      </font>
    </dxf>
    <dxf>
      <numFmt numFmtId="167" formatCode="0.0%"/>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numFmt numFmtId="167" formatCode="0.0%"/>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numFmt numFmtId="167" formatCode="0.0%"/>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sz val="1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font>
        <name val="Biome"/>
        <scheme val="none"/>
      </font>
    </dxf>
    <dxf>
      <numFmt numFmtId="167" formatCode="0.0%"/>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numFmt numFmtId="167" formatCode="0.0%"/>
    </dxf>
    <dxf>
      <font>
        <color theme="0"/>
      </font>
      <fill>
        <patternFill patternType="solid">
          <fgColor indexed="64"/>
          <bgColor theme="4" tint="-0.249977111117893"/>
        </patternFill>
      </fill>
    </dxf>
    <dxf>
      <font>
        <color theme="0"/>
      </font>
      <fill>
        <patternFill patternType="solid">
          <fgColor indexed="64"/>
          <bgColor theme="4" tint="-0.249977111117893"/>
        </patternFill>
      </fill>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bgColor theme="4" tint="-0.249977111117893"/>
        </patternFill>
      </fill>
    </dxf>
    <dxf>
      <font>
        <color theme="0"/>
      </font>
    </dxf>
    <dxf>
      <font>
        <color theme="0"/>
      </font>
    </dxf>
    <dxf>
      <fill>
        <patternFill patternType="solid">
          <bgColor theme="4" tint="-0.249977111117893"/>
        </patternFill>
      </fill>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numFmt numFmtId="167" formatCode="0.0%"/>
    </dxf>
    <dxf>
      <numFmt numFmtId="167" formatCode="0.0%"/>
    </dxf>
    <dxf>
      <numFmt numFmtId="167" formatCode="0.0%"/>
    </dxf>
    <dxf>
      <numFmt numFmtId="169" formatCode="_-[$₦-46A]* #,##0_-;\-[$₦-46A]* #,##0_-;_-[$₦-46A]* &quot;-&quot;_-;_-@_-"/>
    </dxf>
    <dxf>
      <font>
        <b/>
        <color theme="0"/>
      </font>
      <fill>
        <patternFill patternType="solid">
          <fgColor indexed="64"/>
          <bgColor theme="4" tint="-0.249977111117893"/>
        </patternFill>
      </fill>
    </dxf>
    <dxf>
      <font>
        <b/>
        <color theme="0"/>
      </font>
      <fill>
        <patternFill patternType="solid">
          <fgColor indexed="64"/>
          <bgColor theme="4" tint="-0.249977111117893"/>
        </patternFill>
      </fill>
    </dxf>
    <dxf>
      <font>
        <b/>
        <color theme="0"/>
      </font>
      <fill>
        <patternFill patternType="solid">
          <fgColor indexed="64"/>
          <bgColor theme="4" tint="-0.249977111117893"/>
        </patternFill>
      </fill>
    </dxf>
    <dxf>
      <font>
        <color theme="0"/>
      </font>
      <fill>
        <patternFill patternType="solid">
          <fgColor indexed="64"/>
          <bgColor theme="4" tint="-0.249977111117893"/>
        </patternFill>
      </fill>
    </dxf>
    <dxf>
      <fill>
        <patternFill patternType="solid">
          <bgColor theme="4" tint="-0.249977111117893"/>
        </patternFill>
      </fill>
    </dxf>
    <dxf>
      <font>
        <color theme="0"/>
      </font>
    </dxf>
    <dxf>
      <font>
        <sz val="10"/>
      </font>
    </dxf>
    <dxf>
      <font>
        <sz val="10"/>
      </font>
    </dxf>
    <dxf>
      <font>
        <sz val="10"/>
      </font>
    </dxf>
    <dxf>
      <font>
        <name val="Biome"/>
        <scheme val="none"/>
      </font>
    </dxf>
    <dxf>
      <font>
        <name val="Biome"/>
        <scheme val="none"/>
      </font>
    </dxf>
    <dxf>
      <font>
        <name val="Biome"/>
        <scheme val="none"/>
      </font>
    </dxf>
    <dxf>
      <numFmt numFmtId="173" formatCode="[$₦-46A]#,##0.0"/>
    </dxf>
    <dxf>
      <numFmt numFmtId="169" formatCode="_-[$₦-46A]* #,##0_-;\-[$₦-46A]* #,##0_-;_-[$₦-46A]* &quot;-&quot;_-;_-@_-"/>
    </dxf>
    <dxf>
      <numFmt numFmtId="169" formatCode="_-[$₦-46A]* #,##0_-;\-[$₦-46A]* #,##0_-;_-[$₦-46A]* &quot;-&quot;_-;_-@_-"/>
    </dxf>
    <dxf>
      <numFmt numFmtId="167" formatCode="0.0%"/>
    </dxf>
    <dxf>
      <numFmt numFmtId="170" formatCode="_-[$₦-406]* #,##0_);_-\([$₦-406]* #,##0\);_-[$₦-406]* &quot;-&quot;_);_-@_-"/>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sz val="1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font>
        <name val="Biome"/>
        <scheme val="none"/>
      </font>
    </dxf>
    <dxf>
      <numFmt numFmtId="167" formatCode="0.0%"/>
    </dxf>
    <dxf>
      <numFmt numFmtId="167" formatCode="0.0%"/>
    </dxf>
    <dxf>
      <font>
        <color theme="0"/>
      </font>
      <fill>
        <patternFill patternType="solid">
          <fgColor indexed="64"/>
          <bgColor theme="4" tint="-0.249977111117893"/>
        </patternFill>
      </fill>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b/>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numFmt numFmtId="167" formatCode="0.0%"/>
    </dxf>
    <dxf>
      <fill>
        <patternFill patternType="solid">
          <bgColor theme="4" tint="-0.249977111117893"/>
        </patternFill>
      </fill>
    </dxf>
    <dxf>
      <fill>
        <patternFill patternType="solid">
          <bgColor theme="4" tint="-0.249977111117893"/>
        </patternFill>
      </fill>
    </dxf>
    <dxf>
      <font>
        <color theme="0"/>
      </font>
    </dxf>
    <dxf>
      <font>
        <color theme="0"/>
      </font>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ont>
        <sz val="1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font>
        <name val="Biome"/>
        <scheme val="none"/>
      </font>
    </dxf>
    <dxf>
      <numFmt numFmtId="167" formatCode="0.0%"/>
    </dxf>
    <dxf>
      <numFmt numFmtId="167" formatCode="0.0%"/>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sz val="1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font>
        <name val="Biome"/>
        <scheme val="none"/>
      </font>
    </dxf>
    <dxf>
      <numFmt numFmtId="167" formatCode="0.0%"/>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numFmt numFmtId="167" formatCode="0.0%"/>
    </dxf>
    <dxf>
      <font>
        <color theme="0"/>
      </font>
      <fill>
        <patternFill patternType="solid">
          <fgColor indexed="64"/>
          <bgColor theme="4" tint="-0.249977111117893"/>
        </patternFill>
      </fill>
    </dxf>
    <dxf>
      <font>
        <color theme="0"/>
      </font>
      <fill>
        <patternFill patternType="solid">
          <fgColor indexed="64"/>
          <bgColor theme="4" tint="-0.249977111117893"/>
        </patternFill>
      </fill>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bgColor theme="4" tint="-0.249977111117893"/>
        </patternFill>
      </fill>
    </dxf>
    <dxf>
      <font>
        <color theme="0"/>
      </font>
    </dxf>
    <dxf>
      <font>
        <color theme="0"/>
      </font>
    </dxf>
    <dxf>
      <fill>
        <patternFill patternType="solid">
          <bgColor theme="4" tint="-0.249977111117893"/>
        </patternFill>
      </fill>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numFmt numFmtId="167" formatCode="0.0%"/>
    </dxf>
    <dxf>
      <numFmt numFmtId="167" formatCode="0.0%"/>
    </dxf>
    <dxf>
      <numFmt numFmtId="167" formatCode="0.0%"/>
    </dxf>
    <dxf>
      <numFmt numFmtId="169" formatCode="_-[$₦-46A]* #,##0_-;\-[$₦-46A]* #,##0_-;_-[$₦-46A]* &quot;-&quot;_-;_-@_-"/>
    </dxf>
    <dxf>
      <font>
        <b/>
        <color theme="0"/>
      </font>
      <fill>
        <patternFill patternType="solid">
          <fgColor indexed="64"/>
          <bgColor theme="4" tint="-0.249977111117893"/>
        </patternFill>
      </fill>
    </dxf>
    <dxf>
      <font>
        <b/>
        <color theme="0"/>
      </font>
      <fill>
        <patternFill patternType="solid">
          <fgColor indexed="64"/>
          <bgColor theme="4" tint="-0.249977111117893"/>
        </patternFill>
      </fill>
    </dxf>
    <dxf>
      <font>
        <b/>
        <color theme="0"/>
      </font>
      <fill>
        <patternFill patternType="solid">
          <fgColor indexed="64"/>
          <bgColor theme="4" tint="-0.249977111117893"/>
        </patternFill>
      </fill>
    </dxf>
    <dxf>
      <font>
        <color theme="0"/>
      </font>
      <fill>
        <patternFill patternType="solid">
          <fgColor indexed="64"/>
          <bgColor theme="4" tint="-0.249977111117893"/>
        </patternFill>
      </fill>
    </dxf>
    <dxf>
      <fill>
        <patternFill patternType="solid">
          <bgColor theme="4" tint="-0.249977111117893"/>
        </patternFill>
      </fill>
    </dxf>
    <dxf>
      <font>
        <color theme="0"/>
      </font>
    </dxf>
    <dxf>
      <font>
        <sz val="10"/>
      </font>
    </dxf>
    <dxf>
      <font>
        <sz val="10"/>
      </font>
    </dxf>
    <dxf>
      <font>
        <sz val="10"/>
      </font>
    </dxf>
    <dxf>
      <font>
        <name val="Biome"/>
        <scheme val="none"/>
      </font>
    </dxf>
    <dxf>
      <font>
        <name val="Biome"/>
        <scheme val="none"/>
      </font>
    </dxf>
    <dxf>
      <font>
        <name val="Biome"/>
        <scheme val="none"/>
      </font>
    </dxf>
    <dxf>
      <numFmt numFmtId="173" formatCode="[$₦-46A]#,##0.0"/>
    </dxf>
    <dxf>
      <numFmt numFmtId="169" formatCode="_-[$₦-46A]* #,##0_-;\-[$₦-46A]* #,##0_-;_-[$₦-46A]* &quot;-&quot;_-;_-@_-"/>
    </dxf>
    <dxf>
      <numFmt numFmtId="169" formatCode="_-[$₦-46A]* #,##0_-;\-[$₦-46A]* #,##0_-;_-[$₦-46A]* &quot;-&quot;_-;_-@_-"/>
    </dxf>
    <dxf>
      <numFmt numFmtId="167" formatCode="0.0%"/>
    </dxf>
    <dxf>
      <numFmt numFmtId="170" formatCode="_-[$₦-406]* #,##0_);_-\([$₦-406]* #,##0\);_-[$₦-406]* &quot;-&quot;_);_-@_-"/>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sz val="1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font>
        <name val="Biome"/>
        <scheme val="none"/>
      </font>
    </dxf>
    <dxf>
      <numFmt numFmtId="167" formatCode="0.0%"/>
    </dxf>
    <dxf>
      <numFmt numFmtId="167" formatCode="0.0%"/>
    </dxf>
    <dxf>
      <font>
        <color theme="0"/>
      </font>
      <fill>
        <patternFill patternType="solid">
          <fgColor indexed="64"/>
          <bgColor theme="4" tint="-0.249977111117893"/>
        </patternFill>
      </fill>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b/>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numFmt numFmtId="167" formatCode="0.0%"/>
    </dxf>
    <dxf>
      <fill>
        <patternFill patternType="solid">
          <bgColor theme="4" tint="-0.249977111117893"/>
        </patternFill>
      </fill>
    </dxf>
    <dxf>
      <fill>
        <patternFill patternType="solid">
          <bgColor theme="4" tint="-0.249977111117893"/>
        </patternFill>
      </fill>
    </dxf>
    <dxf>
      <font>
        <color theme="0"/>
      </font>
    </dxf>
    <dxf>
      <font>
        <color theme="0"/>
      </font>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ont>
        <sz val="1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font>
        <name val="Biome"/>
        <scheme val="none"/>
      </font>
    </dxf>
    <dxf>
      <numFmt numFmtId="167" formatCode="0.0%"/>
    </dxf>
    <dxf>
      <numFmt numFmtId="167" formatCode="0.0%"/>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sz val="1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font>
        <name val="Biome"/>
        <scheme val="none"/>
      </font>
    </dxf>
    <dxf>
      <numFmt numFmtId="167" formatCode="0.0%"/>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numFmt numFmtId="167" formatCode="0.0%"/>
    </dxf>
    <dxf>
      <font>
        <color theme="0"/>
      </font>
      <fill>
        <patternFill patternType="solid">
          <fgColor indexed="64"/>
          <bgColor theme="4" tint="-0.249977111117893"/>
        </patternFill>
      </fill>
    </dxf>
    <dxf>
      <font>
        <color theme="0"/>
      </font>
      <fill>
        <patternFill patternType="solid">
          <fgColor indexed="64"/>
          <bgColor theme="4" tint="-0.249977111117893"/>
        </patternFill>
      </fill>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bgColor theme="4" tint="-0.249977111117893"/>
        </patternFill>
      </fill>
    </dxf>
    <dxf>
      <font>
        <color theme="0"/>
      </font>
    </dxf>
    <dxf>
      <font>
        <color theme="0"/>
      </font>
    </dxf>
    <dxf>
      <fill>
        <patternFill patternType="solid">
          <bgColor theme="4" tint="-0.249977111117893"/>
        </patternFill>
      </fill>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numFmt numFmtId="167" formatCode="0.0%"/>
    </dxf>
    <dxf>
      <numFmt numFmtId="167" formatCode="0.0%"/>
    </dxf>
    <dxf>
      <numFmt numFmtId="167" formatCode="0.0%"/>
    </dxf>
    <dxf>
      <numFmt numFmtId="169" formatCode="_-[$₦-46A]* #,##0_-;\-[$₦-46A]* #,##0_-;_-[$₦-46A]* &quot;-&quot;_-;_-@_-"/>
    </dxf>
    <dxf>
      <font>
        <b/>
        <color theme="0"/>
      </font>
      <fill>
        <patternFill patternType="solid">
          <fgColor indexed="64"/>
          <bgColor theme="4" tint="-0.249977111117893"/>
        </patternFill>
      </fill>
    </dxf>
    <dxf>
      <font>
        <b/>
        <color theme="0"/>
      </font>
      <fill>
        <patternFill patternType="solid">
          <fgColor indexed="64"/>
          <bgColor theme="4" tint="-0.249977111117893"/>
        </patternFill>
      </fill>
    </dxf>
    <dxf>
      <font>
        <b/>
        <color theme="0"/>
      </font>
      <fill>
        <patternFill patternType="solid">
          <fgColor indexed="64"/>
          <bgColor theme="4" tint="-0.249977111117893"/>
        </patternFill>
      </fill>
    </dxf>
    <dxf>
      <font>
        <color theme="0"/>
      </font>
      <fill>
        <patternFill patternType="solid">
          <fgColor indexed="64"/>
          <bgColor theme="4" tint="-0.249977111117893"/>
        </patternFill>
      </fill>
    </dxf>
    <dxf>
      <fill>
        <patternFill patternType="solid">
          <bgColor theme="4" tint="-0.249977111117893"/>
        </patternFill>
      </fill>
    </dxf>
    <dxf>
      <font>
        <color theme="0"/>
      </font>
    </dxf>
    <dxf>
      <font>
        <sz val="10"/>
      </font>
    </dxf>
    <dxf>
      <font>
        <sz val="10"/>
      </font>
    </dxf>
    <dxf>
      <font>
        <sz val="10"/>
      </font>
    </dxf>
    <dxf>
      <font>
        <name val="Biome"/>
        <scheme val="none"/>
      </font>
    </dxf>
    <dxf>
      <font>
        <name val="Biome"/>
        <scheme val="none"/>
      </font>
    </dxf>
    <dxf>
      <font>
        <name val="Biome"/>
        <scheme val="none"/>
      </font>
    </dxf>
    <dxf>
      <numFmt numFmtId="173" formatCode="[$₦-46A]#,##0.0"/>
    </dxf>
    <dxf>
      <numFmt numFmtId="169" formatCode="_-[$₦-46A]* #,##0_-;\-[$₦-46A]* #,##0_-;_-[$₦-46A]* &quot;-&quot;_-;_-@_-"/>
    </dxf>
    <dxf>
      <numFmt numFmtId="169" formatCode="_-[$₦-46A]* #,##0_-;\-[$₦-46A]* #,##0_-;_-[$₦-46A]* &quot;-&quot;_-;_-@_-"/>
    </dxf>
    <dxf>
      <numFmt numFmtId="167" formatCode="0.0%"/>
    </dxf>
    <dxf>
      <numFmt numFmtId="170" formatCode="_-[$₦-406]* #,##0_);_-\([$₦-406]* #,##0\);_-[$₦-406]* &quot;-&quot;_);_-@_-"/>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sz val="1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font>
        <name val="Biome"/>
        <scheme val="none"/>
      </font>
    </dxf>
    <dxf>
      <numFmt numFmtId="167" formatCode="0.0%"/>
    </dxf>
    <dxf>
      <numFmt numFmtId="167" formatCode="0.0%"/>
    </dxf>
    <dxf>
      <font>
        <color theme="0"/>
      </font>
      <fill>
        <patternFill patternType="solid">
          <fgColor indexed="64"/>
          <bgColor theme="4" tint="-0.249977111117893"/>
        </patternFill>
      </fill>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b/>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numFmt numFmtId="167" formatCode="0.0%"/>
    </dxf>
    <dxf>
      <fill>
        <patternFill patternType="solid">
          <bgColor theme="4" tint="-0.249977111117893"/>
        </patternFill>
      </fill>
    </dxf>
    <dxf>
      <fill>
        <patternFill patternType="solid">
          <bgColor theme="4" tint="-0.249977111117893"/>
        </patternFill>
      </fill>
    </dxf>
    <dxf>
      <font>
        <color theme="0"/>
      </font>
    </dxf>
    <dxf>
      <font>
        <color theme="0"/>
      </font>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ont>
        <sz val="1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font>
        <name val="Biome"/>
        <scheme val="none"/>
      </font>
    </dxf>
    <dxf>
      <numFmt numFmtId="167" formatCode="0.0%"/>
    </dxf>
    <dxf>
      <numFmt numFmtId="167" formatCode="0.0%"/>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numFmt numFmtId="169" formatCode="_-[$₦-46A]* #,##0_-;\-[$₦-46A]* #,##0_-;_-[$₦-46A]* &quot;-&quot;_-;_-@_-"/>
    </dxf>
    <dxf>
      <font>
        <color theme="0"/>
      </font>
      <fill>
        <patternFill patternType="solid">
          <fgColor indexed="64"/>
          <bgColor theme="4" tint="-0.249977111117893"/>
        </patternFill>
      </fill>
    </dxf>
    <dxf>
      <font>
        <color rgb="FFC00000"/>
      </font>
    </dxf>
    <dxf>
      <font>
        <color rgb="FFC00000"/>
      </font>
    </dxf>
    <dxf>
      <font>
        <color rgb="FFC00000"/>
      </font>
    </dxf>
    <dxf>
      <font>
        <color rgb="FFC00000"/>
      </font>
    </dxf>
    <dxf>
      <font>
        <color rgb="FFC00000"/>
      </font>
    </dxf>
    <dxf>
      <font>
        <color rgb="FFC00000"/>
      </font>
    </dxf>
    <dxf>
      <font>
        <b val="0"/>
        <i val="0"/>
        <strike val="0"/>
        <condense val="0"/>
        <extend val="0"/>
        <outline val="0"/>
        <shadow val="0"/>
        <u val="none"/>
        <vertAlign val="baseline"/>
        <sz val="11"/>
        <color theme="1"/>
        <name val="Calibri"/>
        <family val="2"/>
        <scheme val="minor"/>
      </font>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numFmt numFmtId="169" formatCode="_-[$₦-46A]* #,##0_-;\-[$₦-46A]* #,##0_-;_-[$₦-46A]* &quot;-&quot;_-;_-@_-"/>
    </dxf>
    <dxf>
      <font>
        <color theme="0"/>
      </font>
      <fill>
        <patternFill patternType="solid">
          <fgColor indexed="64"/>
          <bgColor theme="4" tint="-0.249977111117893"/>
        </patternFill>
      </fill>
    </dxf>
    <dxf>
      <font>
        <color rgb="FFC00000"/>
      </font>
    </dxf>
    <dxf>
      <font>
        <color rgb="FFC00000"/>
      </font>
    </dxf>
    <dxf>
      <font>
        <color rgb="FFC00000"/>
      </font>
    </dxf>
    <dxf>
      <font>
        <color rgb="FFC00000"/>
      </font>
    </dxf>
    <dxf>
      <font>
        <color rgb="FFC00000"/>
      </font>
    </dxf>
    <dxf>
      <font>
        <color rgb="FFC00000"/>
      </font>
    </dxf>
    <dxf>
      <font>
        <b val="0"/>
        <i val="0"/>
        <strike val="0"/>
        <condense val="0"/>
        <extend val="0"/>
        <outline val="0"/>
        <shadow val="0"/>
        <u val="none"/>
        <vertAlign val="baseline"/>
        <sz val="11"/>
        <color theme="1"/>
        <name val="Calibri"/>
        <family val="2"/>
        <scheme val="minor"/>
      </font>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numFmt numFmtId="169" formatCode="_-[$₦-46A]* #,##0_-;\-[$₦-46A]* #,##0_-;_-[$₦-46A]* &quot;-&quot;_-;_-@_-"/>
    </dxf>
    <dxf>
      <font>
        <color theme="0"/>
      </font>
      <fill>
        <patternFill patternType="solid">
          <fgColor indexed="64"/>
          <bgColor theme="4" tint="-0.249977111117893"/>
        </patternFill>
      </fill>
    </dxf>
    <dxf>
      <font>
        <color rgb="FFC00000"/>
      </font>
    </dxf>
    <dxf>
      <font>
        <color rgb="FFC00000"/>
      </font>
    </dxf>
    <dxf>
      <font>
        <color rgb="FFC00000"/>
      </font>
    </dxf>
    <dxf>
      <font>
        <color rgb="FFC00000"/>
      </font>
    </dxf>
    <dxf>
      <font>
        <color rgb="FFC00000"/>
      </font>
    </dxf>
    <dxf>
      <font>
        <color rgb="FFC00000"/>
      </font>
    </dxf>
    <dxf>
      <font>
        <b val="0"/>
        <i val="0"/>
        <strike val="0"/>
        <condense val="0"/>
        <extend val="0"/>
        <outline val="0"/>
        <shadow val="0"/>
        <u val="none"/>
        <vertAlign val="baseline"/>
        <sz val="11"/>
        <color theme="1"/>
        <name val="Calibri"/>
        <family val="2"/>
        <scheme val="minor"/>
      </font>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numFmt numFmtId="169" formatCode="_-[$₦-46A]* #,##0_-;\-[$₦-46A]* #,##0_-;_-[$₦-46A]* &quot;-&quot;_-;_-@_-"/>
    </dxf>
    <dxf>
      <font>
        <color theme="0"/>
      </font>
      <fill>
        <patternFill patternType="solid">
          <fgColor indexed="64"/>
          <bgColor theme="4" tint="-0.249977111117893"/>
        </patternFill>
      </fill>
    </dxf>
    <dxf>
      <font>
        <color rgb="FFC00000"/>
      </font>
    </dxf>
    <dxf>
      <font>
        <color rgb="FFC00000"/>
      </font>
    </dxf>
    <dxf>
      <font>
        <color rgb="FFC00000"/>
      </font>
    </dxf>
    <dxf>
      <font>
        <color rgb="FFC00000"/>
      </font>
    </dxf>
    <dxf>
      <font>
        <color rgb="FFC00000"/>
      </font>
    </dxf>
    <dxf>
      <font>
        <color rgb="FFC00000"/>
      </font>
    </dxf>
    <dxf>
      <font>
        <b val="0"/>
        <i val="0"/>
        <strike val="0"/>
        <condense val="0"/>
        <extend val="0"/>
        <outline val="0"/>
        <shadow val="0"/>
        <u val="none"/>
        <vertAlign val="baseline"/>
        <sz val="11"/>
        <color theme="1"/>
        <name val="Calibri"/>
        <family val="2"/>
        <scheme val="minor"/>
      </font>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numFmt numFmtId="169" formatCode="_-[$₦-46A]* #,##0_-;\-[$₦-46A]* #,##0_-;_-[$₦-46A]* &quot;-&quot;_-;_-@_-"/>
    </dxf>
    <dxf>
      <font>
        <color theme="0"/>
      </font>
      <fill>
        <patternFill patternType="solid">
          <fgColor indexed="64"/>
          <bgColor theme="4" tint="-0.249977111117893"/>
        </patternFill>
      </fill>
    </dxf>
    <dxf>
      <font>
        <color rgb="FFC00000"/>
      </font>
    </dxf>
    <dxf>
      <font>
        <color rgb="FFC00000"/>
      </font>
    </dxf>
    <dxf>
      <font>
        <color rgb="FFC00000"/>
      </font>
    </dxf>
    <dxf>
      <font>
        <color rgb="FFC00000"/>
      </font>
    </dxf>
    <dxf>
      <font>
        <color rgb="FFC00000"/>
      </font>
    </dxf>
    <dxf>
      <font>
        <color rgb="FFC00000"/>
      </font>
    </dxf>
    <dxf>
      <font>
        <b val="0"/>
        <i val="0"/>
        <strike val="0"/>
        <condense val="0"/>
        <extend val="0"/>
        <outline val="0"/>
        <shadow val="0"/>
        <u val="none"/>
        <vertAlign val="baseline"/>
        <sz val="11"/>
        <color theme="1"/>
        <name val="Calibri"/>
        <family val="2"/>
        <scheme val="minor"/>
      </font>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numFmt numFmtId="169" formatCode="_-[$₦-46A]* #,##0_-;\-[$₦-46A]* #,##0_-;_-[$₦-46A]* &quot;-&quot;_-;_-@_-"/>
    </dxf>
    <dxf>
      <font>
        <color theme="0"/>
      </font>
      <fill>
        <patternFill patternType="solid">
          <fgColor indexed="64"/>
          <bgColor theme="4" tint="-0.249977111117893"/>
        </patternFill>
      </fill>
    </dxf>
    <dxf>
      <font>
        <color rgb="FFC00000"/>
      </font>
    </dxf>
    <dxf>
      <font>
        <color rgb="FFC00000"/>
      </font>
    </dxf>
    <dxf>
      <font>
        <color rgb="FFC00000"/>
      </font>
    </dxf>
    <dxf>
      <font>
        <color rgb="FFC00000"/>
      </font>
    </dxf>
    <dxf>
      <font>
        <color rgb="FFC00000"/>
      </font>
    </dxf>
    <dxf>
      <font>
        <color rgb="FFC00000"/>
      </font>
    </dxf>
    <dxf>
      <font>
        <b val="0"/>
        <i val="0"/>
        <strike val="0"/>
        <condense val="0"/>
        <extend val="0"/>
        <outline val="0"/>
        <shadow val="0"/>
        <u val="none"/>
        <vertAlign val="baseline"/>
        <sz val="11"/>
        <color theme="1"/>
        <name val="Calibri"/>
        <family val="2"/>
        <scheme val="minor"/>
      </font>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numFmt numFmtId="169" formatCode="_-[$₦-46A]* #,##0_-;\-[$₦-46A]* #,##0_-;_-[$₦-46A]* &quot;-&quot;_-;_-@_-"/>
    </dxf>
    <dxf>
      <font>
        <color theme="0"/>
      </font>
      <fill>
        <patternFill patternType="solid">
          <fgColor indexed="64"/>
          <bgColor theme="4" tint="-0.249977111117893"/>
        </patternFill>
      </fill>
    </dxf>
    <dxf>
      <font>
        <color rgb="FFC00000"/>
      </font>
    </dxf>
    <dxf>
      <font>
        <color rgb="FFC00000"/>
      </font>
    </dxf>
    <dxf>
      <font>
        <color rgb="FFC00000"/>
      </font>
    </dxf>
    <dxf>
      <font>
        <color rgb="FFC00000"/>
      </font>
    </dxf>
    <dxf>
      <font>
        <color rgb="FFC00000"/>
      </font>
    </dxf>
    <dxf>
      <font>
        <color rgb="FFC00000"/>
      </font>
    </dxf>
    <dxf>
      <font>
        <b val="0"/>
        <i val="0"/>
        <strike val="0"/>
        <condense val="0"/>
        <extend val="0"/>
        <outline val="0"/>
        <shadow val="0"/>
        <u val="none"/>
        <vertAlign val="baseline"/>
        <sz val="11"/>
        <color theme="1"/>
        <name val="Calibri"/>
        <family val="2"/>
        <scheme val="minor"/>
      </font>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numFmt numFmtId="167" formatCode="0.0%"/>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numFmt numFmtId="167" formatCode="0.0%"/>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numFmt numFmtId="169" formatCode="_-[$₦-46A]* #,##0_-;\-[$₦-46A]* #,##0_-;_-[$₦-46A]* &quot;-&quot;_-;_-@_-"/>
    </dxf>
    <dxf>
      <font>
        <color theme="0"/>
      </font>
      <fill>
        <patternFill patternType="solid">
          <fgColor indexed="64"/>
          <bgColor theme="4" tint="-0.249977111117893"/>
        </patternFill>
      </fill>
    </dxf>
    <dxf>
      <font>
        <color rgb="FFC00000"/>
      </font>
    </dxf>
    <dxf>
      <font>
        <color rgb="FFC00000"/>
      </font>
    </dxf>
    <dxf>
      <font>
        <color rgb="FFC00000"/>
      </font>
    </dxf>
    <dxf>
      <font>
        <color rgb="FFC00000"/>
      </font>
    </dxf>
    <dxf>
      <font>
        <color rgb="FFC00000"/>
      </font>
    </dxf>
    <dxf>
      <font>
        <color rgb="FFC00000"/>
      </font>
    </dxf>
    <dxf>
      <font>
        <b val="0"/>
        <i val="0"/>
        <strike val="0"/>
        <condense val="0"/>
        <extend val="0"/>
        <outline val="0"/>
        <shadow val="0"/>
        <u val="none"/>
        <vertAlign val="baseline"/>
        <sz val="11"/>
        <color theme="1"/>
        <name val="Calibri"/>
        <family val="2"/>
        <scheme val="minor"/>
      </font>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numFmt numFmtId="169" formatCode="_-[$₦-46A]* #,##0_-;\-[$₦-46A]* #,##0_-;_-[$₦-46A]* &quot;-&quot;_-;_-@_-"/>
    </dxf>
    <dxf>
      <font>
        <color theme="0"/>
      </font>
      <fill>
        <patternFill patternType="solid">
          <fgColor indexed="64"/>
          <bgColor theme="4" tint="-0.249977111117893"/>
        </patternFill>
      </fill>
    </dxf>
    <dxf>
      <font>
        <color rgb="FFC00000"/>
      </font>
    </dxf>
    <dxf>
      <font>
        <color rgb="FFC00000"/>
      </font>
    </dxf>
    <dxf>
      <font>
        <color rgb="FFC00000"/>
      </font>
    </dxf>
    <dxf>
      <font>
        <color rgb="FFC00000"/>
      </font>
    </dxf>
    <dxf>
      <font>
        <color rgb="FFC00000"/>
      </font>
    </dxf>
    <dxf>
      <font>
        <color rgb="FFC00000"/>
      </font>
    </dxf>
    <dxf>
      <font>
        <b val="0"/>
        <i val="0"/>
        <strike val="0"/>
        <condense val="0"/>
        <extend val="0"/>
        <outline val="0"/>
        <shadow val="0"/>
        <u val="none"/>
        <vertAlign val="baseline"/>
        <sz val="11"/>
        <color theme="1"/>
        <name val="Calibri"/>
        <family val="2"/>
        <scheme val="minor"/>
      </font>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numFmt numFmtId="169" formatCode="_-[$₦-46A]* #,##0_-;\-[$₦-46A]* #,##0_-;_-[$₦-46A]* &quot;-&quot;_-;_-@_-"/>
    </dxf>
    <dxf>
      <font>
        <color theme="0"/>
      </font>
      <fill>
        <patternFill patternType="solid">
          <fgColor indexed="64"/>
          <bgColor theme="4" tint="-0.249977111117893"/>
        </patternFill>
      </fill>
    </dxf>
    <dxf>
      <font>
        <color rgb="FFC00000"/>
      </font>
    </dxf>
    <dxf>
      <font>
        <color rgb="FFC00000"/>
      </font>
    </dxf>
    <dxf>
      <font>
        <color rgb="FFC00000"/>
      </font>
    </dxf>
    <dxf>
      <font>
        <color rgb="FFC00000"/>
      </font>
    </dxf>
    <dxf>
      <font>
        <color rgb="FFC00000"/>
      </font>
    </dxf>
    <dxf>
      <font>
        <color rgb="FFC00000"/>
      </font>
    </dxf>
    <dxf>
      <font>
        <b val="0"/>
        <i val="0"/>
        <strike val="0"/>
        <condense val="0"/>
        <extend val="0"/>
        <outline val="0"/>
        <shadow val="0"/>
        <u val="none"/>
        <vertAlign val="baseline"/>
        <sz val="11"/>
        <color theme="1"/>
        <name val="Calibri"/>
        <family val="2"/>
        <scheme val="minor"/>
      </font>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numFmt numFmtId="169" formatCode="_-[$₦-46A]* #,##0_-;\-[$₦-46A]* #,##0_-;_-[$₦-46A]* &quot;-&quot;_-;_-@_-"/>
    </dxf>
    <dxf>
      <font>
        <color theme="0"/>
      </font>
      <fill>
        <patternFill patternType="solid">
          <fgColor indexed="64"/>
          <bgColor theme="4" tint="-0.249977111117893"/>
        </patternFill>
      </fill>
    </dxf>
    <dxf>
      <font>
        <color rgb="FFC00000"/>
      </font>
    </dxf>
    <dxf>
      <font>
        <color rgb="FFC00000"/>
      </font>
    </dxf>
    <dxf>
      <font>
        <color rgb="FFC00000"/>
      </font>
    </dxf>
    <dxf>
      <font>
        <color rgb="FFC00000"/>
      </font>
    </dxf>
    <dxf>
      <font>
        <color rgb="FFC00000"/>
      </font>
    </dxf>
    <dxf>
      <font>
        <color rgb="FFC00000"/>
      </font>
    </dxf>
    <dxf>
      <font>
        <b val="0"/>
        <i val="0"/>
        <strike val="0"/>
        <condense val="0"/>
        <extend val="0"/>
        <outline val="0"/>
        <shadow val="0"/>
        <u val="none"/>
        <vertAlign val="baseline"/>
        <sz val="11"/>
        <color theme="1"/>
        <name val="Calibri"/>
        <family val="2"/>
        <scheme val="minor"/>
      </font>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numFmt numFmtId="169" formatCode="_-[$₦-46A]* #,##0_-;\-[$₦-46A]* #,##0_-;_-[$₦-46A]* &quot;-&quot;_-;_-@_-"/>
    </dxf>
    <dxf>
      <font>
        <color theme="0"/>
      </font>
      <fill>
        <patternFill patternType="solid">
          <fgColor indexed="64"/>
          <bgColor theme="4" tint="-0.249977111117893"/>
        </patternFill>
      </fill>
    </dxf>
    <dxf>
      <font>
        <color rgb="FFC00000"/>
      </font>
    </dxf>
    <dxf>
      <font>
        <color rgb="FFC00000"/>
      </font>
    </dxf>
    <dxf>
      <font>
        <color rgb="FFC00000"/>
      </font>
    </dxf>
    <dxf>
      <font>
        <color rgb="FFC00000"/>
      </font>
    </dxf>
    <dxf>
      <font>
        <color rgb="FFC00000"/>
      </font>
    </dxf>
    <dxf>
      <font>
        <color rgb="FFC00000"/>
      </font>
    </dxf>
    <dxf>
      <font>
        <b val="0"/>
        <i val="0"/>
        <strike val="0"/>
        <condense val="0"/>
        <extend val="0"/>
        <outline val="0"/>
        <shadow val="0"/>
        <u val="none"/>
        <vertAlign val="baseline"/>
        <sz val="11"/>
        <color theme="1"/>
        <name val="Calibri"/>
        <family val="2"/>
        <scheme val="minor"/>
      </font>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numFmt numFmtId="169" formatCode="_-[$₦-46A]* #,##0_-;\-[$₦-46A]* #,##0_-;_-[$₦-46A]* &quot;-&quot;_-;_-@_-"/>
    </dxf>
    <dxf>
      <font>
        <color theme="0"/>
      </font>
      <fill>
        <patternFill patternType="solid">
          <fgColor indexed="64"/>
          <bgColor theme="4" tint="-0.249977111117893"/>
        </patternFill>
      </fill>
    </dxf>
    <dxf>
      <font>
        <color rgb="FFC00000"/>
      </font>
    </dxf>
    <dxf>
      <font>
        <color rgb="FFC00000"/>
      </font>
    </dxf>
    <dxf>
      <font>
        <color rgb="FFC00000"/>
      </font>
    </dxf>
    <dxf>
      <font>
        <color rgb="FFC00000"/>
      </font>
    </dxf>
    <dxf>
      <font>
        <color rgb="FFC00000"/>
      </font>
    </dxf>
    <dxf>
      <font>
        <color rgb="FFC00000"/>
      </font>
    </dxf>
    <dxf>
      <font>
        <b val="0"/>
        <i val="0"/>
        <strike val="0"/>
        <condense val="0"/>
        <extend val="0"/>
        <outline val="0"/>
        <shadow val="0"/>
        <u val="none"/>
        <vertAlign val="baseline"/>
        <sz val="11"/>
        <color theme="1"/>
        <name val="Calibri"/>
        <family val="2"/>
        <scheme val="minor"/>
      </font>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numFmt numFmtId="169" formatCode="_-[$₦-46A]* #,##0_-;\-[$₦-46A]* #,##0_-;_-[$₦-46A]* &quot;-&quot;_-;_-@_-"/>
    </dxf>
    <dxf>
      <font>
        <color theme="0"/>
      </font>
      <fill>
        <patternFill patternType="solid">
          <fgColor indexed="64"/>
          <bgColor theme="4" tint="-0.249977111117893"/>
        </patternFill>
      </fill>
    </dxf>
    <dxf>
      <font>
        <color rgb="FFC00000"/>
      </font>
    </dxf>
    <dxf>
      <font>
        <color rgb="FFC00000"/>
      </font>
    </dxf>
    <dxf>
      <font>
        <color rgb="FFC00000"/>
      </font>
    </dxf>
    <dxf>
      <font>
        <color rgb="FFC00000"/>
      </font>
    </dxf>
    <dxf>
      <font>
        <color rgb="FFC00000"/>
      </font>
    </dxf>
    <dxf>
      <font>
        <color rgb="FFC00000"/>
      </font>
    </dxf>
    <dxf>
      <font>
        <b val="0"/>
        <i val="0"/>
        <strike val="0"/>
        <condense val="0"/>
        <extend val="0"/>
        <outline val="0"/>
        <shadow val="0"/>
        <u val="none"/>
        <vertAlign val="baseline"/>
        <sz val="11"/>
        <color theme="1"/>
        <name val="Calibri"/>
        <family val="2"/>
        <scheme val="minor"/>
      </font>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numFmt numFmtId="169" formatCode="_-[$₦-46A]* #,##0_-;\-[$₦-46A]* #,##0_-;_-[$₦-46A]* &quot;-&quot;_-;_-@_-"/>
    </dxf>
    <dxf>
      <font>
        <color theme="0"/>
      </font>
      <fill>
        <patternFill patternType="solid">
          <fgColor indexed="64"/>
          <bgColor theme="4" tint="-0.249977111117893"/>
        </patternFill>
      </fill>
    </dxf>
    <dxf>
      <font>
        <color rgb="FFC00000"/>
      </font>
    </dxf>
    <dxf>
      <font>
        <color rgb="FFC00000"/>
      </font>
    </dxf>
    <dxf>
      <font>
        <color rgb="FFC00000"/>
      </font>
    </dxf>
    <dxf>
      <font>
        <color rgb="FFC00000"/>
      </font>
    </dxf>
    <dxf>
      <font>
        <color rgb="FFC00000"/>
      </font>
    </dxf>
    <dxf>
      <font>
        <color rgb="FFC00000"/>
      </font>
    </dxf>
    <dxf>
      <font>
        <b val="0"/>
        <i val="0"/>
        <strike val="0"/>
        <condense val="0"/>
        <extend val="0"/>
        <outline val="0"/>
        <shadow val="0"/>
        <u val="none"/>
        <vertAlign val="baseline"/>
        <sz val="11"/>
        <color theme="1"/>
        <name val="Calibri"/>
        <family val="2"/>
        <scheme val="minor"/>
      </font>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numFmt numFmtId="169" formatCode="_-[$₦-46A]* #,##0_-;\-[$₦-46A]* #,##0_-;_-[$₦-46A]* &quot;-&quot;_-;_-@_-"/>
    </dxf>
    <dxf>
      <font>
        <color theme="0"/>
      </font>
      <fill>
        <patternFill patternType="solid">
          <fgColor indexed="64"/>
          <bgColor theme="4" tint="-0.249977111117893"/>
        </patternFill>
      </fill>
    </dxf>
    <dxf>
      <font>
        <color rgb="FFC00000"/>
      </font>
    </dxf>
    <dxf>
      <font>
        <color rgb="FFC00000"/>
      </font>
    </dxf>
    <dxf>
      <font>
        <color rgb="FFC00000"/>
      </font>
    </dxf>
    <dxf>
      <font>
        <color rgb="FFC00000"/>
      </font>
    </dxf>
    <dxf>
      <font>
        <color rgb="FFC00000"/>
      </font>
    </dxf>
    <dxf>
      <font>
        <color rgb="FFC00000"/>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numFmt numFmtId="169" formatCode="_-[$₦-46A]* #,##0_-;\-[$₦-46A]* #,##0_-;_-[$₦-46A]* &quot;-&quot;_-;_-@_-"/>
    </dxf>
    <dxf>
      <font>
        <color theme="0"/>
      </font>
      <fill>
        <patternFill patternType="solid">
          <fgColor indexed="64"/>
          <bgColor theme="4" tint="-0.249977111117893"/>
        </patternFill>
      </fill>
    </dxf>
    <dxf>
      <font>
        <color rgb="FFC00000"/>
      </font>
    </dxf>
    <dxf>
      <font>
        <color rgb="FFC00000"/>
      </font>
    </dxf>
    <dxf>
      <font>
        <color rgb="FFC00000"/>
      </font>
    </dxf>
    <dxf>
      <font>
        <color rgb="FFC00000"/>
      </font>
    </dxf>
    <dxf>
      <font>
        <color rgb="FFC00000"/>
      </font>
    </dxf>
    <dxf>
      <font>
        <color rgb="FFC00000"/>
      </font>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numFmt numFmtId="167" formatCode="0.0%"/>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numFmt numFmtId="167" formatCode="0.0%"/>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numFmt numFmtId="167" formatCode="0.0%"/>
    </dxf>
    <dxf>
      <font>
        <b val="0"/>
        <i val="0"/>
        <strike val="0"/>
        <condense val="0"/>
        <extend val="0"/>
        <outline val="0"/>
        <shadow val="0"/>
        <u val="none"/>
        <vertAlign val="baseline"/>
        <sz val="9"/>
        <color theme="1"/>
        <name val="Biome"/>
        <family val="2"/>
        <scheme val="none"/>
      </font>
      <numFmt numFmtId="167" formatCode="0.0%"/>
      <alignment horizontal="general" vertical="center" textRotation="0" wrapText="0" indent="0" justifyLastLine="0" shrinkToFit="0" readingOrder="0"/>
    </dxf>
    <dxf>
      <font>
        <b val="0"/>
        <i val="0"/>
        <strike val="0"/>
        <condense val="0"/>
        <extend val="0"/>
        <outline val="0"/>
        <shadow val="0"/>
        <u val="none"/>
        <vertAlign val="baseline"/>
        <sz val="9"/>
        <color theme="1"/>
        <name val="Biome"/>
        <family val="2"/>
        <scheme val="none"/>
      </font>
      <numFmt numFmtId="167" formatCode="0.0%"/>
      <alignment horizontal="general" vertical="center" textRotation="0" wrapText="0" indent="0" justifyLastLine="0" shrinkToFit="0" readingOrder="0"/>
    </dxf>
    <dxf>
      <font>
        <b val="0"/>
        <i val="0"/>
        <strike val="0"/>
        <condense val="0"/>
        <extend val="0"/>
        <outline val="0"/>
        <shadow val="0"/>
        <u val="none"/>
        <vertAlign val="baseline"/>
        <sz val="9"/>
        <color theme="1"/>
        <name val="Biome"/>
        <family val="2"/>
        <scheme val="none"/>
      </font>
      <numFmt numFmtId="167" formatCode="0.0%"/>
      <alignment horizontal="general" vertical="center" textRotation="0" wrapText="0" indent="0" justifyLastLine="0" shrinkToFit="0" readingOrder="0"/>
    </dxf>
    <dxf>
      <font>
        <b val="0"/>
        <i val="0"/>
        <strike val="0"/>
        <condense val="0"/>
        <extend val="0"/>
        <outline val="0"/>
        <shadow val="0"/>
        <u val="none"/>
        <vertAlign val="baseline"/>
        <sz val="9"/>
        <color theme="1"/>
        <name val="Biome"/>
        <family val="2"/>
        <scheme val="none"/>
      </font>
      <numFmt numFmtId="167" formatCode="0.0%"/>
      <alignment horizontal="general" vertical="center" textRotation="0" wrapText="0" indent="0" justifyLastLine="0" shrinkToFit="0" readingOrder="0"/>
    </dxf>
    <dxf>
      <font>
        <b val="0"/>
        <i val="0"/>
        <strike val="0"/>
        <condense val="0"/>
        <extend val="0"/>
        <outline val="0"/>
        <shadow val="0"/>
        <u val="none"/>
        <vertAlign val="baseline"/>
        <sz val="9"/>
        <color theme="1"/>
        <name val="Biome"/>
        <family val="2"/>
        <scheme val="none"/>
      </font>
      <numFmt numFmtId="167" formatCode="0.0%"/>
      <alignment horizontal="general" vertical="center" textRotation="0" wrapText="0" indent="0" justifyLastLine="0" shrinkToFit="0" readingOrder="0"/>
    </dxf>
    <dxf>
      <font>
        <b val="0"/>
        <i val="0"/>
        <strike val="0"/>
        <condense val="0"/>
        <extend val="0"/>
        <outline val="0"/>
        <shadow val="0"/>
        <u val="none"/>
        <vertAlign val="baseline"/>
        <sz val="9"/>
        <color theme="1"/>
        <name val="Biome"/>
        <family val="2"/>
        <scheme val="none"/>
      </font>
      <numFmt numFmtId="167" formatCode="0.0%"/>
      <alignment horizontal="general" vertical="center" textRotation="0" wrapText="0" indent="0" justifyLastLine="0" shrinkToFit="0" readingOrder="0"/>
    </dxf>
    <dxf>
      <font>
        <b val="0"/>
        <i val="0"/>
        <strike val="0"/>
        <condense val="0"/>
        <extend val="0"/>
        <outline val="0"/>
        <shadow val="0"/>
        <u val="none"/>
        <vertAlign val="baseline"/>
        <sz val="9"/>
        <color theme="1"/>
        <name val="Biome"/>
        <family val="2"/>
        <scheme val="none"/>
      </font>
      <numFmt numFmtId="166" formatCode="_-[$₦-406]* #,##0_-;_-[$₦-406]* \(#,##0\)_-;_-[$₦-406]* &quot;-&quot;_-;_-@_-"/>
      <alignment horizontal="general" vertical="center" textRotation="0" wrapText="0" indent="0" justifyLastLine="0" shrinkToFit="0" readingOrder="0"/>
    </dxf>
    <dxf>
      <font>
        <b val="0"/>
        <i val="0"/>
        <strike val="0"/>
        <condense val="0"/>
        <extend val="0"/>
        <outline val="0"/>
        <shadow val="0"/>
        <u val="none"/>
        <vertAlign val="baseline"/>
        <sz val="9"/>
        <color theme="1"/>
        <name val="Biome"/>
        <family val="2"/>
        <scheme val="none"/>
      </font>
      <numFmt numFmtId="167" formatCode="0.0%"/>
      <alignment horizontal="general" vertical="center" textRotation="0" wrapText="0" indent="0" justifyLastLine="0" shrinkToFit="0" readingOrder="0"/>
    </dxf>
    <dxf>
      <numFmt numFmtId="166" formatCode="_-[$₦-406]* #,##0_-;_-[$₦-406]* \(#,##0\)_-;_-[$₦-406]* &quot;-&quot;_-;_-@_-"/>
    </dxf>
    <dxf>
      <numFmt numFmtId="167" formatCode="0.0%"/>
    </dxf>
    <dxf>
      <font>
        <b val="0"/>
        <i val="0"/>
        <strike val="0"/>
        <condense val="0"/>
        <extend val="0"/>
        <outline val="0"/>
        <shadow val="0"/>
        <u val="none"/>
        <vertAlign val="baseline"/>
        <sz val="9"/>
        <color theme="1"/>
        <name val="Biome"/>
        <family val="2"/>
        <scheme val="none"/>
      </font>
      <numFmt numFmtId="166" formatCode="_-[$₦-406]* #,##0_-;_-[$₦-406]* \(#,##0\)_-;_-[$₦-406]* &quot;-&quot;_-;_-@_-"/>
      <alignment horizontal="right" vertical="center" textRotation="0" wrapText="0" indent="0" justifyLastLine="0" shrinkToFit="0" readingOrder="0"/>
    </dxf>
    <dxf>
      <font>
        <b val="0"/>
        <i val="0"/>
        <strike val="0"/>
        <condense val="0"/>
        <extend val="0"/>
        <outline val="0"/>
        <shadow val="0"/>
        <u val="none"/>
        <vertAlign val="baseline"/>
        <sz val="9"/>
        <color theme="1"/>
        <name val="Biome"/>
        <family val="2"/>
        <scheme val="none"/>
      </font>
      <numFmt numFmtId="166" formatCode="_-[$₦-406]* #,##0_-;_-[$₦-406]* \(#,##0\)_-;_-[$₦-406]* &quot;-&quot;_-;_-@_-"/>
      <alignment horizontal="right" vertical="center" textRotation="0" wrapText="0" indent="0" justifyLastLine="0" shrinkToFit="0" readingOrder="0"/>
    </dxf>
    <dxf>
      <font>
        <b val="0"/>
        <i val="0"/>
        <strike val="0"/>
        <condense val="0"/>
        <extend val="0"/>
        <outline val="0"/>
        <shadow val="0"/>
        <u val="none"/>
        <vertAlign val="baseline"/>
        <sz val="9"/>
        <color theme="1"/>
        <name val="Biome"/>
        <family val="2"/>
        <scheme val="none"/>
      </font>
      <numFmt numFmtId="166" formatCode="_-[$₦-406]* #,##0_-;_-[$₦-406]* \(#,##0\)_-;_-[$₦-406]* &quot;-&quot;_-;_-@_-"/>
      <alignment horizontal="right" vertical="center" textRotation="0" wrapText="0" indent="0" justifyLastLine="0" shrinkToFit="0" readingOrder="0"/>
    </dxf>
    <dxf>
      <font>
        <b val="0"/>
        <i val="0"/>
        <strike val="0"/>
        <condense val="0"/>
        <extend val="0"/>
        <outline val="0"/>
        <shadow val="0"/>
        <u val="none"/>
        <vertAlign val="baseline"/>
        <sz val="9"/>
        <color theme="1"/>
        <name val="Biome"/>
        <family val="2"/>
        <scheme val="none"/>
      </font>
      <numFmt numFmtId="166" formatCode="_-[$₦-406]* #,##0_-;_-[$₦-406]* \(#,##0\)_-;_-[$₦-406]* &quot;-&quot;_-;_-@_-"/>
      <alignment horizontal="right" vertical="center" textRotation="0" wrapText="0" indent="0" justifyLastLine="0" shrinkToFit="0" readingOrder="0"/>
    </dxf>
    <dxf>
      <font>
        <b val="0"/>
        <i val="0"/>
        <strike val="0"/>
        <condense val="0"/>
        <extend val="0"/>
        <outline val="0"/>
        <shadow val="0"/>
        <u val="none"/>
        <vertAlign val="baseline"/>
        <sz val="9"/>
        <color theme="1"/>
        <name val="Biome"/>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9"/>
        <color theme="1"/>
        <name val="Biome"/>
        <family val="2"/>
        <scheme val="none"/>
      </font>
      <alignment horizontal="right" vertical="center" textRotation="0" wrapText="0" indent="0" justifyLastLine="0" shrinkToFit="0" readingOrder="0"/>
    </dxf>
    <dxf>
      <font>
        <b val="0"/>
        <i val="0"/>
        <strike val="0"/>
        <condense val="0"/>
        <extend val="0"/>
        <outline val="0"/>
        <shadow val="0"/>
        <u val="none"/>
        <vertAlign val="baseline"/>
        <sz val="9"/>
        <color theme="1"/>
        <name val="Biome"/>
        <family val="2"/>
        <scheme val="none"/>
      </font>
      <numFmt numFmtId="165" formatCode="_-* #,##0_-;\-* #,##0_-;_-* &quot;-&quot;??_-;_-@_-"/>
      <alignment horizontal="right" vertical="center" textRotation="0" wrapText="0" indent="0" justifyLastLine="0" shrinkToFit="0" readingOrder="0"/>
    </dxf>
    <dxf>
      <font>
        <b val="0"/>
        <i val="0"/>
        <strike val="0"/>
        <condense val="0"/>
        <extend val="0"/>
        <outline val="0"/>
        <shadow val="0"/>
        <u val="none"/>
        <vertAlign val="baseline"/>
        <sz val="9"/>
        <color theme="1"/>
        <name val="Biome"/>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9"/>
        <color theme="1"/>
        <name val="Biome"/>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9"/>
        <color theme="1"/>
        <name val="Biome"/>
        <family val="2"/>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1"/>
        <name val="Biome"/>
        <family val="2"/>
        <scheme val="none"/>
      </font>
      <alignment horizontal="center" vertical="center" textRotation="0" wrapText="0" indent="0" justifyLastLine="0" shrinkToFit="0" readingOrder="0"/>
    </dxf>
    <dxf>
      <font>
        <b val="0"/>
        <i val="0"/>
        <strike val="0"/>
        <condense val="0"/>
        <extend val="0"/>
        <outline val="0"/>
        <shadow val="0"/>
        <u val="none"/>
        <vertAlign val="baseline"/>
        <sz val="9"/>
        <color theme="1"/>
        <name val="Biome"/>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9"/>
        <color theme="0"/>
        <name val="Biome"/>
        <family val="2"/>
        <scheme val="none"/>
      </font>
      <numFmt numFmtId="167" formatCode="0.0%"/>
      <fill>
        <patternFill patternType="solid">
          <fgColor indexed="64"/>
          <bgColor theme="1"/>
        </patternFill>
      </fill>
      <alignment horizontal="right" vertical="center" textRotation="0" wrapText="0" indent="0" justifyLastLine="0" shrinkToFit="0" readingOrder="0"/>
    </dxf>
    <dxf>
      <font>
        <color theme="0"/>
      </font>
      <fill>
        <patternFill patternType="solid">
          <fgColor indexed="64"/>
          <bgColor theme="4" tint="-0.249977111117893"/>
        </patternFill>
      </fill>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patternType="solid">
          <bgColor theme="4" tint="-0.249977111117893"/>
        </patternFill>
      </fill>
    </dxf>
    <dxf>
      <font>
        <color theme="0"/>
      </font>
    </dxf>
    <dxf>
      <fill>
        <patternFill patternType="solid">
          <bgColor theme="4" tint="-0.249977111117893"/>
        </patternFill>
      </fill>
    </dxf>
    <dxf>
      <font>
        <color theme="0"/>
      </font>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numFmt numFmtId="167" formatCode="0.0%"/>
    </dxf>
    <dxf>
      <font>
        <color theme="0"/>
      </font>
      <fill>
        <patternFill patternType="solid">
          <fgColor indexed="64"/>
          <bgColor theme="4" tint="-0.249977111117893"/>
        </patternFill>
      </fill>
    </dxf>
    <dxf>
      <font>
        <color theme="0"/>
      </font>
      <fill>
        <patternFill patternType="solid">
          <fgColor indexed="64"/>
          <bgColor theme="4" tint="-0.249977111117893"/>
        </patternFill>
      </fill>
    </dxf>
    <dxf>
      <font>
        <color theme="0"/>
      </font>
      <fill>
        <patternFill patternType="solid">
          <fgColor indexed="64"/>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ill>
        <patternFill>
          <bgColor theme="4" tint="-0.249977111117893"/>
        </patternFill>
      </fill>
    </dxf>
    <dxf>
      <font>
        <color theme="0"/>
      </font>
    </dxf>
    <dxf>
      <font>
        <color theme="0"/>
      </font>
    </dxf>
    <dxf>
      <fill>
        <patternFill patternType="solid">
          <bgColor theme="4" tint="-0.249977111117893"/>
        </patternFill>
      </fill>
    </dxf>
    <dxf>
      <font>
        <sz val="10"/>
      </font>
    </dxf>
    <dxf>
      <font>
        <sz val="10"/>
      </font>
    </dxf>
    <dxf>
      <font>
        <sz val="10"/>
      </font>
    </dxf>
    <dxf>
      <font>
        <sz val="10"/>
      </font>
    </dxf>
    <dxf>
      <font>
        <sz val="10"/>
      </font>
    </dxf>
    <dxf>
      <font>
        <name val="Biome"/>
        <scheme val="none"/>
      </font>
    </dxf>
    <dxf>
      <font>
        <name val="Biome"/>
        <scheme val="none"/>
      </font>
    </dxf>
    <dxf>
      <font>
        <name val="Biome"/>
        <scheme val="none"/>
      </font>
    </dxf>
    <dxf>
      <font>
        <name val="Biome"/>
        <scheme val="none"/>
      </font>
    </dxf>
    <dxf>
      <font>
        <name val="Biome"/>
        <scheme val="none"/>
      </font>
    </dxf>
    <dxf>
      <numFmt numFmtId="167" formatCode="0.0%"/>
    </dxf>
    <dxf>
      <numFmt numFmtId="167" formatCode="0.0%"/>
    </dxf>
    <dxf>
      <numFmt numFmtId="167" formatCode="0.0%"/>
    </dxf>
    <dxf>
      <numFmt numFmtId="169" formatCode="_-[$₦-46A]* #,##0_-;\-[$₦-46A]* #,##0_-;_-[$₦-46A]* &quot;-&quot;_-;_-@_-"/>
    </dxf>
    <dxf>
      <font>
        <b/>
        <color theme="0"/>
      </font>
      <fill>
        <patternFill patternType="solid">
          <fgColor indexed="64"/>
          <bgColor theme="4" tint="-0.249977111117893"/>
        </patternFill>
      </fill>
    </dxf>
    <dxf>
      <font>
        <b/>
        <color theme="0"/>
      </font>
      <fill>
        <patternFill patternType="solid">
          <fgColor indexed="64"/>
          <bgColor theme="4" tint="-0.249977111117893"/>
        </patternFill>
      </fill>
    </dxf>
    <dxf>
      <font>
        <b/>
        <color theme="0"/>
      </font>
      <fill>
        <patternFill patternType="solid">
          <fgColor indexed="64"/>
          <bgColor theme="4" tint="-0.249977111117893"/>
        </patternFill>
      </fill>
    </dxf>
    <dxf>
      <font>
        <name val="Biome"/>
        <scheme val="none"/>
      </font>
    </dxf>
    <dxf>
      <font>
        <name val="Biome"/>
        <scheme val="none"/>
      </font>
    </dxf>
    <dxf>
      <font>
        <name val="Biome"/>
        <scheme val="none"/>
      </font>
    </dxf>
    <dxf>
      <font>
        <name val="Biome"/>
        <scheme val="none"/>
      </font>
    </dxf>
    <dxf>
      <font>
        <name val="Biome"/>
        <scheme val="none"/>
      </font>
    </dxf>
    <dxf>
      <font>
        <name val="Biome"/>
        <scheme val="none"/>
      </font>
    </dxf>
    <dxf>
      <font>
        <sz val="10"/>
      </font>
    </dxf>
    <dxf>
      <font>
        <sz val="10"/>
      </font>
    </dxf>
    <dxf>
      <font>
        <sz val="10"/>
      </font>
    </dxf>
    <dxf>
      <font>
        <sz val="10"/>
      </font>
    </dxf>
    <dxf>
      <font>
        <sz val="10"/>
      </font>
    </dxf>
    <dxf>
      <font>
        <sz val="10"/>
      </font>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ont>
        <color theme="0"/>
      </font>
      <fill>
        <patternFill patternType="solid">
          <fgColor indexed="64"/>
          <bgColor theme="4" tint="-0.249977111117893"/>
        </patternFill>
      </fill>
    </dxf>
    <dxf>
      <numFmt numFmtId="167" formatCode="0.0%"/>
    </dxf>
    <dxf>
      <numFmt numFmtId="167" formatCode="0.0%"/>
    </dxf>
    <dxf>
      <font>
        <name val="Biome"/>
        <scheme val="none"/>
      </font>
    </dxf>
    <dxf>
      <font>
        <name val="Biome"/>
        <scheme val="none"/>
      </font>
    </dxf>
    <dxf>
      <font>
        <name val="Biome"/>
        <scheme val="none"/>
      </font>
    </dxf>
    <dxf>
      <font>
        <name val="Biome"/>
        <scheme val="none"/>
      </font>
    </dxf>
    <dxf>
      <font>
        <name val="Biome"/>
        <scheme val="none"/>
      </font>
    </dxf>
    <dxf>
      <font>
        <name val="Biome"/>
        <scheme val="none"/>
      </font>
    </dxf>
    <dxf>
      <font>
        <sz val="10"/>
      </font>
    </dxf>
    <dxf>
      <font>
        <sz val="10"/>
      </font>
    </dxf>
    <dxf>
      <font>
        <sz val="10"/>
      </font>
    </dxf>
    <dxf>
      <font>
        <sz val="10"/>
      </font>
    </dxf>
    <dxf>
      <font>
        <sz val="10"/>
      </font>
    </dxf>
    <dxf>
      <font>
        <sz val="10"/>
      </font>
    </dxf>
    <dxf>
      <font>
        <color theme="0"/>
      </font>
    </dxf>
    <dxf>
      <fill>
        <patternFill patternType="solid">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ont>
        <color theme="0"/>
      </font>
    </dxf>
    <dxf>
      <font>
        <color theme="0"/>
      </font>
    </dxf>
    <dxf>
      <fill>
        <patternFill patternType="solid">
          <bgColor theme="4" tint="-0.249977111117893"/>
        </patternFill>
      </fill>
    </dxf>
    <dxf>
      <fill>
        <patternFill patternType="solid">
          <bgColor theme="4" tint="-0.249977111117893"/>
        </patternFill>
      </fill>
    </dxf>
    <dxf>
      <numFmt numFmtId="167" formatCode="0.0%"/>
    </dxf>
    <dxf>
      <numFmt numFmtId="167" formatCode="0.0%"/>
    </dxf>
    <dxf>
      <font>
        <name val="Biome"/>
        <scheme val="none"/>
      </font>
    </dxf>
    <dxf>
      <font>
        <name val="Biome"/>
        <scheme val="none"/>
      </font>
    </dxf>
    <dxf>
      <font>
        <name val="Biome"/>
        <scheme val="none"/>
      </font>
    </dxf>
    <dxf>
      <font>
        <name val="Biome"/>
        <scheme val="none"/>
      </font>
    </dxf>
    <dxf>
      <font>
        <name val="Biome"/>
        <scheme val="none"/>
      </font>
    </dxf>
    <dxf>
      <font>
        <name val="Biome"/>
        <scheme val="none"/>
      </font>
    </dxf>
    <dxf>
      <font>
        <sz val="10"/>
      </font>
    </dxf>
    <dxf>
      <font>
        <sz val="10"/>
      </font>
    </dxf>
    <dxf>
      <font>
        <sz val="10"/>
      </font>
    </dxf>
    <dxf>
      <font>
        <sz val="10"/>
      </font>
    </dxf>
    <dxf>
      <font>
        <sz val="10"/>
      </font>
    </dxf>
    <dxf>
      <font>
        <sz val="10"/>
      </font>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ont>
        <color theme="0"/>
      </font>
      <fill>
        <patternFill patternType="solid">
          <fgColor indexed="64"/>
          <bgColor theme="4" tint="-0.249977111117893"/>
        </patternFill>
      </fill>
    </dxf>
    <dxf>
      <font>
        <name val="Biome"/>
        <scheme val="none"/>
      </font>
    </dxf>
    <dxf>
      <font>
        <name val="Biome"/>
        <scheme val="none"/>
      </font>
    </dxf>
    <dxf>
      <font>
        <name val="Biome"/>
        <scheme val="none"/>
      </font>
    </dxf>
    <dxf>
      <font>
        <name val="Biome"/>
        <scheme val="none"/>
      </font>
    </dxf>
    <dxf>
      <font>
        <name val="Biome"/>
        <scheme val="none"/>
      </font>
    </dxf>
    <dxf>
      <font>
        <name val="Biome"/>
        <scheme val="none"/>
      </font>
    </dxf>
    <dxf>
      <font>
        <sz val="10"/>
      </font>
    </dxf>
    <dxf>
      <font>
        <sz val="10"/>
      </font>
    </dxf>
    <dxf>
      <font>
        <sz val="10"/>
      </font>
    </dxf>
    <dxf>
      <font>
        <sz val="10"/>
      </font>
    </dxf>
    <dxf>
      <font>
        <sz val="10"/>
      </font>
    </dxf>
    <dxf>
      <font>
        <sz val="10"/>
      </font>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ont>
        <color theme="0"/>
      </font>
      <fill>
        <patternFill patternType="solid">
          <fgColor indexed="64"/>
          <bgColor theme="4" tint="-0.249977111117893"/>
        </patternFill>
      </fill>
    </dxf>
    <dxf>
      <numFmt numFmtId="167" formatCode="0.0%"/>
    </dxf>
    <dxf>
      <font>
        <name val="Biome"/>
        <scheme val="none"/>
      </font>
    </dxf>
    <dxf>
      <font>
        <name val="Biome"/>
        <scheme val="none"/>
      </font>
    </dxf>
    <dxf>
      <font>
        <name val="Biome"/>
        <scheme val="none"/>
      </font>
    </dxf>
    <dxf>
      <font>
        <name val="Biome"/>
        <scheme val="none"/>
      </font>
    </dxf>
    <dxf>
      <font>
        <name val="Biome"/>
        <scheme val="none"/>
      </font>
    </dxf>
    <dxf>
      <font>
        <sz val="10"/>
      </font>
    </dxf>
    <dxf>
      <font>
        <sz val="10"/>
      </font>
    </dxf>
    <dxf>
      <font>
        <sz val="10"/>
      </font>
    </dxf>
    <dxf>
      <font>
        <sz val="10"/>
      </font>
    </dxf>
    <dxf>
      <font>
        <sz val="10"/>
      </font>
    </dxf>
    <dxf>
      <font>
        <b/>
      </font>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fill>
        <patternFill patternType="solid">
          <fgColor indexed="64"/>
          <bgColor theme="4" tint="-0.249977111117893"/>
        </patternFill>
      </fill>
      <alignment horizontal="general" vertical="bottom" textRotation="0" wrapText="0" indent="0" justifyLastLine="0" shrinkToFit="0" readingOrder="0"/>
    </dxf>
    <dxf>
      <font>
        <color theme="0"/>
      </font>
      <fill>
        <patternFill patternType="solid">
          <fgColor indexed="64"/>
          <bgColor theme="4" tint="-0.249977111117893"/>
        </patternFill>
      </fill>
    </dxf>
    <dxf>
      <numFmt numFmtId="170" formatCode="_-[$₦-406]* #,##0_);_-\([$₦-406]* #,##0\);_-[$₦-406]* &quot;-&quot;_);_-@_-"/>
    </dxf>
    <dxf>
      <numFmt numFmtId="167" formatCode="0.0%"/>
    </dxf>
    <dxf>
      <numFmt numFmtId="169" formatCode="_-[$₦-46A]* #,##0_-;\-[$₦-46A]* #,##0_-;_-[$₦-46A]* &quot;-&quot;_-;_-@_-"/>
    </dxf>
    <dxf>
      <numFmt numFmtId="169" formatCode="_-[$₦-46A]* #,##0_-;\-[$₦-46A]* #,##0_-;_-[$₦-46A]* &quot;-&quot;_-;_-@_-"/>
    </dxf>
    <dxf>
      <numFmt numFmtId="173" formatCode="[$₦-46A]#,##0.0"/>
    </dxf>
    <dxf>
      <font>
        <name val="Biome"/>
        <scheme val="none"/>
      </font>
    </dxf>
    <dxf>
      <font>
        <name val="Biome"/>
        <scheme val="none"/>
      </font>
    </dxf>
    <dxf>
      <font>
        <name val="Biome"/>
        <scheme val="none"/>
      </font>
    </dxf>
    <dxf>
      <font>
        <sz val="10"/>
      </font>
    </dxf>
    <dxf>
      <font>
        <sz val="10"/>
      </font>
    </dxf>
    <dxf>
      <font>
        <sz val="10"/>
      </font>
    </dxf>
    <dxf>
      <font>
        <color theme="0"/>
      </font>
    </dxf>
    <dxf>
      <fill>
        <patternFill patternType="solid">
          <bgColor theme="4" tint="-0.249977111117893"/>
        </patternFill>
      </fill>
    </dxf>
    <dxf>
      <font>
        <color theme="0"/>
      </font>
      <fill>
        <patternFill patternType="solid">
          <fgColor indexed="64"/>
          <bgColor theme="4" tint="-0.249977111117893"/>
        </patternFill>
      </fill>
    </dxf>
    <dxf>
      <font>
        <b/>
        <i val="0"/>
        <sz val="14"/>
        <color theme="4" tint="-0.499984740745262"/>
      </font>
      <fill>
        <patternFill>
          <bgColor theme="8" tint="0.79998168889431442"/>
        </patternFill>
      </fill>
    </dxf>
    <dxf>
      <font>
        <b/>
        <i val="0"/>
        <color theme="1"/>
        <name val="Gill Sans MT Condensed"/>
        <family val="2"/>
        <scheme val="none"/>
      </font>
      <fill>
        <patternFill>
          <bgColor theme="8" tint="0.79998168889431442"/>
        </patternFill>
      </fill>
    </dxf>
  </dxfs>
  <tableStyles count="2" defaultTableStyle="TableStyleMedium2" defaultPivotStyle="PivotStyleLight16">
    <tableStyle name="PivotTable Style 1" table="0" count="4" xr9:uid="{FC4CFE23-7E7D-4919-98BA-5BE74141C8D0}">
      <tableStyleElement type="headerRow" dxfId="2333"/>
      <tableStyleElement type="totalRow" dxfId="2332"/>
      <tableStyleElement type="pageFieldLabels" dxfId="2335"/>
      <tableStyleElement type="pageFieldValues" dxfId="2334"/>
    </tableStyle>
    <tableStyle name="Slicer Style 1" pivot="0" table="0" count="7" xr9:uid="{33C35F9A-CF9A-4FD2-AA52-F113D756B4A1}">
      <tableStyleElement type="wholeTable" dxfId="2563"/>
      <tableStyleElement type="headerRow" dxfId="2562"/>
    </tableStyle>
  </tableStyles>
  <colors>
    <mruColors>
      <color rgb="FF002F72"/>
      <color rgb="FF0D9488"/>
      <color rgb="FF73A9DB"/>
      <color rgb="FF00388A"/>
      <color rgb="FF004EC0"/>
      <color rgb="FF5DD5FF"/>
      <color rgb="FF15EBD7"/>
      <color rgb="FF00255C"/>
      <color rgb="FF001F4C"/>
      <color rgb="FF064D94"/>
    </mruColors>
  </colors>
  <extLst>
    <ext xmlns:x14="http://schemas.microsoft.com/office/spreadsheetml/2009/9/main" uri="{46F421CA-312F-682f-3DD2-61675219B42D}">
      <x14:dxfs count="5">
        <dxf>
          <fill>
            <patternFill>
              <bgColor rgb="FF002F72"/>
            </patternFill>
          </fill>
        </dxf>
        <dxf>
          <font>
            <color theme="8" tint="0.79998168889431442"/>
          </font>
          <fill>
            <patternFill>
              <bgColor rgb="FF002F72"/>
            </patternFill>
          </fill>
        </dxf>
        <dxf>
          <font>
            <color theme="8" tint="0.79998168889431442"/>
          </font>
          <fill>
            <patternFill>
              <bgColor rgb="FF002F72"/>
            </patternFill>
          </fill>
        </dxf>
        <dxf>
          <fill>
            <patternFill>
              <bgColor rgb="FF002F72"/>
            </patternFill>
          </fill>
        </dxf>
        <dxf>
          <font>
            <color theme="8" tint="0.79998168889431442"/>
          </font>
          <fill>
            <patternFill>
              <bgColor rgb="FF002F7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4"/>
            <x14:slicerStyleElement type="unselectedItemWithNoData" dxfId="3"/>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[Fin-Analysis.xlsx]Pivot_Table!Actual Sales_vs_Sales_Budget</c:name>
    <c:fmtId val="27"/>
  </c:pivotSource>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Gill Sans MT Condensed" panose="020B0506020104020203" pitchFamily="34" charset="0"/>
                <a:ea typeface="+mn-ea"/>
                <a:cs typeface="+mn-cs"/>
              </a:defRPr>
            </a:pPr>
            <a:r>
              <a:rPr lang="en-US" sz="2000" b="1" baseline="0">
                <a:solidFill>
                  <a:schemeClr val="accent1">
                    <a:lumMod val="50000"/>
                  </a:schemeClr>
                </a:solidFill>
                <a:latin typeface="Gill Sans MT Condensed" panose="020B0506020104020203" pitchFamily="34" charset="0"/>
              </a:rPr>
              <a:t>Actual Sales vs Sales Budget</a:t>
            </a:r>
          </a:p>
        </c:rich>
      </c:tx>
      <c:layout>
        <c:manualLayout>
          <c:xMode val="edge"/>
          <c:yMode val="edge"/>
          <c:x val="1.9509707066697763E-2"/>
          <c:y val="4.1757830885012365E-2"/>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Gill Sans MT Condensed" panose="020B050602010402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rgbClr val="28467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rgbClr val="28467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rgbClr val="73A9D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rgbClr val="0038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c:f>
              <c:strCache>
                <c:ptCount val="1"/>
                <c:pt idx="0">
                  <c:v>Actual_Sales</c:v>
                </c:pt>
              </c:strCache>
            </c:strRef>
          </c:tx>
          <c:spPr>
            <a:solidFill>
              <a:srgbClr val="73A9DB"/>
            </a:solidFill>
            <a:ln>
              <a:noFill/>
            </a:ln>
            <a:effectLst/>
          </c:spPr>
          <c:invertIfNegative val="0"/>
          <c:cat>
            <c:strRef>
              <c:f>Pivot_Table!$A$4:$A$16</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Pivot_Table!$B$4:$B$16</c:f>
              <c:numCache>
                <c:formatCode>_-[$₦-406]* #,##0_-;_-[$₦-406]* \(#,##0\)_-;_-[$₦-406]* "-"_-;_-@_-</c:formatCode>
                <c:ptCount val="12"/>
                <c:pt idx="0">
                  <c:v>242575</c:v>
                </c:pt>
                <c:pt idx="1">
                  <c:v>267362</c:v>
                </c:pt>
                <c:pt idx="2">
                  <c:v>270309</c:v>
                </c:pt>
                <c:pt idx="3">
                  <c:v>248987</c:v>
                </c:pt>
                <c:pt idx="4">
                  <c:v>262487</c:v>
                </c:pt>
                <c:pt idx="5">
                  <c:v>252575</c:v>
                </c:pt>
                <c:pt idx="6">
                  <c:v>258992</c:v>
                </c:pt>
                <c:pt idx="7">
                  <c:v>282981</c:v>
                </c:pt>
                <c:pt idx="8">
                  <c:v>251436</c:v>
                </c:pt>
                <c:pt idx="9">
                  <c:v>266731</c:v>
                </c:pt>
                <c:pt idx="10">
                  <c:v>270681</c:v>
                </c:pt>
                <c:pt idx="11">
                  <c:v>244186</c:v>
                </c:pt>
              </c:numCache>
            </c:numRef>
          </c:val>
          <c:extLst>
            <c:ext xmlns:c16="http://schemas.microsoft.com/office/drawing/2014/chart" uri="{C3380CC4-5D6E-409C-BE32-E72D297353CC}">
              <c16:uniqueId val="{00000000-2454-4BA1-9437-54AADC50F03C}"/>
            </c:ext>
          </c:extLst>
        </c:ser>
        <c:ser>
          <c:idx val="1"/>
          <c:order val="1"/>
          <c:tx>
            <c:strRef>
              <c:f>Pivot_Table!$C$3</c:f>
              <c:strCache>
                <c:ptCount val="1"/>
                <c:pt idx="0">
                  <c:v>Sales_Budget</c:v>
                </c:pt>
              </c:strCache>
            </c:strRef>
          </c:tx>
          <c:spPr>
            <a:solidFill>
              <a:srgbClr val="00388A"/>
            </a:solidFill>
            <a:ln>
              <a:noFill/>
            </a:ln>
            <a:effectLst/>
          </c:spPr>
          <c:invertIfNegative val="0"/>
          <c:cat>
            <c:strRef>
              <c:f>Pivot_Table!$A$4:$A$16</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Pivot_Table!$C$4:$C$16</c:f>
              <c:numCache>
                <c:formatCode>_-[$₦-406]* #,##0_-;_-[$₦-406]* \(#,##0\)_-;_-[$₦-406]* "-"_-;_-@_-</c:formatCode>
                <c:ptCount val="12"/>
                <c:pt idx="0">
                  <c:v>204000</c:v>
                </c:pt>
                <c:pt idx="1">
                  <c:v>222000</c:v>
                </c:pt>
                <c:pt idx="2">
                  <c:v>206000</c:v>
                </c:pt>
                <c:pt idx="3">
                  <c:v>208000</c:v>
                </c:pt>
                <c:pt idx="4">
                  <c:v>181000</c:v>
                </c:pt>
                <c:pt idx="5">
                  <c:v>209000</c:v>
                </c:pt>
                <c:pt idx="6">
                  <c:v>214000</c:v>
                </c:pt>
                <c:pt idx="7">
                  <c:v>218000</c:v>
                </c:pt>
                <c:pt idx="8">
                  <c:v>219000</c:v>
                </c:pt>
                <c:pt idx="9">
                  <c:v>234000</c:v>
                </c:pt>
                <c:pt idx="10">
                  <c:v>208000</c:v>
                </c:pt>
                <c:pt idx="11">
                  <c:v>213000</c:v>
                </c:pt>
              </c:numCache>
            </c:numRef>
          </c:val>
          <c:extLst>
            <c:ext xmlns:c16="http://schemas.microsoft.com/office/drawing/2014/chart" uri="{C3380CC4-5D6E-409C-BE32-E72D297353CC}">
              <c16:uniqueId val="{00000001-2454-4BA1-9437-54AADC50F03C}"/>
            </c:ext>
          </c:extLst>
        </c:ser>
        <c:ser>
          <c:idx val="2"/>
          <c:order val="2"/>
          <c:tx>
            <c:strRef>
              <c:f>Pivot_Table!$D$3</c:f>
              <c:strCache>
                <c:ptCount val="1"/>
                <c:pt idx="0">
                  <c:v>Sum of Sales Variance Percentage</c:v>
                </c:pt>
              </c:strCache>
            </c:strRef>
          </c:tx>
          <c:spPr>
            <a:solidFill>
              <a:schemeClr val="accent3"/>
            </a:solidFill>
            <a:ln>
              <a:noFill/>
            </a:ln>
            <a:effectLst/>
          </c:spPr>
          <c:invertIfNegative val="0"/>
          <c:cat>
            <c:strRef>
              <c:f>Pivot_Table!$A$4:$A$16</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Pivot_Table!$D$4:$D$16</c:f>
              <c:numCache>
                <c:formatCode>0.0%</c:formatCode>
                <c:ptCount val="12"/>
                <c:pt idx="0">
                  <c:v>0.18909313725490207</c:v>
                </c:pt>
                <c:pt idx="1">
                  <c:v>0.20433333333333326</c:v>
                </c:pt>
                <c:pt idx="2">
                  <c:v>0.31217961165048536</c:v>
                </c:pt>
                <c:pt idx="3">
                  <c:v>0.1970528846153845</c:v>
                </c:pt>
                <c:pt idx="4">
                  <c:v>0.45020441988950277</c:v>
                </c:pt>
                <c:pt idx="5">
                  <c:v>0.20849282296650729</c:v>
                </c:pt>
                <c:pt idx="6">
                  <c:v>0.2102429906542056</c:v>
                </c:pt>
                <c:pt idx="7">
                  <c:v>0.29807798165137611</c:v>
                </c:pt>
                <c:pt idx="8">
                  <c:v>0.14810958904109595</c:v>
                </c:pt>
                <c:pt idx="9">
                  <c:v>0.13987606837606847</c:v>
                </c:pt>
                <c:pt idx="10">
                  <c:v>0.30135096153846153</c:v>
                </c:pt>
                <c:pt idx="11">
                  <c:v>0.14641314553990603</c:v>
                </c:pt>
              </c:numCache>
            </c:numRef>
          </c:val>
          <c:extLst>
            <c:ext xmlns:c16="http://schemas.microsoft.com/office/drawing/2014/chart" uri="{C3380CC4-5D6E-409C-BE32-E72D297353CC}">
              <c16:uniqueId val="{00000002-2454-4BA1-9437-54AADC50F03C}"/>
            </c:ext>
          </c:extLst>
        </c:ser>
        <c:dLbls>
          <c:showLegendKey val="0"/>
          <c:showVal val="0"/>
          <c:showCatName val="0"/>
          <c:showSerName val="0"/>
          <c:showPercent val="0"/>
          <c:showBubbleSize val="0"/>
        </c:dLbls>
        <c:gapWidth val="0"/>
        <c:overlap val="-25"/>
        <c:axId val="1195301055"/>
        <c:axId val="1195298655"/>
      </c:barChart>
      <c:catAx>
        <c:axId val="119530105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195298655"/>
        <c:crosses val="autoZero"/>
        <c:auto val="1"/>
        <c:lblAlgn val="ctr"/>
        <c:lblOffset val="100"/>
        <c:noMultiLvlLbl val="0"/>
      </c:catAx>
      <c:valAx>
        <c:axId val="1195298655"/>
        <c:scaling>
          <c:orientation val="minMax"/>
        </c:scaling>
        <c:delete val="0"/>
        <c:axPos val="l"/>
        <c:numFmt formatCode="_-[$₦-406]* #,##0_-;_-[$₦-406]* \(#,##0\)_-;_-[$₦-406]* &quot;-&quot;_-;_-@_-" sourceLinked="1"/>
        <c:majorTickMark val="none"/>
        <c:minorTickMark val="none"/>
        <c:tickLblPos val="nextTo"/>
        <c:spPr>
          <a:noFill/>
          <a:ln>
            <a:noFill/>
          </a:ln>
          <a:effectLst/>
        </c:spPr>
        <c:txPr>
          <a:bodyPr rot="-60000000" spcFirstLastPara="1" vertOverflow="ellipsis" vert="horz" wrap="square" anchor="ctr" anchorCtr="1"/>
          <a:lstStyle/>
          <a:p>
            <a:pPr>
              <a:defRPr sz="950" b="0" i="0" u="none" strike="noStrike" kern="1200" baseline="0">
                <a:solidFill>
                  <a:schemeClr val="tx1"/>
                </a:solidFill>
                <a:latin typeface="+mn-lt"/>
                <a:ea typeface="+mn-ea"/>
                <a:cs typeface="+mn-cs"/>
              </a:defRPr>
            </a:pPr>
            <a:endParaRPr lang="en-US"/>
          </a:p>
        </c:txPr>
        <c:crossAx val="1195301055"/>
        <c:crosses val="autoZero"/>
        <c:crossBetween val="between"/>
      </c:valAx>
      <c:spPr>
        <a:noFill/>
        <a:ln>
          <a:noFill/>
        </a:ln>
        <a:effectLst/>
      </c:spPr>
    </c:plotArea>
    <c:legend>
      <c:legendPos val="t"/>
      <c:legendEntry>
        <c:idx val="2"/>
        <c:delete val="1"/>
      </c:legendEntry>
      <c:layout>
        <c:manualLayout>
          <c:xMode val="edge"/>
          <c:yMode val="edge"/>
          <c:x val="0.6602641783937484"/>
          <c:y val="5.1465438494737482E-2"/>
          <c:w val="0.33973586916226545"/>
          <c:h val="0.18849181040339075"/>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[Fin-Analysis.xlsx]Pivot_Table!Actual Expense vs Expense Budget</c:name>
    <c:fmtId val="25"/>
  </c:pivotSource>
  <c:chart>
    <c:title>
      <c:tx>
        <c:rich>
          <a:bodyPr rot="0" spcFirstLastPara="1" vertOverflow="ellipsis" vert="horz" wrap="square" anchor="ctr" anchorCtr="1"/>
          <a:lstStyle/>
          <a:p>
            <a:pPr>
              <a:defRPr sz="2000" b="0" i="0" u="none" strike="noStrike" kern="1200" spc="0" baseline="0">
                <a:solidFill>
                  <a:schemeClr val="accent1">
                    <a:lumMod val="50000"/>
                  </a:schemeClr>
                </a:solidFill>
                <a:latin typeface="Gill Sans MT Condensed" panose="020B0506020104020203" pitchFamily="34" charset="0"/>
                <a:ea typeface="+mn-ea"/>
                <a:cs typeface="+mn-cs"/>
              </a:defRPr>
            </a:pPr>
            <a:r>
              <a:rPr lang="en-US" sz="2000" b="1">
                <a:solidFill>
                  <a:schemeClr val="accent1">
                    <a:lumMod val="50000"/>
                  </a:schemeClr>
                </a:solidFill>
                <a:latin typeface="Gill Sans MT Condensed" panose="020B0506020104020203" pitchFamily="34" charset="0"/>
              </a:rPr>
              <a:t>Actual</a:t>
            </a:r>
            <a:r>
              <a:rPr lang="en-US" sz="2000" b="1" baseline="0">
                <a:solidFill>
                  <a:schemeClr val="accent1">
                    <a:lumMod val="50000"/>
                  </a:schemeClr>
                </a:solidFill>
                <a:latin typeface="Gill Sans MT Condensed" panose="020B0506020104020203" pitchFamily="34" charset="0"/>
              </a:rPr>
              <a:t> Expense vs Expense Budget</a:t>
            </a:r>
            <a:endParaRPr lang="en-US" sz="2000" b="1">
              <a:solidFill>
                <a:schemeClr val="accent1">
                  <a:lumMod val="50000"/>
                </a:schemeClr>
              </a:solidFill>
              <a:latin typeface="Gill Sans MT Condensed" panose="020B0506020104020203" pitchFamily="34" charset="0"/>
            </a:endParaRPr>
          </a:p>
        </c:rich>
      </c:tx>
      <c:layout>
        <c:manualLayout>
          <c:xMode val="edge"/>
          <c:yMode val="edge"/>
          <c:x val="2.7148324016749811E-2"/>
          <c:y val="3.3333333333333333E-2"/>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accent1">
                  <a:lumMod val="50000"/>
                </a:schemeClr>
              </a:solidFill>
              <a:latin typeface="Gill Sans MT Condensed" panose="020B050602010402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rgbClr val="28467C"/>
          </a:solidFill>
          <a:ln>
            <a:noFill/>
          </a:ln>
          <a:effectLst/>
          <a:scene3d>
            <a:camera prst="orthographicFront"/>
            <a:lightRig rig="threePt" dir="t"/>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rgbClr val="28467C"/>
          </a:solidFill>
          <a:ln>
            <a:noFill/>
          </a:ln>
          <a:effectLst/>
          <a:scene3d>
            <a:camera prst="orthographicFront"/>
            <a:lightRig rig="threePt" dir="t"/>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rgbClr val="73A9D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rgbClr val="002F72"/>
          </a:solidFill>
          <a:ln>
            <a:noFill/>
          </a:ln>
          <a:effectLst/>
          <a:scene3d>
            <a:camera prst="orthographicFront"/>
            <a:lightRig rig="threePt" dir="t"/>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Pivot_Table!$B$19</c:f>
              <c:strCache>
                <c:ptCount val="1"/>
                <c:pt idx="0">
                  <c:v>Actual_Expense</c:v>
                </c:pt>
              </c:strCache>
            </c:strRef>
          </c:tx>
          <c:spPr>
            <a:solidFill>
              <a:srgbClr val="73A9DB"/>
            </a:solidFill>
            <a:ln>
              <a:noFill/>
            </a:ln>
            <a:effectLst/>
          </c:spPr>
          <c:invertIfNegative val="0"/>
          <c:cat>
            <c:strRef>
              <c:f>Pivot_Table!$A$20:$A$32</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Pivot_Table!$B$20:$B$32</c:f>
              <c:numCache>
                <c:formatCode>_-[$₦-406]* #,##0_-;_-[$₦-406]* \(#,##0\)_-;_-[$₦-406]* "-"_-;_-@_-</c:formatCode>
                <c:ptCount val="12"/>
                <c:pt idx="0">
                  <c:v>52816.666666666657</c:v>
                </c:pt>
                <c:pt idx="1">
                  <c:v>57549.999999999985</c:v>
                </c:pt>
                <c:pt idx="2">
                  <c:v>61450</c:v>
                </c:pt>
                <c:pt idx="3">
                  <c:v>54716.666666666664</c:v>
                </c:pt>
                <c:pt idx="4">
                  <c:v>42533.333333333343</c:v>
                </c:pt>
                <c:pt idx="5">
                  <c:v>59516.666666666657</c:v>
                </c:pt>
                <c:pt idx="6">
                  <c:v>51116.666666666664</c:v>
                </c:pt>
                <c:pt idx="7">
                  <c:v>59900</c:v>
                </c:pt>
                <c:pt idx="8">
                  <c:v>59883.333333333321</c:v>
                </c:pt>
                <c:pt idx="9">
                  <c:v>59166.666666666664</c:v>
                </c:pt>
                <c:pt idx="10">
                  <c:v>48833.333333333336</c:v>
                </c:pt>
                <c:pt idx="11">
                  <c:v>58000</c:v>
                </c:pt>
              </c:numCache>
            </c:numRef>
          </c:val>
          <c:extLst>
            <c:ext xmlns:c16="http://schemas.microsoft.com/office/drawing/2014/chart" uri="{C3380CC4-5D6E-409C-BE32-E72D297353CC}">
              <c16:uniqueId val="{00000000-3C37-46FC-B790-1AE1EE6DF5A2}"/>
            </c:ext>
          </c:extLst>
        </c:ser>
        <c:ser>
          <c:idx val="1"/>
          <c:order val="1"/>
          <c:tx>
            <c:strRef>
              <c:f>Pivot_Table!$C$19</c:f>
              <c:strCache>
                <c:ptCount val="1"/>
                <c:pt idx="0">
                  <c:v> Expense_Budget</c:v>
                </c:pt>
              </c:strCache>
            </c:strRef>
          </c:tx>
          <c:spPr>
            <a:solidFill>
              <a:srgbClr val="002F72"/>
            </a:solidFill>
            <a:ln>
              <a:noFill/>
            </a:ln>
            <a:effectLst/>
            <a:scene3d>
              <a:camera prst="orthographicFront"/>
              <a:lightRig rig="threePt" dir="t"/>
            </a:scene3d>
            <a:sp3d/>
          </c:spPr>
          <c:invertIfNegative val="0"/>
          <c:cat>
            <c:strRef>
              <c:f>Pivot_Table!$A$20:$A$32</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Pivot_Table!$C$20:$C$32</c:f>
              <c:numCache>
                <c:formatCode>_-[$₦-406]* #,##0_-;_-[$₦-406]* \(#,##0\)_-;_-[$₦-406]* "-"_-;_-@_-</c:formatCode>
                <c:ptCount val="12"/>
                <c:pt idx="0">
                  <c:v>64683.333333333328</c:v>
                </c:pt>
                <c:pt idx="1">
                  <c:v>68383.333333333343</c:v>
                </c:pt>
                <c:pt idx="2">
                  <c:v>72850.000000000015</c:v>
                </c:pt>
                <c:pt idx="3">
                  <c:v>67716.666666666672</c:v>
                </c:pt>
                <c:pt idx="4">
                  <c:v>55000</c:v>
                </c:pt>
                <c:pt idx="5">
                  <c:v>70116.666666666672</c:v>
                </c:pt>
                <c:pt idx="6">
                  <c:v>65716.666666666657</c:v>
                </c:pt>
                <c:pt idx="7">
                  <c:v>70866.666666666672</c:v>
                </c:pt>
                <c:pt idx="8">
                  <c:v>72383.333333333314</c:v>
                </c:pt>
                <c:pt idx="9">
                  <c:v>73766.666666666672</c:v>
                </c:pt>
                <c:pt idx="10">
                  <c:v>65300.000000000007</c:v>
                </c:pt>
                <c:pt idx="11">
                  <c:v>67733.333333333343</c:v>
                </c:pt>
              </c:numCache>
            </c:numRef>
          </c:val>
          <c:extLst>
            <c:ext xmlns:c16="http://schemas.microsoft.com/office/drawing/2014/chart" uri="{C3380CC4-5D6E-409C-BE32-E72D297353CC}">
              <c16:uniqueId val="{00000001-3C37-46FC-B790-1AE1EE6DF5A2}"/>
            </c:ext>
          </c:extLst>
        </c:ser>
        <c:ser>
          <c:idx val="2"/>
          <c:order val="2"/>
          <c:tx>
            <c:strRef>
              <c:f>Pivot_Table!$D$19</c:f>
              <c:strCache>
                <c:ptCount val="1"/>
                <c:pt idx="0">
                  <c:v>Sum of Expense Variance %</c:v>
                </c:pt>
              </c:strCache>
            </c:strRef>
          </c:tx>
          <c:spPr>
            <a:solidFill>
              <a:schemeClr val="accent3"/>
            </a:solidFill>
            <a:ln>
              <a:noFill/>
            </a:ln>
            <a:effectLst/>
          </c:spPr>
          <c:invertIfNegative val="0"/>
          <c:cat>
            <c:strRef>
              <c:f>Pivot_Table!$A$20:$A$32</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Pivot_Table!$D$20:$D$32</c:f>
              <c:numCache>
                <c:formatCode>0.0%</c:formatCode>
                <c:ptCount val="12"/>
                <c:pt idx="0">
                  <c:v>0.22467655411801846</c:v>
                </c:pt>
                <c:pt idx="1">
                  <c:v>0.18824210831161348</c:v>
                </c:pt>
                <c:pt idx="2">
                  <c:v>0.18551668022782764</c:v>
                </c:pt>
                <c:pt idx="3">
                  <c:v>0.23758757234236993</c:v>
                </c:pt>
                <c:pt idx="4">
                  <c:v>0.29310344827586188</c:v>
                </c:pt>
                <c:pt idx="5">
                  <c:v>0.17810137216466004</c:v>
                </c:pt>
                <c:pt idx="6">
                  <c:v>0.28562112813824569</c:v>
                </c:pt>
                <c:pt idx="7">
                  <c:v>0.18308291597106296</c:v>
                </c:pt>
                <c:pt idx="8">
                  <c:v>0.20873921514055094</c:v>
                </c:pt>
                <c:pt idx="9">
                  <c:v>0.24676056338028185</c:v>
                </c:pt>
                <c:pt idx="10">
                  <c:v>0.33720136518771349</c:v>
                </c:pt>
                <c:pt idx="11">
                  <c:v>0.16781609195402325</c:v>
                </c:pt>
              </c:numCache>
            </c:numRef>
          </c:val>
          <c:extLst>
            <c:ext xmlns:c16="http://schemas.microsoft.com/office/drawing/2014/chart" uri="{C3380CC4-5D6E-409C-BE32-E72D297353CC}">
              <c16:uniqueId val="{00000002-3C37-46FC-B790-1AE1EE6DF5A2}"/>
            </c:ext>
          </c:extLst>
        </c:ser>
        <c:dLbls>
          <c:showLegendKey val="0"/>
          <c:showVal val="0"/>
          <c:showCatName val="0"/>
          <c:showSerName val="0"/>
          <c:showPercent val="0"/>
          <c:showBubbleSize val="0"/>
        </c:dLbls>
        <c:gapWidth val="0"/>
        <c:overlap val="-25"/>
        <c:axId val="1784165359"/>
        <c:axId val="1784163439"/>
      </c:barChart>
      <c:catAx>
        <c:axId val="178416535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784163439"/>
        <c:crosses val="autoZero"/>
        <c:auto val="1"/>
        <c:lblAlgn val="ctr"/>
        <c:lblOffset val="100"/>
        <c:noMultiLvlLbl val="0"/>
      </c:catAx>
      <c:valAx>
        <c:axId val="1784163439"/>
        <c:scaling>
          <c:orientation val="minMax"/>
        </c:scaling>
        <c:delete val="0"/>
        <c:axPos val="l"/>
        <c:numFmt formatCode="_-[$₦-406]* #,##0_-;_-[$₦-406]* \(#,##0\)_-;_-[$₦-406]*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en-US"/>
          </a:p>
        </c:txPr>
        <c:crossAx val="1784165359"/>
        <c:crosses val="autoZero"/>
        <c:crossBetween val="between"/>
      </c:valAx>
      <c:spPr>
        <a:noFill/>
        <a:ln>
          <a:noFill/>
        </a:ln>
        <a:effectLst>
          <a:softEdge rad="127000"/>
        </a:effectLst>
      </c:spPr>
    </c:plotArea>
    <c:legend>
      <c:legendPos val="t"/>
      <c:legendEntry>
        <c:idx val="2"/>
        <c:delete val="1"/>
      </c:legendEntry>
      <c:layout>
        <c:manualLayout>
          <c:xMode val="edge"/>
          <c:yMode val="edge"/>
          <c:x val="0.62249330542622561"/>
          <c:y val="4.1529295282000396E-2"/>
          <c:w val="0.37216743171576794"/>
          <c:h val="0.18164589720464872"/>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[Fin-Analysis.xlsx]Pivot_Table!Total Sales By Products</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accent1">
                    <a:lumMod val="50000"/>
                  </a:schemeClr>
                </a:solidFill>
                <a:latin typeface="Gill Sans MT Condensed" panose="020B0506020104020203" pitchFamily="34" charset="0"/>
              </a:rPr>
              <a:t>Net Profit Margin By Products</a:t>
            </a:r>
            <a:r>
              <a:rPr lang="en-US" sz="2000" b="1" baseline="0">
                <a:solidFill>
                  <a:schemeClr val="accent1">
                    <a:lumMod val="50000"/>
                  </a:schemeClr>
                </a:solidFill>
                <a:latin typeface="Gill Sans MT Condensed" panose="020B0506020104020203" pitchFamily="34" charset="0"/>
              </a:rPr>
              <a:t> </a:t>
            </a:r>
            <a:endParaRPr lang="en-US" sz="2000" b="1">
              <a:solidFill>
                <a:schemeClr val="accent1">
                  <a:lumMod val="50000"/>
                </a:schemeClr>
              </a:solidFill>
              <a:latin typeface="Gill Sans MT Condensed" panose="020B0506020104020203" pitchFamily="34" charset="0"/>
            </a:endParaRPr>
          </a:p>
        </c:rich>
      </c:tx>
      <c:layout>
        <c:manualLayout>
          <c:xMode val="edge"/>
          <c:yMode val="edge"/>
          <c:x val="2.7844223220374064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28467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26437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2F7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2F7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Pivot_Table!$H$19</c:f>
              <c:strCache>
                <c:ptCount val="1"/>
                <c:pt idx="0">
                  <c:v>Total</c:v>
                </c:pt>
              </c:strCache>
            </c:strRef>
          </c:tx>
          <c:spPr>
            <a:solidFill>
              <a:srgbClr val="002F7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Pivot_Table!$G$20:$G$30</c:f>
              <c:strCache>
                <c:ptCount val="10"/>
                <c:pt idx="0">
                  <c:v>Cucumber</c:v>
                </c:pt>
                <c:pt idx="1">
                  <c:v>Pineapple</c:v>
                </c:pt>
                <c:pt idx="2">
                  <c:v>Apple</c:v>
                </c:pt>
                <c:pt idx="3">
                  <c:v>Mango</c:v>
                </c:pt>
                <c:pt idx="4">
                  <c:v>Melon</c:v>
                </c:pt>
                <c:pt idx="5">
                  <c:v>Avocado</c:v>
                </c:pt>
                <c:pt idx="6">
                  <c:v>Kiwi</c:v>
                </c:pt>
                <c:pt idx="7">
                  <c:v>Pawpaw</c:v>
                </c:pt>
                <c:pt idx="8">
                  <c:v>Orange</c:v>
                </c:pt>
                <c:pt idx="9">
                  <c:v>Banana</c:v>
                </c:pt>
              </c:strCache>
            </c:strRef>
          </c:cat>
          <c:val>
            <c:numRef>
              <c:f>Pivot_Table!$H$20:$H$30</c:f>
              <c:numCache>
                <c:formatCode>0.0%</c:formatCode>
                <c:ptCount val="10"/>
                <c:pt idx="0">
                  <c:v>0.75835469354775242</c:v>
                </c:pt>
                <c:pt idx="1">
                  <c:v>0.76599063962558511</c:v>
                </c:pt>
                <c:pt idx="2">
                  <c:v>0.76787729987372255</c:v>
                </c:pt>
                <c:pt idx="3">
                  <c:v>0.78243938507696131</c:v>
                </c:pt>
                <c:pt idx="4">
                  <c:v>0.78606131138758806</c:v>
                </c:pt>
                <c:pt idx="5">
                  <c:v>0.79149810506979124</c:v>
                </c:pt>
                <c:pt idx="6">
                  <c:v>0.79482900333461481</c:v>
                </c:pt>
                <c:pt idx="7">
                  <c:v>0.79682525238409396</c:v>
                </c:pt>
                <c:pt idx="8">
                  <c:v>0.80945188250692546</c:v>
                </c:pt>
                <c:pt idx="9">
                  <c:v>0.81009669977647891</c:v>
                </c:pt>
              </c:numCache>
            </c:numRef>
          </c:val>
          <c:extLst>
            <c:ext xmlns:c16="http://schemas.microsoft.com/office/drawing/2014/chart" uri="{C3380CC4-5D6E-409C-BE32-E72D297353CC}">
              <c16:uniqueId val="{00000000-293F-4D95-8B8A-6FA18EE8ABE3}"/>
            </c:ext>
          </c:extLst>
        </c:ser>
        <c:dLbls>
          <c:dLblPos val="outEnd"/>
          <c:showLegendKey val="0"/>
          <c:showVal val="1"/>
          <c:showCatName val="0"/>
          <c:showSerName val="0"/>
          <c:showPercent val="0"/>
          <c:showBubbleSize val="0"/>
        </c:dLbls>
        <c:gapWidth val="61"/>
        <c:overlap val="25"/>
        <c:axId val="1852350303"/>
        <c:axId val="1852359423"/>
      </c:barChart>
      <c:catAx>
        <c:axId val="185235030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lumMod val="95000"/>
                    <a:lumOff val="5000"/>
                  </a:schemeClr>
                </a:solidFill>
                <a:latin typeface="+mn-lt"/>
                <a:ea typeface="+mn-ea"/>
                <a:cs typeface="+mn-cs"/>
              </a:defRPr>
            </a:pPr>
            <a:endParaRPr lang="en-US"/>
          </a:p>
        </c:txPr>
        <c:crossAx val="1852359423"/>
        <c:crosses val="autoZero"/>
        <c:auto val="1"/>
        <c:lblAlgn val="ctr"/>
        <c:lblOffset val="100"/>
        <c:noMultiLvlLbl val="0"/>
      </c:catAx>
      <c:valAx>
        <c:axId val="1852359423"/>
        <c:scaling>
          <c:orientation val="minMax"/>
        </c:scaling>
        <c:delete val="1"/>
        <c:axPos val="b"/>
        <c:numFmt formatCode="0.0%" sourceLinked="1"/>
        <c:majorTickMark val="none"/>
        <c:minorTickMark val="none"/>
        <c:tickLblPos val="nextTo"/>
        <c:crossAx val="1852350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[Fin-Analysis.xlsx]Pivot_Table!Monthly  Profitability Trend</c:name>
    <c:fmtId val="30"/>
  </c:pivotSource>
  <c:chart>
    <c:title>
      <c:tx>
        <c:rich>
          <a:bodyPr rot="0" spcFirstLastPara="1" vertOverflow="ellipsis" vert="horz" wrap="square" anchor="ctr" anchorCtr="1"/>
          <a:lstStyle/>
          <a:p>
            <a:pPr>
              <a:defRPr sz="1400" b="1" i="0" u="none" strike="noStrike" kern="1200" spc="0" baseline="0">
                <a:solidFill>
                  <a:schemeClr val="accent1">
                    <a:lumMod val="50000"/>
                  </a:schemeClr>
                </a:solidFill>
                <a:latin typeface="+mn-lt"/>
                <a:ea typeface="+mn-ea"/>
                <a:cs typeface="+mn-cs"/>
              </a:defRPr>
            </a:pPr>
            <a:r>
              <a:rPr lang="en-US" sz="2000" b="1">
                <a:solidFill>
                  <a:schemeClr val="accent1">
                    <a:lumMod val="50000"/>
                  </a:schemeClr>
                </a:solidFill>
                <a:latin typeface="Gill Sans MT Condensed" panose="020B0506020104020203" pitchFamily="34" charset="0"/>
              </a:rPr>
              <a:t>Monthly</a:t>
            </a:r>
            <a:r>
              <a:rPr lang="en-US" sz="2000" b="1" baseline="0">
                <a:solidFill>
                  <a:schemeClr val="accent1">
                    <a:lumMod val="50000"/>
                  </a:schemeClr>
                </a:solidFill>
                <a:latin typeface="Gill Sans MT Condensed" panose="020B0506020104020203" pitchFamily="34" charset="0"/>
              </a:rPr>
              <a:t> ProfitabilityTrend </a:t>
            </a:r>
            <a:endParaRPr lang="en-US" sz="2000" b="1">
              <a:solidFill>
                <a:schemeClr val="accent1">
                  <a:lumMod val="50000"/>
                </a:schemeClr>
              </a:solidFill>
              <a:latin typeface="Gill Sans MT Condensed" panose="020B0506020104020203" pitchFamily="34" charset="0"/>
            </a:endParaRPr>
          </a:p>
        </c:rich>
      </c:tx>
      <c:layout>
        <c:manualLayout>
          <c:xMode val="edge"/>
          <c:yMode val="edge"/>
          <c:x val="2.626105172248892E-2"/>
          <c:y val="2.488237689003204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28467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4">
                <a:lumMod val="20000"/>
                <a:lumOff val="80000"/>
              </a:schemeClr>
            </a:solidFill>
            <a:round/>
          </a:ln>
          <a:effectLst/>
        </c:spPr>
        <c:marker>
          <c:symbol val="circle"/>
          <c:size val="5"/>
          <c:spPr>
            <a:solidFill>
              <a:schemeClr val="accent1"/>
            </a:solidFill>
            <a:ln w="9525">
              <a:solidFill>
                <a:schemeClr val="accent1">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4">
                <a:lumMod val="20000"/>
                <a:lumOff val="80000"/>
              </a:schemeClr>
            </a:solidFill>
            <a:round/>
          </a:ln>
          <a:effectLst/>
        </c:spPr>
        <c:marker>
          <c:symbol val="circle"/>
          <c:size val="5"/>
          <c:spPr>
            <a:solidFill>
              <a:schemeClr val="accent1"/>
            </a:solidFill>
            <a:ln w="9525">
              <a:solidFill>
                <a:schemeClr val="accent1">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rgbClr val="002F7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rgbClr val="00B0F0"/>
            </a:solidFill>
            <a:round/>
          </a:ln>
          <a:effectLst/>
        </c:spPr>
        <c:marker>
          <c:symbol val="circle"/>
          <c:size val="5"/>
          <c:spPr>
            <a:solidFill>
              <a:schemeClr val="accent5">
                <a:lumMod val="75000"/>
              </a:schemeClr>
            </a:solidFill>
            <a:ln w="9525">
              <a:solidFill>
                <a:schemeClr val="accent1">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Pivot_Table!$C$35</c:f>
              <c:strCache>
                <c:ptCount val="1"/>
                <c:pt idx="0">
                  <c:v>Sum of Net Profit Variance %</c:v>
                </c:pt>
              </c:strCache>
            </c:strRef>
          </c:tx>
          <c:spPr>
            <a:solidFill>
              <a:srgbClr val="002F72"/>
            </a:solidFill>
            <a:ln>
              <a:noFill/>
            </a:ln>
            <a:effectLst/>
          </c:spPr>
          <c:invertIfNegative val="0"/>
          <c:cat>
            <c:strRef>
              <c:f>Pivot_Table!$A$36:$A$48</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Pivot_Table!$C$36:$C$48</c:f>
              <c:numCache>
                <c:formatCode>0.0%</c:formatCode>
                <c:ptCount val="12"/>
                <c:pt idx="0">
                  <c:v>0.36206484029190134</c:v>
                </c:pt>
                <c:pt idx="1">
                  <c:v>0.3658153412173164</c:v>
                </c:pt>
                <c:pt idx="2">
                  <c:v>0.5685993240705971</c:v>
                </c:pt>
                <c:pt idx="3">
                  <c:v>0.3848425804918616</c:v>
                </c:pt>
                <c:pt idx="4">
                  <c:v>0.74566402116402108</c:v>
                </c:pt>
                <c:pt idx="5">
                  <c:v>0.39007560302412125</c:v>
                </c:pt>
                <c:pt idx="6">
                  <c:v>0.40187928515229854</c:v>
                </c:pt>
                <c:pt idx="7">
                  <c:v>0.51618260081558676</c:v>
                </c:pt>
                <c:pt idx="8">
                  <c:v>0.30648630214845984</c:v>
                </c:pt>
                <c:pt idx="9">
                  <c:v>0.29538797586852494</c:v>
                </c:pt>
                <c:pt idx="10">
                  <c:v>0.55464377481896743</c:v>
                </c:pt>
                <c:pt idx="11">
                  <c:v>0.28168425883432757</c:v>
                </c:pt>
              </c:numCache>
            </c:numRef>
          </c:val>
          <c:extLst>
            <c:ext xmlns:c16="http://schemas.microsoft.com/office/drawing/2014/chart" uri="{C3380CC4-5D6E-409C-BE32-E72D297353CC}">
              <c16:uniqueId val="{00000000-0D6E-4EBB-844A-40D355429300}"/>
            </c:ext>
          </c:extLst>
        </c:ser>
        <c:dLbls>
          <c:showLegendKey val="0"/>
          <c:showVal val="0"/>
          <c:showCatName val="0"/>
          <c:showSerName val="0"/>
          <c:showPercent val="0"/>
          <c:showBubbleSize val="0"/>
        </c:dLbls>
        <c:gapWidth val="225"/>
        <c:axId val="1698018415"/>
        <c:axId val="1698020335"/>
      </c:barChart>
      <c:lineChart>
        <c:grouping val="standard"/>
        <c:varyColors val="0"/>
        <c:ser>
          <c:idx val="0"/>
          <c:order val="0"/>
          <c:tx>
            <c:strRef>
              <c:f>Pivot_Table!$B$35</c:f>
              <c:strCache>
                <c:ptCount val="1"/>
                <c:pt idx="0">
                  <c:v>Sum of Net Profit Margin</c:v>
                </c:pt>
              </c:strCache>
            </c:strRef>
          </c:tx>
          <c:spPr>
            <a:ln w="28575" cap="rnd">
              <a:solidFill>
                <a:srgbClr val="00B0F0"/>
              </a:solidFill>
              <a:round/>
            </a:ln>
            <a:effectLst/>
          </c:spPr>
          <c:marker>
            <c:symbol val="circle"/>
            <c:size val="5"/>
            <c:spPr>
              <a:solidFill>
                <a:schemeClr val="accent5">
                  <a:lumMod val="75000"/>
                </a:schemeClr>
              </a:solidFill>
              <a:ln w="9525">
                <a:solidFill>
                  <a:schemeClr val="accent1">
                    <a:lumMod val="50000"/>
                  </a:schemeClr>
                </a:solidFill>
              </a:ln>
              <a:effectLst/>
            </c:spPr>
          </c:marker>
          <c:cat>
            <c:strRef>
              <c:f>Pivot_Table!$A$36:$A$48</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Pivot_Table!$B$36:$B$48</c:f>
              <c:numCache>
                <c:formatCode>0.0%</c:formatCode>
                <c:ptCount val="12"/>
                <c:pt idx="0">
                  <c:v>0.78226665292521225</c:v>
                </c:pt>
                <c:pt idx="1">
                  <c:v>0.7847487675885132</c:v>
                </c:pt>
                <c:pt idx="2">
                  <c:v>0.77266757673625375</c:v>
                </c:pt>
                <c:pt idx="3">
                  <c:v>0.78024287747285337</c:v>
                </c:pt>
                <c:pt idx="4">
                  <c:v>0.8379602291415067</c:v>
                </c:pt>
                <c:pt idx="5">
                  <c:v>0.76436042099706369</c:v>
                </c:pt>
                <c:pt idx="6">
                  <c:v>0.8026322563373901</c:v>
                </c:pt>
                <c:pt idx="7">
                  <c:v>0.78832501121983456</c:v>
                </c:pt>
                <c:pt idx="8">
                  <c:v>0.76183468821754519</c:v>
                </c:pt>
                <c:pt idx="9">
                  <c:v>0.77817851443339303</c:v>
                </c:pt>
                <c:pt idx="10">
                  <c:v>0.81959083447551417</c:v>
                </c:pt>
                <c:pt idx="11">
                  <c:v>0.76247614523355145</c:v>
                </c:pt>
              </c:numCache>
            </c:numRef>
          </c:val>
          <c:smooth val="0"/>
          <c:extLst>
            <c:ext xmlns:c16="http://schemas.microsoft.com/office/drawing/2014/chart" uri="{C3380CC4-5D6E-409C-BE32-E72D297353CC}">
              <c16:uniqueId val="{00000001-0D6E-4EBB-844A-40D355429300}"/>
            </c:ext>
          </c:extLst>
        </c:ser>
        <c:dLbls>
          <c:showLegendKey val="0"/>
          <c:showVal val="0"/>
          <c:showCatName val="0"/>
          <c:showSerName val="0"/>
          <c:showPercent val="0"/>
          <c:showBubbleSize val="0"/>
        </c:dLbls>
        <c:marker val="1"/>
        <c:smooth val="0"/>
        <c:axId val="620782863"/>
        <c:axId val="620766063"/>
      </c:lineChart>
      <c:catAx>
        <c:axId val="1698018415"/>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698020335"/>
        <c:crosses val="autoZero"/>
        <c:auto val="1"/>
        <c:lblAlgn val="ctr"/>
        <c:lblOffset val="100"/>
        <c:noMultiLvlLbl val="0"/>
      </c:catAx>
      <c:valAx>
        <c:axId val="1698020335"/>
        <c:scaling>
          <c:orientation val="minMax"/>
        </c:scaling>
        <c:delete val="0"/>
        <c:axPos val="l"/>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698018415"/>
        <c:crosses val="autoZero"/>
        <c:crossBetween val="between"/>
      </c:valAx>
      <c:valAx>
        <c:axId val="620766063"/>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620782863"/>
        <c:crosses val="max"/>
        <c:crossBetween val="between"/>
      </c:valAx>
      <c:catAx>
        <c:axId val="620782863"/>
        <c:scaling>
          <c:orientation val="minMax"/>
        </c:scaling>
        <c:delete val="1"/>
        <c:axPos val="b"/>
        <c:numFmt formatCode="General" sourceLinked="1"/>
        <c:majorTickMark val="out"/>
        <c:minorTickMark val="none"/>
        <c:tickLblPos val="nextTo"/>
        <c:crossAx val="62076606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[Fin-Analysis.xlsx]Pivot_Table!Expense Variance By Manager</c:name>
    <c:fmtId val="23"/>
  </c:pivotSource>
  <c:chart>
    <c:title>
      <c:tx>
        <c:rich>
          <a:bodyPr rot="0" spcFirstLastPara="1" vertOverflow="ellipsis" vert="horz" wrap="square" anchor="ctr" anchorCtr="1"/>
          <a:lstStyle/>
          <a:p>
            <a:pPr>
              <a:defRPr sz="2000" b="0" i="0" u="none" strike="noStrike" kern="1200" spc="0" baseline="0">
                <a:solidFill>
                  <a:schemeClr val="tx1"/>
                </a:solidFill>
                <a:latin typeface="Gill Sans MT Condensed" panose="020B0506020104020203" pitchFamily="34" charset="0"/>
                <a:ea typeface="+mn-ea"/>
                <a:cs typeface="+mn-cs"/>
              </a:defRPr>
            </a:pPr>
            <a:r>
              <a:rPr lang="en-US" sz="2000" b="1">
                <a:solidFill>
                  <a:schemeClr val="accent1">
                    <a:lumMod val="50000"/>
                  </a:schemeClr>
                </a:solidFill>
                <a:latin typeface="Gill Sans MT Condensed" panose="020B0506020104020203" pitchFamily="34" charset="0"/>
              </a:rPr>
              <a:t>Expense Variance by Manager </a:t>
            </a:r>
          </a:p>
        </c:rich>
      </c:tx>
      <c:layout>
        <c:manualLayout>
          <c:xMode val="edge"/>
          <c:yMode val="edge"/>
          <c:x val="1.754564398151608E-2"/>
          <c:y val="4.6296296296296294E-2"/>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tx1"/>
              </a:solidFill>
              <a:latin typeface="Gill Sans MT Condensed" panose="020B050602010402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BF9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4">
                      <a:lumMod val="20000"/>
                      <a:lumOff val="80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8497B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002F7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20386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004377779773724"/>
          <c:y val="0.22425722425722425"/>
          <c:w val="0.73731574902947017"/>
          <c:h val="0.71978021978021978"/>
        </c:manualLayout>
      </c:layout>
      <c:barChart>
        <c:barDir val="bar"/>
        <c:grouping val="clustered"/>
        <c:varyColors val="0"/>
        <c:ser>
          <c:idx val="0"/>
          <c:order val="0"/>
          <c:tx>
            <c:strRef>
              <c:f>Pivot_Table!$H$35</c:f>
              <c:strCache>
                <c:ptCount val="1"/>
                <c:pt idx="0">
                  <c:v>Total</c:v>
                </c:pt>
              </c:strCache>
            </c:strRef>
          </c:tx>
          <c:spPr>
            <a:solidFill>
              <a:srgbClr val="203864"/>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Pivot_Table!$G$36:$G$41</c:f>
              <c:strCache>
                <c:ptCount val="5"/>
                <c:pt idx="0">
                  <c:v>Gbenga Adesanya</c:v>
                </c:pt>
                <c:pt idx="1">
                  <c:v>Funmi Adeyemi</c:v>
                </c:pt>
                <c:pt idx="2">
                  <c:v>Adaora Okafor</c:v>
                </c:pt>
                <c:pt idx="3">
                  <c:v>Emeka Nwosu</c:v>
                </c:pt>
                <c:pt idx="4">
                  <c:v>Musa Garba</c:v>
                </c:pt>
              </c:strCache>
            </c:strRef>
          </c:cat>
          <c:val>
            <c:numRef>
              <c:f>Pivot_Table!$H$36:$H$41</c:f>
              <c:numCache>
                <c:formatCode>_-[$₦-46A]* #,##0_-;\-[$₦-46A]* #,##0_-;_-[$₦-46A]* "-"_-;_-@_-</c:formatCode>
                <c:ptCount val="5"/>
                <c:pt idx="0">
                  <c:v>28266.666666666668</c:v>
                </c:pt>
                <c:pt idx="1">
                  <c:v>28366.666666666668</c:v>
                </c:pt>
                <c:pt idx="2">
                  <c:v>28400</c:v>
                </c:pt>
                <c:pt idx="3">
                  <c:v>28700</c:v>
                </c:pt>
                <c:pt idx="4">
                  <c:v>35300</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0-CCB0-42ED-9129-62C302817ABE}"/>
            </c:ext>
          </c:extLst>
        </c:ser>
        <c:dLbls>
          <c:showLegendKey val="0"/>
          <c:showVal val="0"/>
          <c:showCatName val="0"/>
          <c:showSerName val="0"/>
          <c:showPercent val="0"/>
          <c:showBubbleSize val="0"/>
        </c:dLbls>
        <c:gapWidth val="116"/>
        <c:overlap val="-19"/>
        <c:axId val="1784705935"/>
        <c:axId val="1784703055"/>
      </c:barChart>
      <c:catAx>
        <c:axId val="1784705935"/>
        <c:scaling>
          <c:orientation val="minMax"/>
        </c:scaling>
        <c:delete val="0"/>
        <c:axPos val="l"/>
        <c:numFmt formatCode="General" sourceLinked="1"/>
        <c:majorTickMark val="none"/>
        <c:minorTickMark val="none"/>
        <c:tickLblPos val="low"/>
        <c:spPr>
          <a:noFill/>
          <a:ln w="9525" cap="flat" cmpd="sng" algn="ctr">
            <a:no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784703055"/>
        <c:crossesAt val="-2500"/>
        <c:auto val="1"/>
        <c:lblAlgn val="ctr"/>
        <c:lblOffset val="100"/>
        <c:noMultiLvlLbl val="0"/>
      </c:catAx>
      <c:valAx>
        <c:axId val="1784703055"/>
        <c:scaling>
          <c:orientation val="minMax"/>
        </c:scaling>
        <c:delete val="1"/>
        <c:axPos val="b"/>
        <c:numFmt formatCode="_-[$₦-46A]* #,##0_-;\-[$₦-46A]* #,##0_-;_-[$₦-46A]* &quot;-&quot;_-;_-@_-" sourceLinked="1"/>
        <c:majorTickMark val="out"/>
        <c:minorTickMark val="none"/>
        <c:tickLblPos val="low"/>
        <c:crossAx val="1784705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[Fin-Analysis.xlsx]Pivot_Table!Profit Variance Percentage by Branch</c:name>
    <c:fmtId val="25"/>
  </c:pivotSource>
  <c:chart>
    <c:title>
      <c:tx>
        <c:rich>
          <a:bodyPr rot="0" spcFirstLastPara="1" vertOverflow="ellipsis" vert="horz" wrap="square" anchor="ctr" anchorCtr="1"/>
          <a:lstStyle/>
          <a:p>
            <a:pPr>
              <a:defRPr sz="1400" b="1" i="0" u="none" strike="noStrike" kern="1200" spc="0" baseline="0">
                <a:solidFill>
                  <a:schemeClr val="accent1">
                    <a:lumMod val="50000"/>
                  </a:schemeClr>
                </a:solidFill>
                <a:latin typeface="+mn-lt"/>
                <a:ea typeface="+mn-ea"/>
                <a:cs typeface="+mn-cs"/>
              </a:defRPr>
            </a:pPr>
            <a:r>
              <a:rPr lang="en-US" sz="2000" b="1">
                <a:solidFill>
                  <a:schemeClr val="accent1">
                    <a:lumMod val="50000"/>
                  </a:schemeClr>
                </a:solidFill>
                <a:latin typeface="Gill Sans MT Condensed" panose="020B0506020104020203" pitchFamily="34" charset="0"/>
              </a:rPr>
              <a:t>Profit</a:t>
            </a:r>
            <a:r>
              <a:rPr lang="en-US" sz="2000" b="1" baseline="0">
                <a:solidFill>
                  <a:schemeClr val="accent1">
                    <a:lumMod val="50000"/>
                  </a:schemeClr>
                </a:solidFill>
                <a:latin typeface="Gill Sans MT Condensed" panose="020B0506020104020203" pitchFamily="34" charset="0"/>
              </a:rPr>
              <a:t> Variance % by Branch </a:t>
            </a:r>
            <a:endParaRPr lang="en-US" sz="2000" b="1">
              <a:solidFill>
                <a:schemeClr val="accent1">
                  <a:lumMod val="50000"/>
                </a:schemeClr>
              </a:solidFill>
              <a:latin typeface="Gill Sans MT Condensed" panose="020B0506020104020203" pitchFamily="34" charset="0"/>
            </a:endParaRPr>
          </a:p>
        </c:rich>
      </c:tx>
      <c:layout>
        <c:manualLayout>
          <c:xMode val="edge"/>
          <c:yMode val="edge"/>
          <c:x val="2.0034538220745222E-2"/>
          <c:y val="4.070004070004069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8467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28467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2F7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2F7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Pivot_Table!$H$45</c:f>
              <c:strCache>
                <c:ptCount val="1"/>
                <c:pt idx="0">
                  <c:v>Total</c:v>
                </c:pt>
              </c:strCache>
            </c:strRef>
          </c:tx>
          <c:spPr>
            <a:solidFill>
              <a:srgbClr val="002F72"/>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Pivot_Table!$G$46:$G$51</c:f>
              <c:strCache>
                <c:ptCount val="5"/>
                <c:pt idx="0">
                  <c:v>Ibadan</c:v>
                </c:pt>
                <c:pt idx="1">
                  <c:v>Kaduna</c:v>
                </c:pt>
                <c:pt idx="2">
                  <c:v>Warri</c:v>
                </c:pt>
                <c:pt idx="3">
                  <c:v>Lagos</c:v>
                </c:pt>
                <c:pt idx="4">
                  <c:v>Abuja</c:v>
                </c:pt>
              </c:strCache>
            </c:strRef>
          </c:cat>
          <c:val>
            <c:numRef>
              <c:f>Pivot_Table!$H$46:$H$51</c:f>
              <c:numCache>
                <c:formatCode>0.0%</c:formatCode>
                <c:ptCount val="5"/>
                <c:pt idx="0">
                  <c:v>0.34611941034363758</c:v>
                </c:pt>
                <c:pt idx="1">
                  <c:v>0.37789035392088843</c:v>
                </c:pt>
                <c:pt idx="2">
                  <c:v>0.39911837121212135</c:v>
                </c:pt>
                <c:pt idx="3">
                  <c:v>0.44022640782311262</c:v>
                </c:pt>
                <c:pt idx="4">
                  <c:v>0.5731672816728155</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0-AAE5-4CD6-B906-07B45E48E173}"/>
            </c:ext>
          </c:extLst>
        </c:ser>
        <c:dLbls>
          <c:dLblPos val="outEnd"/>
          <c:showLegendKey val="0"/>
          <c:showVal val="1"/>
          <c:showCatName val="0"/>
          <c:showSerName val="0"/>
          <c:showPercent val="0"/>
          <c:showBubbleSize val="0"/>
        </c:dLbls>
        <c:gapWidth val="116"/>
        <c:overlap val="-17"/>
        <c:axId val="2120636687"/>
        <c:axId val="2120623247"/>
      </c:barChart>
      <c:catAx>
        <c:axId val="2120636687"/>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2120623247"/>
        <c:crosses val="autoZero"/>
        <c:auto val="1"/>
        <c:lblAlgn val="ctr"/>
        <c:lblOffset val="100"/>
        <c:noMultiLvlLbl val="0"/>
      </c:catAx>
      <c:valAx>
        <c:axId val="2120623247"/>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2120636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4</xdr:col>
      <xdr:colOff>362505</xdr:colOff>
      <xdr:row>2</xdr:row>
      <xdr:rowOff>49904</xdr:rowOff>
    </xdr:from>
    <xdr:to>
      <xdr:col>5</xdr:col>
      <xdr:colOff>270311</xdr:colOff>
      <xdr:row>5</xdr:row>
      <xdr:rowOff>101412</xdr:rowOff>
    </xdr:to>
    <mc:AlternateContent xmlns:mc="http://schemas.openxmlformats.org/markup-compatibility/2006">
      <mc:Choice xmlns:a14="http://schemas.microsoft.com/office/drawing/2010/main" Requires="a14">
        <xdr:graphicFrame macro="">
          <xdr:nvGraphicFramePr>
            <xdr:cNvPr id="3" name="Product 3">
              <a:extLst>
                <a:ext uri="{FF2B5EF4-FFF2-40B4-BE49-F238E27FC236}">
                  <a16:creationId xmlns:a16="http://schemas.microsoft.com/office/drawing/2014/main" id="{2E778D8E-E4C8-47B3-9B76-69E285CF0B26}"/>
                </a:ext>
              </a:extLst>
            </xdr:cNvPr>
            <xdr:cNvGraphicFramePr/>
          </xdr:nvGraphicFramePr>
          <xdr:xfrm>
            <a:off x="0" y="0"/>
            <a:ext cx="0" cy="0"/>
          </xdr:xfrm>
          <a:graphic>
            <a:graphicData uri="http://schemas.microsoft.com/office/drawing/2010/slicer">
              <sle:slicer xmlns:sle="http://schemas.microsoft.com/office/drawing/2010/slicer" name="Product 3"/>
            </a:graphicData>
          </a:graphic>
        </xdr:graphicFrame>
      </mc:Choice>
      <mc:Fallback>
        <xdr:sp macro="" textlink="">
          <xdr:nvSpPr>
            <xdr:cNvPr id="0" name=""/>
            <xdr:cNvSpPr>
              <a:spLocks noTextEdit="1"/>
            </xdr:cNvSpPr>
          </xdr:nvSpPr>
          <xdr:spPr>
            <a:xfrm>
              <a:off x="7803211" y="408492"/>
              <a:ext cx="1846424" cy="5893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518809</xdr:colOff>
      <xdr:row>6</xdr:row>
      <xdr:rowOff>22638</xdr:rowOff>
    </xdr:from>
    <xdr:to>
      <xdr:col>5</xdr:col>
      <xdr:colOff>178318</xdr:colOff>
      <xdr:row>9</xdr:row>
      <xdr:rowOff>84137</xdr:rowOff>
    </xdr:to>
    <mc:AlternateContent xmlns:mc="http://schemas.openxmlformats.org/markup-compatibility/2006">
      <mc:Choice xmlns:a14="http://schemas.microsoft.com/office/drawing/2010/main" Requires="a14">
        <xdr:graphicFrame macro="">
          <xdr:nvGraphicFramePr>
            <xdr:cNvPr id="4" name="Branch 3">
              <a:extLst>
                <a:ext uri="{FF2B5EF4-FFF2-40B4-BE49-F238E27FC236}">
                  <a16:creationId xmlns:a16="http://schemas.microsoft.com/office/drawing/2014/main" id="{F2C1D27B-1484-41E2-9D16-C69F93A72D62}"/>
                </a:ext>
              </a:extLst>
            </xdr:cNvPr>
            <xdr:cNvGraphicFramePr/>
          </xdr:nvGraphicFramePr>
          <xdr:xfrm>
            <a:off x="0" y="0"/>
            <a:ext cx="0" cy="0"/>
          </xdr:xfrm>
          <a:graphic>
            <a:graphicData uri="http://schemas.microsoft.com/office/drawing/2010/slicer">
              <sle:slicer xmlns:sle="http://schemas.microsoft.com/office/drawing/2010/slicer" name="Branch 3"/>
            </a:graphicData>
          </a:graphic>
        </xdr:graphicFrame>
      </mc:Choice>
      <mc:Fallback>
        <xdr:sp macro="" textlink="">
          <xdr:nvSpPr>
            <xdr:cNvPr id="0" name=""/>
            <xdr:cNvSpPr>
              <a:spLocks noTextEdit="1"/>
            </xdr:cNvSpPr>
          </xdr:nvSpPr>
          <xdr:spPr>
            <a:xfrm>
              <a:off x="7959515" y="1098403"/>
              <a:ext cx="1598127" cy="5993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451367</xdr:colOff>
      <xdr:row>10</xdr:row>
      <xdr:rowOff>7399</xdr:rowOff>
    </xdr:from>
    <xdr:to>
      <xdr:col>5</xdr:col>
      <xdr:colOff>249474</xdr:colOff>
      <xdr:row>13</xdr:row>
      <xdr:rowOff>81107</xdr:rowOff>
    </xdr:to>
    <mc:AlternateContent xmlns:mc="http://schemas.openxmlformats.org/markup-compatibility/2006">
      <mc:Choice xmlns:a14="http://schemas.microsoft.com/office/drawing/2010/main" Requires="a14">
        <xdr:graphicFrame macro="">
          <xdr:nvGraphicFramePr>
            <xdr:cNvPr id="5" name="Sales Manager 3">
              <a:extLst>
                <a:ext uri="{FF2B5EF4-FFF2-40B4-BE49-F238E27FC236}">
                  <a16:creationId xmlns:a16="http://schemas.microsoft.com/office/drawing/2014/main" id="{95AD6573-8090-451C-AD06-CA590600A166}"/>
                </a:ext>
              </a:extLst>
            </xdr:cNvPr>
            <xdr:cNvGraphicFramePr/>
          </xdr:nvGraphicFramePr>
          <xdr:xfrm>
            <a:off x="0" y="0"/>
            <a:ext cx="0" cy="0"/>
          </xdr:xfrm>
          <a:graphic>
            <a:graphicData uri="http://schemas.microsoft.com/office/drawing/2010/slicer">
              <sle:slicer xmlns:sle="http://schemas.microsoft.com/office/drawing/2010/slicer" name="Sales Manager 3"/>
            </a:graphicData>
          </a:graphic>
        </xdr:graphicFrame>
      </mc:Choice>
      <mc:Fallback>
        <xdr:sp macro="" textlink="">
          <xdr:nvSpPr>
            <xdr:cNvPr id="0" name=""/>
            <xdr:cNvSpPr>
              <a:spLocks noTextEdit="1"/>
            </xdr:cNvSpPr>
          </xdr:nvSpPr>
          <xdr:spPr>
            <a:xfrm>
              <a:off x="7892073" y="1800340"/>
              <a:ext cx="1736725" cy="6115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20320</xdr:colOff>
      <xdr:row>12</xdr:row>
      <xdr:rowOff>115455</xdr:rowOff>
    </xdr:to>
    <xdr:sp macro="" textlink="">
      <xdr:nvSpPr>
        <xdr:cNvPr id="2" name="Rectangle: Top Corners Rounded 1">
          <a:extLst>
            <a:ext uri="{FF2B5EF4-FFF2-40B4-BE49-F238E27FC236}">
              <a16:creationId xmlns:a16="http://schemas.microsoft.com/office/drawing/2014/main" id="{590A257B-CADF-1A1F-9385-2B3822552320}"/>
            </a:ext>
          </a:extLst>
        </xdr:cNvPr>
        <xdr:cNvSpPr/>
      </xdr:nvSpPr>
      <xdr:spPr>
        <a:xfrm>
          <a:off x="0" y="0"/>
          <a:ext cx="14706138" cy="2332182"/>
        </a:xfrm>
        <a:prstGeom prst="round2SameRect">
          <a:avLst>
            <a:gd name="adj1" fmla="val 9033"/>
            <a:gd name="adj2" fmla="val 0"/>
          </a:avLst>
        </a:prstGeom>
        <a:solidFill>
          <a:srgbClr val="002F7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23091</xdr:colOff>
      <xdr:row>11</xdr:row>
      <xdr:rowOff>91440</xdr:rowOff>
    </xdr:from>
    <xdr:to>
      <xdr:col>16</xdr:col>
      <xdr:colOff>11546</xdr:colOff>
      <xdr:row>25</xdr:row>
      <xdr:rowOff>30480</xdr:rowOff>
    </xdr:to>
    <xdr:sp macro="" textlink="">
      <xdr:nvSpPr>
        <xdr:cNvPr id="29" name="Rectangle: Rounded Corners 28">
          <a:extLst>
            <a:ext uri="{FF2B5EF4-FFF2-40B4-BE49-F238E27FC236}">
              <a16:creationId xmlns:a16="http://schemas.microsoft.com/office/drawing/2014/main" id="{46D27279-E082-422F-8799-C65E60C1BB15}"/>
            </a:ext>
          </a:extLst>
        </xdr:cNvPr>
        <xdr:cNvSpPr/>
      </xdr:nvSpPr>
      <xdr:spPr>
        <a:xfrm>
          <a:off x="4918364" y="2123440"/>
          <a:ext cx="4883727" cy="2525222"/>
        </a:xfrm>
        <a:prstGeom prst="roundRect">
          <a:avLst>
            <a:gd name="adj" fmla="val 6097"/>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111760</xdr:colOff>
      <xdr:row>11</xdr:row>
      <xdr:rowOff>91440</xdr:rowOff>
    </xdr:from>
    <xdr:to>
      <xdr:col>23</xdr:col>
      <xdr:colOff>581152</xdr:colOff>
      <xdr:row>25</xdr:row>
      <xdr:rowOff>30480</xdr:rowOff>
    </xdr:to>
    <xdr:sp macro="" textlink="">
      <xdr:nvSpPr>
        <xdr:cNvPr id="30" name="Rectangle: Rounded Corners 29">
          <a:extLst>
            <a:ext uri="{FF2B5EF4-FFF2-40B4-BE49-F238E27FC236}">
              <a16:creationId xmlns:a16="http://schemas.microsoft.com/office/drawing/2014/main" id="{EC9995E3-B31B-4CFF-96EE-4DDBD013549E}"/>
            </a:ext>
          </a:extLst>
        </xdr:cNvPr>
        <xdr:cNvSpPr/>
      </xdr:nvSpPr>
      <xdr:spPr>
        <a:xfrm>
          <a:off x="9865360" y="2103120"/>
          <a:ext cx="4736592" cy="2499360"/>
        </a:xfrm>
        <a:prstGeom prst="roundRect">
          <a:avLst>
            <a:gd name="adj" fmla="val 6097"/>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71120</xdr:colOff>
      <xdr:row>25</xdr:row>
      <xdr:rowOff>152400</xdr:rowOff>
    </xdr:from>
    <xdr:to>
      <xdr:col>7</xdr:col>
      <xdr:colOff>540512</xdr:colOff>
      <xdr:row>39</xdr:row>
      <xdr:rowOff>91440</xdr:rowOff>
    </xdr:to>
    <xdr:sp macro="" textlink="">
      <xdr:nvSpPr>
        <xdr:cNvPr id="31" name="Rectangle: Rounded Corners 30">
          <a:extLst>
            <a:ext uri="{FF2B5EF4-FFF2-40B4-BE49-F238E27FC236}">
              <a16:creationId xmlns:a16="http://schemas.microsoft.com/office/drawing/2014/main" id="{0A02FFEB-D67E-402B-A525-C8189D5D2956}"/>
            </a:ext>
          </a:extLst>
        </xdr:cNvPr>
        <xdr:cNvSpPr/>
      </xdr:nvSpPr>
      <xdr:spPr>
        <a:xfrm>
          <a:off x="71120" y="4724400"/>
          <a:ext cx="4736592" cy="2499360"/>
        </a:xfrm>
        <a:prstGeom prst="roundRect">
          <a:avLst>
            <a:gd name="adj" fmla="val 6097"/>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46182</xdr:colOff>
      <xdr:row>25</xdr:row>
      <xdr:rowOff>152400</xdr:rowOff>
    </xdr:from>
    <xdr:to>
      <xdr:col>16</xdr:col>
      <xdr:colOff>11546</xdr:colOff>
      <xdr:row>39</xdr:row>
      <xdr:rowOff>91440</xdr:rowOff>
    </xdr:to>
    <xdr:sp macro="" textlink="">
      <xdr:nvSpPr>
        <xdr:cNvPr id="32" name="Rectangle: Rounded Corners 31">
          <a:extLst>
            <a:ext uri="{FF2B5EF4-FFF2-40B4-BE49-F238E27FC236}">
              <a16:creationId xmlns:a16="http://schemas.microsoft.com/office/drawing/2014/main" id="{6823F553-00EE-4FAA-A3EC-868277C4357C}"/>
            </a:ext>
          </a:extLst>
        </xdr:cNvPr>
        <xdr:cNvSpPr/>
      </xdr:nvSpPr>
      <xdr:spPr>
        <a:xfrm>
          <a:off x="4941455" y="4770582"/>
          <a:ext cx="4860636" cy="2525222"/>
        </a:xfrm>
        <a:prstGeom prst="roundRect">
          <a:avLst>
            <a:gd name="adj" fmla="val 6097"/>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111760</xdr:colOff>
      <xdr:row>25</xdr:row>
      <xdr:rowOff>152400</xdr:rowOff>
    </xdr:from>
    <xdr:to>
      <xdr:col>23</xdr:col>
      <xdr:colOff>581152</xdr:colOff>
      <xdr:row>39</xdr:row>
      <xdr:rowOff>91440</xdr:rowOff>
    </xdr:to>
    <xdr:sp macro="" textlink="">
      <xdr:nvSpPr>
        <xdr:cNvPr id="33" name="Rectangle: Rounded Corners 32">
          <a:extLst>
            <a:ext uri="{FF2B5EF4-FFF2-40B4-BE49-F238E27FC236}">
              <a16:creationId xmlns:a16="http://schemas.microsoft.com/office/drawing/2014/main" id="{9337E4C0-1DEE-40CE-8221-A74660DEA955}"/>
            </a:ext>
          </a:extLst>
        </xdr:cNvPr>
        <xdr:cNvSpPr/>
      </xdr:nvSpPr>
      <xdr:spPr>
        <a:xfrm>
          <a:off x="9902305" y="4770582"/>
          <a:ext cx="4752756" cy="2525222"/>
        </a:xfrm>
        <a:prstGeom prst="roundRect">
          <a:avLst>
            <a:gd name="adj" fmla="val 6097"/>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121919</xdr:colOff>
      <xdr:row>11</xdr:row>
      <xdr:rowOff>132080</xdr:rowOff>
    </xdr:from>
    <xdr:to>
      <xdr:col>23</xdr:col>
      <xdr:colOff>578196</xdr:colOff>
      <xdr:row>24</xdr:row>
      <xdr:rowOff>137398</xdr:rowOff>
    </xdr:to>
    <xdr:graphicFrame macro="">
      <xdr:nvGraphicFramePr>
        <xdr:cNvPr id="34" name="Chart 33">
          <a:extLst>
            <a:ext uri="{FF2B5EF4-FFF2-40B4-BE49-F238E27FC236}">
              <a16:creationId xmlns:a16="http://schemas.microsoft.com/office/drawing/2014/main" id="{42681A54-3873-4B70-BA99-014B012523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11</xdr:row>
      <xdr:rowOff>91440</xdr:rowOff>
    </xdr:from>
    <xdr:to>
      <xdr:col>7</xdr:col>
      <xdr:colOff>572985</xdr:colOff>
      <xdr:row>25</xdr:row>
      <xdr:rowOff>30480</xdr:rowOff>
    </xdr:to>
    <xdr:grpSp>
      <xdr:nvGrpSpPr>
        <xdr:cNvPr id="37" name="Group 36">
          <a:extLst>
            <a:ext uri="{FF2B5EF4-FFF2-40B4-BE49-F238E27FC236}">
              <a16:creationId xmlns:a16="http://schemas.microsoft.com/office/drawing/2014/main" id="{CF3E3DC0-4411-C63D-AFA3-ADFCE26B181B}"/>
            </a:ext>
          </a:extLst>
        </xdr:cNvPr>
        <xdr:cNvGrpSpPr/>
      </xdr:nvGrpSpPr>
      <xdr:grpSpPr>
        <a:xfrm>
          <a:off x="30480" y="2109329"/>
          <a:ext cx="4789949" cy="2507262"/>
          <a:chOff x="30480" y="2103120"/>
          <a:chExt cx="4809705" cy="2499360"/>
        </a:xfrm>
      </xdr:grpSpPr>
      <xdr:sp macro="" textlink="">
        <xdr:nvSpPr>
          <xdr:cNvPr id="28" name="Rectangle: Rounded Corners 27">
            <a:extLst>
              <a:ext uri="{FF2B5EF4-FFF2-40B4-BE49-F238E27FC236}">
                <a16:creationId xmlns:a16="http://schemas.microsoft.com/office/drawing/2014/main" id="{F16FE49F-28B3-37B9-5758-FEA284589573}"/>
              </a:ext>
            </a:extLst>
          </xdr:cNvPr>
          <xdr:cNvSpPr/>
        </xdr:nvSpPr>
        <xdr:spPr>
          <a:xfrm>
            <a:off x="71120" y="2103120"/>
            <a:ext cx="4736592" cy="2499360"/>
          </a:xfrm>
          <a:prstGeom prst="roundRect">
            <a:avLst>
              <a:gd name="adj" fmla="val 6097"/>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5" name="Chart 34">
            <a:extLst>
              <a:ext uri="{FF2B5EF4-FFF2-40B4-BE49-F238E27FC236}">
                <a16:creationId xmlns:a16="http://schemas.microsoft.com/office/drawing/2014/main" id="{4454755A-8F89-41E4-8812-E8A0C3712D06}"/>
              </a:ext>
            </a:extLst>
          </xdr:cNvPr>
          <xdr:cNvGraphicFramePr>
            <a:graphicFrameLocks/>
          </xdr:cNvGraphicFramePr>
        </xdr:nvGraphicFramePr>
        <xdr:xfrm>
          <a:off x="30480" y="2103120"/>
          <a:ext cx="4809705" cy="247904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8</xdr:col>
      <xdr:colOff>138379</xdr:colOff>
      <xdr:row>11</xdr:row>
      <xdr:rowOff>111760</xdr:rowOff>
    </xdr:from>
    <xdr:to>
      <xdr:col>15</xdr:col>
      <xdr:colOff>497840</xdr:colOff>
      <xdr:row>24</xdr:row>
      <xdr:rowOff>182879</xdr:rowOff>
    </xdr:to>
    <xdr:graphicFrame macro="">
      <xdr:nvGraphicFramePr>
        <xdr:cNvPr id="36" name="Chart 35">
          <a:extLst>
            <a:ext uri="{FF2B5EF4-FFF2-40B4-BE49-F238E27FC236}">
              <a16:creationId xmlns:a16="http://schemas.microsoft.com/office/drawing/2014/main" id="{0D6F0641-0B10-4B1F-8149-FC437F1195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300182</xdr:colOff>
      <xdr:row>5</xdr:row>
      <xdr:rowOff>0</xdr:rowOff>
    </xdr:from>
    <xdr:to>
      <xdr:col>5</xdr:col>
      <xdr:colOff>578764</xdr:colOff>
      <xdr:row>10</xdr:row>
      <xdr:rowOff>159401</xdr:rowOff>
    </xdr:to>
    <xdr:grpSp>
      <xdr:nvGrpSpPr>
        <xdr:cNvPr id="44" name="Group 43">
          <a:extLst>
            <a:ext uri="{FF2B5EF4-FFF2-40B4-BE49-F238E27FC236}">
              <a16:creationId xmlns:a16="http://schemas.microsoft.com/office/drawing/2014/main" id="{B8077031-65BF-4D45-8DFD-D1621691609D}"/>
            </a:ext>
          </a:extLst>
        </xdr:cNvPr>
        <xdr:cNvGrpSpPr/>
      </xdr:nvGrpSpPr>
      <xdr:grpSpPr>
        <a:xfrm>
          <a:off x="300182" y="917222"/>
          <a:ext cx="3312471" cy="1076623"/>
          <a:chOff x="219362" y="1011051"/>
          <a:chExt cx="3289356" cy="1065480"/>
        </a:xfrm>
      </xdr:grpSpPr>
      <xdr:sp macro="" textlink="">
        <xdr:nvSpPr>
          <xdr:cNvPr id="45" name="TextBox 44">
            <a:extLst>
              <a:ext uri="{FF2B5EF4-FFF2-40B4-BE49-F238E27FC236}">
                <a16:creationId xmlns:a16="http://schemas.microsoft.com/office/drawing/2014/main" id="{80380ECF-1CEA-BAB5-E90B-4392ED839E8F}"/>
              </a:ext>
            </a:extLst>
          </xdr:cNvPr>
          <xdr:cNvSpPr txBox="1"/>
        </xdr:nvSpPr>
        <xdr:spPr>
          <a:xfrm>
            <a:off x="219362" y="1011051"/>
            <a:ext cx="3289356" cy="1065480"/>
          </a:xfrm>
          <a:prstGeom prst="roundRect">
            <a:avLst/>
          </a:prstGeom>
          <a:solidFill>
            <a:schemeClr val="accent5">
              <a:lumMod val="40000"/>
              <a:lumOff val="60000"/>
              <a:alpha val="94000"/>
            </a:schemeClr>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sp macro="" textlink="">
        <xdr:nvSpPr>
          <xdr:cNvPr id="46" name="TextBox 45">
            <a:extLst>
              <a:ext uri="{FF2B5EF4-FFF2-40B4-BE49-F238E27FC236}">
                <a16:creationId xmlns:a16="http://schemas.microsoft.com/office/drawing/2014/main" id="{64F91E0D-F0C6-99F5-9E40-42D6F1A80E6A}"/>
              </a:ext>
            </a:extLst>
          </xdr:cNvPr>
          <xdr:cNvSpPr txBox="1"/>
        </xdr:nvSpPr>
        <xdr:spPr>
          <a:xfrm>
            <a:off x="884914" y="1079062"/>
            <a:ext cx="1932655" cy="3723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chemeClr val="accent1">
                    <a:lumMod val="50000"/>
                  </a:schemeClr>
                </a:solidFill>
                <a:latin typeface="Gill Sans MT Condensed" panose="020B0506020104020203" pitchFamily="34" charset="0"/>
              </a:rPr>
              <a:t>Total</a:t>
            </a:r>
            <a:r>
              <a:rPr lang="en-US" sz="2000" b="1" baseline="0">
                <a:solidFill>
                  <a:schemeClr val="accent4">
                    <a:lumMod val="20000"/>
                    <a:lumOff val="80000"/>
                  </a:schemeClr>
                </a:solidFill>
                <a:latin typeface="Gill Sans MT Condensed" panose="020B0506020104020203" pitchFamily="34" charset="0"/>
              </a:rPr>
              <a:t> </a:t>
            </a:r>
            <a:r>
              <a:rPr lang="en-US" sz="2000" b="1" baseline="0">
                <a:solidFill>
                  <a:schemeClr val="accent1">
                    <a:lumMod val="50000"/>
                  </a:schemeClr>
                </a:solidFill>
                <a:latin typeface="Gill Sans MT Condensed" panose="020B0506020104020203" pitchFamily="34" charset="0"/>
              </a:rPr>
              <a:t>Sales</a:t>
            </a:r>
            <a:endParaRPr lang="en-US" sz="2000" b="1">
              <a:solidFill>
                <a:schemeClr val="accent1">
                  <a:lumMod val="50000"/>
                </a:schemeClr>
              </a:solidFill>
              <a:latin typeface="Gill Sans MT Condensed" panose="020B0506020104020203" pitchFamily="34" charset="0"/>
            </a:endParaRPr>
          </a:p>
        </xdr:txBody>
      </xdr:sp>
      <xdr:sp macro="" textlink="Pivot_Table!A54">
        <xdr:nvSpPr>
          <xdr:cNvPr id="47" name="TextBox 46">
            <a:extLst>
              <a:ext uri="{FF2B5EF4-FFF2-40B4-BE49-F238E27FC236}">
                <a16:creationId xmlns:a16="http://schemas.microsoft.com/office/drawing/2014/main" id="{04F3EE85-82B3-E897-75B9-7ADF363AF36E}"/>
              </a:ext>
            </a:extLst>
          </xdr:cNvPr>
          <xdr:cNvSpPr txBox="1"/>
        </xdr:nvSpPr>
        <xdr:spPr>
          <a:xfrm>
            <a:off x="884912" y="1543791"/>
            <a:ext cx="1932655" cy="272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6E47647-5649-4879-8640-4741663E15E1}" type="TxLink">
              <a:rPr lang="en-US" sz="1400" b="1" i="0" u="none" strike="noStrike">
                <a:solidFill>
                  <a:schemeClr val="accent1">
                    <a:lumMod val="50000"/>
                  </a:schemeClr>
                </a:solidFill>
                <a:effectLst/>
                <a:latin typeface="+mn-lt"/>
                <a:ea typeface="+mn-ea"/>
                <a:cs typeface="Biome"/>
              </a:rPr>
              <a:pPr algn="ctr"/>
              <a:t> ₦3,119,302 </a:t>
            </a:fld>
            <a:endParaRPr lang="en-US" sz="1400" b="1">
              <a:solidFill>
                <a:schemeClr val="accent1">
                  <a:lumMod val="50000"/>
                </a:schemeClr>
              </a:solidFill>
              <a:latin typeface="+mn-lt"/>
            </a:endParaRPr>
          </a:p>
        </xdr:txBody>
      </xdr:sp>
    </xdr:grpSp>
    <xdr:clientData/>
  </xdr:twoCellAnchor>
  <xdr:twoCellAnchor>
    <xdr:from>
      <xdr:col>6</xdr:col>
      <xdr:colOff>150090</xdr:colOff>
      <xdr:row>4</xdr:row>
      <xdr:rowOff>161637</xdr:rowOff>
    </xdr:from>
    <xdr:to>
      <xdr:col>11</xdr:col>
      <xdr:colOff>428671</xdr:colOff>
      <xdr:row>10</xdr:row>
      <xdr:rowOff>136311</xdr:rowOff>
    </xdr:to>
    <xdr:grpSp>
      <xdr:nvGrpSpPr>
        <xdr:cNvPr id="48" name="Group 47">
          <a:extLst>
            <a:ext uri="{FF2B5EF4-FFF2-40B4-BE49-F238E27FC236}">
              <a16:creationId xmlns:a16="http://schemas.microsoft.com/office/drawing/2014/main" id="{A6A91E09-1211-4840-A826-9F1A35B2B119}"/>
            </a:ext>
          </a:extLst>
        </xdr:cNvPr>
        <xdr:cNvGrpSpPr/>
      </xdr:nvGrpSpPr>
      <xdr:grpSpPr>
        <a:xfrm>
          <a:off x="3790757" y="895415"/>
          <a:ext cx="3312470" cy="1075340"/>
          <a:chOff x="150091" y="1027544"/>
          <a:chExt cx="2967182" cy="1085273"/>
        </a:xfrm>
        <a:solidFill>
          <a:schemeClr val="accent5">
            <a:lumMod val="40000"/>
            <a:lumOff val="60000"/>
          </a:schemeClr>
        </a:solidFill>
      </xdr:grpSpPr>
      <xdr:sp macro="" textlink="">
        <xdr:nvSpPr>
          <xdr:cNvPr id="49" name="TextBox 48">
            <a:extLst>
              <a:ext uri="{FF2B5EF4-FFF2-40B4-BE49-F238E27FC236}">
                <a16:creationId xmlns:a16="http://schemas.microsoft.com/office/drawing/2014/main" id="{BC32FB4F-ECBA-1CF0-AB2F-AA3C6033E16F}"/>
              </a:ext>
            </a:extLst>
          </xdr:cNvPr>
          <xdr:cNvSpPr txBox="1"/>
        </xdr:nvSpPr>
        <xdr:spPr>
          <a:xfrm>
            <a:off x="150091" y="1027544"/>
            <a:ext cx="2967182" cy="1085273"/>
          </a:xfrm>
          <a:prstGeom prst="roundRect">
            <a:avLst/>
          </a:prstGeom>
          <a:grp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solidFill>
                <a:schemeClr val="accent1">
                  <a:lumMod val="50000"/>
                </a:schemeClr>
              </a:solidFill>
            </a:endParaRPr>
          </a:p>
        </xdr:txBody>
      </xdr:sp>
      <xdr:sp macro="" textlink="">
        <xdr:nvSpPr>
          <xdr:cNvPr id="50" name="TextBox 49">
            <a:extLst>
              <a:ext uri="{FF2B5EF4-FFF2-40B4-BE49-F238E27FC236}">
                <a16:creationId xmlns:a16="http://schemas.microsoft.com/office/drawing/2014/main" id="{C5200674-B3ED-BE67-AE84-4DE557D5715A}"/>
              </a:ext>
            </a:extLst>
          </xdr:cNvPr>
          <xdr:cNvSpPr txBox="1"/>
        </xdr:nvSpPr>
        <xdr:spPr>
          <a:xfrm>
            <a:off x="750456" y="1096818"/>
            <a:ext cx="1743362" cy="27709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chemeClr val="accent1">
                    <a:lumMod val="50000"/>
                  </a:schemeClr>
                </a:solidFill>
                <a:latin typeface="Gill Sans MT Condensed" panose="020B0506020104020203" pitchFamily="34" charset="0"/>
              </a:rPr>
              <a:t>Total Net</a:t>
            </a:r>
            <a:r>
              <a:rPr lang="en-US" sz="2000" b="1" baseline="0">
                <a:solidFill>
                  <a:schemeClr val="accent1">
                    <a:lumMod val="50000"/>
                  </a:schemeClr>
                </a:solidFill>
                <a:latin typeface="Gill Sans MT Condensed" panose="020B0506020104020203" pitchFamily="34" charset="0"/>
              </a:rPr>
              <a:t> Profit</a:t>
            </a:r>
            <a:endParaRPr lang="en-US" sz="2000" b="1">
              <a:solidFill>
                <a:schemeClr val="accent1">
                  <a:lumMod val="50000"/>
                </a:schemeClr>
              </a:solidFill>
              <a:latin typeface="Gill Sans MT Condensed" panose="020B0506020104020203" pitchFamily="34" charset="0"/>
            </a:endParaRPr>
          </a:p>
        </xdr:txBody>
      </xdr:sp>
      <xdr:sp macro="" textlink="Pivot_Table!C54">
        <xdr:nvSpPr>
          <xdr:cNvPr id="51" name="TextBox 50">
            <a:extLst>
              <a:ext uri="{FF2B5EF4-FFF2-40B4-BE49-F238E27FC236}">
                <a16:creationId xmlns:a16="http://schemas.microsoft.com/office/drawing/2014/main" id="{18161668-DC1D-1CEE-765D-2F0E28641F66}"/>
              </a:ext>
            </a:extLst>
          </xdr:cNvPr>
          <xdr:cNvSpPr txBox="1"/>
        </xdr:nvSpPr>
        <xdr:spPr>
          <a:xfrm>
            <a:off x="750454" y="1570180"/>
            <a:ext cx="1743362" cy="27709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87B04FF-8A3A-486A-BCC9-B73C0938E6B6}" type="TxLink">
              <a:rPr lang="en-US" sz="1400" b="1" i="0" u="none" strike="noStrike">
                <a:solidFill>
                  <a:schemeClr val="accent1">
                    <a:lumMod val="50000"/>
                  </a:schemeClr>
                </a:solidFill>
                <a:effectLst/>
                <a:latin typeface="+mn-lt"/>
                <a:ea typeface="+mn-ea"/>
                <a:cs typeface="Biome"/>
              </a:rPr>
              <a:pPr algn="ctr"/>
              <a:t>₦ 2,453,819</a:t>
            </a:fld>
            <a:endParaRPr lang="en-US" sz="1400" b="1">
              <a:solidFill>
                <a:schemeClr val="accent1">
                  <a:lumMod val="50000"/>
                </a:schemeClr>
              </a:solidFill>
              <a:latin typeface="+mn-lt"/>
            </a:endParaRPr>
          </a:p>
        </xdr:txBody>
      </xdr:sp>
    </xdr:grpSp>
    <xdr:clientData/>
  </xdr:twoCellAnchor>
  <xdr:twoCellAnchor>
    <xdr:from>
      <xdr:col>12</xdr:col>
      <xdr:colOff>111855</xdr:colOff>
      <xdr:row>4</xdr:row>
      <xdr:rowOff>161637</xdr:rowOff>
    </xdr:from>
    <xdr:to>
      <xdr:col>17</xdr:col>
      <xdr:colOff>390434</xdr:colOff>
      <xdr:row>10</xdr:row>
      <xdr:rowOff>136311</xdr:rowOff>
    </xdr:to>
    <xdr:grpSp>
      <xdr:nvGrpSpPr>
        <xdr:cNvPr id="52" name="Group 51">
          <a:extLst>
            <a:ext uri="{FF2B5EF4-FFF2-40B4-BE49-F238E27FC236}">
              <a16:creationId xmlns:a16="http://schemas.microsoft.com/office/drawing/2014/main" id="{60266332-9AB7-40E0-A8F5-0173F54255B6}"/>
            </a:ext>
          </a:extLst>
        </xdr:cNvPr>
        <xdr:cNvGrpSpPr/>
      </xdr:nvGrpSpPr>
      <xdr:grpSpPr>
        <a:xfrm>
          <a:off x="7393188" y="895415"/>
          <a:ext cx="3312468" cy="1075340"/>
          <a:chOff x="150091" y="1027544"/>
          <a:chExt cx="2967182" cy="1085273"/>
        </a:xfrm>
        <a:solidFill>
          <a:schemeClr val="accent5">
            <a:lumMod val="40000"/>
            <a:lumOff val="60000"/>
          </a:schemeClr>
        </a:solidFill>
      </xdr:grpSpPr>
      <xdr:sp macro="" textlink="">
        <xdr:nvSpPr>
          <xdr:cNvPr id="53" name="TextBox 52">
            <a:extLst>
              <a:ext uri="{FF2B5EF4-FFF2-40B4-BE49-F238E27FC236}">
                <a16:creationId xmlns:a16="http://schemas.microsoft.com/office/drawing/2014/main" id="{6D8A07D7-CDCA-E5F9-1A3E-476B89DF86E3}"/>
              </a:ext>
            </a:extLst>
          </xdr:cNvPr>
          <xdr:cNvSpPr txBox="1"/>
        </xdr:nvSpPr>
        <xdr:spPr>
          <a:xfrm>
            <a:off x="150091" y="1027544"/>
            <a:ext cx="2967182" cy="1085273"/>
          </a:xfrm>
          <a:prstGeom prst="roundRect">
            <a:avLst/>
          </a:prstGeom>
          <a:grp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a:solidFill>
                <a:schemeClr val="accent1">
                  <a:lumMod val="50000"/>
                </a:schemeClr>
              </a:solidFill>
            </a:endParaRPr>
          </a:p>
        </xdr:txBody>
      </xdr:sp>
      <xdr:sp macro="" textlink="">
        <xdr:nvSpPr>
          <xdr:cNvPr id="54" name="TextBox 53">
            <a:extLst>
              <a:ext uri="{FF2B5EF4-FFF2-40B4-BE49-F238E27FC236}">
                <a16:creationId xmlns:a16="http://schemas.microsoft.com/office/drawing/2014/main" id="{331E17D4-A62A-4116-B1BA-BE8E3319271B}"/>
              </a:ext>
            </a:extLst>
          </xdr:cNvPr>
          <xdr:cNvSpPr txBox="1"/>
        </xdr:nvSpPr>
        <xdr:spPr>
          <a:xfrm>
            <a:off x="750456" y="1096818"/>
            <a:ext cx="1743362" cy="27709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chemeClr val="accent1">
                    <a:lumMod val="50000"/>
                  </a:schemeClr>
                </a:solidFill>
                <a:latin typeface="Gill Sans MT Condensed" panose="020B0506020104020203" pitchFamily="34" charset="0"/>
              </a:rPr>
              <a:t>Net</a:t>
            </a:r>
            <a:r>
              <a:rPr lang="en-US" sz="2000" b="1" baseline="0">
                <a:solidFill>
                  <a:schemeClr val="accent1">
                    <a:lumMod val="50000"/>
                  </a:schemeClr>
                </a:solidFill>
                <a:latin typeface="Gill Sans MT Condensed" panose="020B0506020104020203" pitchFamily="34" charset="0"/>
              </a:rPr>
              <a:t> Profit Margin</a:t>
            </a:r>
            <a:endParaRPr lang="en-US" sz="2000" b="1">
              <a:solidFill>
                <a:schemeClr val="accent1">
                  <a:lumMod val="50000"/>
                </a:schemeClr>
              </a:solidFill>
              <a:latin typeface="Gill Sans MT Condensed" panose="020B0506020104020203" pitchFamily="34" charset="0"/>
            </a:endParaRPr>
          </a:p>
        </xdr:txBody>
      </xdr:sp>
      <xdr:sp macro="" textlink="Pivot_Table!D54">
        <xdr:nvSpPr>
          <xdr:cNvPr id="55" name="TextBox 54">
            <a:extLst>
              <a:ext uri="{FF2B5EF4-FFF2-40B4-BE49-F238E27FC236}">
                <a16:creationId xmlns:a16="http://schemas.microsoft.com/office/drawing/2014/main" id="{10C1CF73-0BD3-29F3-9B19-CF7D1928248A}"/>
              </a:ext>
            </a:extLst>
          </xdr:cNvPr>
          <xdr:cNvSpPr txBox="1"/>
        </xdr:nvSpPr>
        <xdr:spPr>
          <a:xfrm>
            <a:off x="750454" y="1570180"/>
            <a:ext cx="1743362" cy="27709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1A2CE42-C26F-49B1-8C0A-07E31245B6E5}" type="TxLink">
              <a:rPr lang="en-US" sz="1400" b="1" i="0" u="none" strike="noStrike">
                <a:solidFill>
                  <a:schemeClr val="accent1">
                    <a:lumMod val="50000"/>
                  </a:schemeClr>
                </a:solidFill>
                <a:effectLst/>
                <a:latin typeface="+mn-lt"/>
                <a:ea typeface="+mn-ea"/>
                <a:cs typeface="Biome"/>
              </a:rPr>
              <a:pPr algn="ctr"/>
              <a:t>78.7%</a:t>
            </a:fld>
            <a:endParaRPr lang="en-US" sz="1400" b="1">
              <a:solidFill>
                <a:schemeClr val="accent1">
                  <a:lumMod val="50000"/>
                </a:schemeClr>
              </a:solidFill>
              <a:latin typeface="+mn-lt"/>
            </a:endParaRPr>
          </a:p>
        </xdr:txBody>
      </xdr:sp>
    </xdr:grpSp>
    <xdr:clientData/>
  </xdr:twoCellAnchor>
  <xdr:twoCellAnchor>
    <xdr:from>
      <xdr:col>18</xdr:col>
      <xdr:colOff>73617</xdr:colOff>
      <xdr:row>4</xdr:row>
      <xdr:rowOff>161637</xdr:rowOff>
    </xdr:from>
    <xdr:to>
      <xdr:col>23</xdr:col>
      <xdr:colOff>352199</xdr:colOff>
      <xdr:row>10</xdr:row>
      <xdr:rowOff>136311</xdr:rowOff>
    </xdr:to>
    <xdr:grpSp>
      <xdr:nvGrpSpPr>
        <xdr:cNvPr id="56" name="Group 55">
          <a:extLst>
            <a:ext uri="{FF2B5EF4-FFF2-40B4-BE49-F238E27FC236}">
              <a16:creationId xmlns:a16="http://schemas.microsoft.com/office/drawing/2014/main" id="{49966C57-C34B-42B0-8EBB-B9BD6B0B2879}"/>
            </a:ext>
          </a:extLst>
        </xdr:cNvPr>
        <xdr:cNvGrpSpPr/>
      </xdr:nvGrpSpPr>
      <xdr:grpSpPr>
        <a:xfrm>
          <a:off x="10995617" y="895415"/>
          <a:ext cx="3312471" cy="1075340"/>
          <a:chOff x="150091" y="1027544"/>
          <a:chExt cx="2967182" cy="1085273"/>
        </a:xfrm>
        <a:solidFill>
          <a:schemeClr val="accent5">
            <a:lumMod val="40000"/>
            <a:lumOff val="60000"/>
          </a:schemeClr>
        </a:solidFill>
      </xdr:grpSpPr>
      <xdr:sp macro="" textlink="">
        <xdr:nvSpPr>
          <xdr:cNvPr id="57" name="TextBox 56">
            <a:extLst>
              <a:ext uri="{FF2B5EF4-FFF2-40B4-BE49-F238E27FC236}">
                <a16:creationId xmlns:a16="http://schemas.microsoft.com/office/drawing/2014/main" id="{71D7C91A-7C10-B3FE-E330-D5DF4757692D}"/>
              </a:ext>
            </a:extLst>
          </xdr:cNvPr>
          <xdr:cNvSpPr txBox="1"/>
        </xdr:nvSpPr>
        <xdr:spPr>
          <a:xfrm>
            <a:off x="150091" y="1027544"/>
            <a:ext cx="2967182" cy="1085273"/>
          </a:xfrm>
          <a:prstGeom prst="roundRect">
            <a:avLst/>
          </a:prstGeom>
          <a:grp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solidFill>
                <a:schemeClr val="accent1">
                  <a:lumMod val="50000"/>
                </a:schemeClr>
              </a:solidFill>
            </a:endParaRPr>
          </a:p>
        </xdr:txBody>
      </xdr:sp>
      <xdr:sp macro="" textlink="">
        <xdr:nvSpPr>
          <xdr:cNvPr id="58" name="TextBox 57">
            <a:extLst>
              <a:ext uri="{FF2B5EF4-FFF2-40B4-BE49-F238E27FC236}">
                <a16:creationId xmlns:a16="http://schemas.microsoft.com/office/drawing/2014/main" id="{928DB531-79A4-E554-D233-DDC5F4CEA931}"/>
              </a:ext>
            </a:extLst>
          </xdr:cNvPr>
          <xdr:cNvSpPr txBox="1"/>
        </xdr:nvSpPr>
        <xdr:spPr>
          <a:xfrm>
            <a:off x="750456" y="1096818"/>
            <a:ext cx="1934104" cy="27709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chemeClr val="accent1">
                    <a:lumMod val="50000"/>
                  </a:schemeClr>
                </a:solidFill>
                <a:latin typeface="Gill Sans MT Condensed" panose="020B0506020104020203" pitchFamily="34" charset="0"/>
              </a:rPr>
              <a:t>Total</a:t>
            </a:r>
            <a:r>
              <a:rPr lang="en-US" sz="2000" b="1" baseline="0">
                <a:solidFill>
                  <a:schemeClr val="accent1">
                    <a:lumMod val="50000"/>
                  </a:schemeClr>
                </a:solidFill>
                <a:latin typeface="Gill Sans MT Condensed" panose="020B0506020104020203" pitchFamily="34" charset="0"/>
              </a:rPr>
              <a:t> Expense Variance</a:t>
            </a:r>
            <a:endParaRPr lang="en-US" sz="2000" b="1">
              <a:solidFill>
                <a:schemeClr val="accent1">
                  <a:lumMod val="50000"/>
                </a:schemeClr>
              </a:solidFill>
              <a:latin typeface="Gill Sans MT Condensed" panose="020B0506020104020203" pitchFamily="34" charset="0"/>
            </a:endParaRPr>
          </a:p>
        </xdr:txBody>
      </xdr:sp>
      <xdr:sp macro="" textlink="Pivot_Table!B54">
        <xdr:nvSpPr>
          <xdr:cNvPr id="59" name="TextBox 58">
            <a:extLst>
              <a:ext uri="{FF2B5EF4-FFF2-40B4-BE49-F238E27FC236}">
                <a16:creationId xmlns:a16="http://schemas.microsoft.com/office/drawing/2014/main" id="{EF980B1F-9508-9A95-376F-19ED2EA1BD22}"/>
              </a:ext>
            </a:extLst>
          </xdr:cNvPr>
          <xdr:cNvSpPr txBox="1"/>
        </xdr:nvSpPr>
        <xdr:spPr>
          <a:xfrm>
            <a:off x="750454" y="1570180"/>
            <a:ext cx="1743362" cy="27709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9B3BC70-DF21-40BC-BB57-1C6A704527FC}" type="TxLink">
              <a:rPr lang="en-US" sz="1400" b="1" i="0" u="none" strike="noStrike">
                <a:solidFill>
                  <a:schemeClr val="accent1">
                    <a:lumMod val="50000"/>
                  </a:schemeClr>
                </a:solidFill>
                <a:effectLst/>
                <a:latin typeface="+mn-lt"/>
                <a:ea typeface="+mn-ea"/>
                <a:cs typeface="Biome"/>
              </a:rPr>
              <a:pPr algn="ctr"/>
              <a:t>₦149,033</a:t>
            </a:fld>
            <a:endParaRPr lang="en-US" sz="1400" b="1">
              <a:solidFill>
                <a:schemeClr val="accent1">
                  <a:lumMod val="50000"/>
                </a:schemeClr>
              </a:solidFill>
              <a:latin typeface="+mn-lt"/>
            </a:endParaRPr>
          </a:p>
        </xdr:txBody>
      </xdr:sp>
    </xdr:grpSp>
    <xdr:clientData/>
  </xdr:twoCellAnchor>
  <xdr:twoCellAnchor>
    <xdr:from>
      <xdr:col>0</xdr:col>
      <xdr:colOff>34636</xdr:colOff>
      <xdr:row>25</xdr:row>
      <xdr:rowOff>138546</xdr:rowOff>
    </xdr:from>
    <xdr:to>
      <xdr:col>7</xdr:col>
      <xdr:colOff>565796</xdr:colOff>
      <xdr:row>39</xdr:row>
      <xdr:rowOff>101934</xdr:rowOff>
    </xdr:to>
    <xdr:graphicFrame macro="">
      <xdr:nvGraphicFramePr>
        <xdr:cNvPr id="60" name="Chart 59">
          <a:extLst>
            <a:ext uri="{FF2B5EF4-FFF2-40B4-BE49-F238E27FC236}">
              <a16:creationId xmlns:a16="http://schemas.microsoft.com/office/drawing/2014/main" id="{229ACC6B-D7F6-41E6-B968-78C1BF39A9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161636</xdr:colOff>
      <xdr:row>25</xdr:row>
      <xdr:rowOff>173181</xdr:rowOff>
    </xdr:from>
    <xdr:to>
      <xdr:col>23</xdr:col>
      <xdr:colOff>531091</xdr:colOff>
      <xdr:row>39</xdr:row>
      <xdr:rowOff>80818</xdr:rowOff>
    </xdr:to>
    <xdr:graphicFrame macro="">
      <xdr:nvGraphicFramePr>
        <xdr:cNvPr id="61" name="Chart 60">
          <a:extLst>
            <a:ext uri="{FF2B5EF4-FFF2-40B4-BE49-F238E27FC236}">
              <a16:creationId xmlns:a16="http://schemas.microsoft.com/office/drawing/2014/main" id="{7FDB98FF-E0A7-411E-905E-BB342A584F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108473</xdr:colOff>
      <xdr:row>26</xdr:row>
      <xdr:rowOff>34635</xdr:rowOff>
    </xdr:from>
    <xdr:to>
      <xdr:col>15</xdr:col>
      <xdr:colOff>531091</xdr:colOff>
      <xdr:row>39</xdr:row>
      <xdr:rowOff>52399</xdr:rowOff>
    </xdr:to>
    <xdr:graphicFrame macro="">
      <xdr:nvGraphicFramePr>
        <xdr:cNvPr id="62" name="Chart 61">
          <a:extLst>
            <a:ext uri="{FF2B5EF4-FFF2-40B4-BE49-F238E27FC236}">
              <a16:creationId xmlns:a16="http://schemas.microsoft.com/office/drawing/2014/main" id="{39D218C2-880C-44F4-9DC6-6425A6F17B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99934</xdr:colOff>
      <xdr:row>0</xdr:row>
      <xdr:rowOff>106680</xdr:rowOff>
    </xdr:from>
    <xdr:to>
      <xdr:col>14</xdr:col>
      <xdr:colOff>587115</xdr:colOff>
      <xdr:row>4</xdr:row>
      <xdr:rowOff>45720</xdr:rowOff>
    </xdr:to>
    <xdr:sp macro="" textlink="">
      <xdr:nvSpPr>
        <xdr:cNvPr id="64" name="Rectangle: Rounded Corners 63">
          <a:extLst>
            <a:ext uri="{FF2B5EF4-FFF2-40B4-BE49-F238E27FC236}">
              <a16:creationId xmlns:a16="http://schemas.microsoft.com/office/drawing/2014/main" id="{ACA8AA57-BDDD-6DC0-1AA6-00E6A6792F10}"/>
            </a:ext>
          </a:extLst>
        </xdr:cNvPr>
        <xdr:cNvSpPr/>
      </xdr:nvSpPr>
      <xdr:spPr>
        <a:xfrm>
          <a:off x="99934" y="106680"/>
          <a:ext cx="9056558" cy="688548"/>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4400" b="1">
              <a:solidFill>
                <a:schemeClr val="accent5">
                  <a:lumMod val="20000"/>
                  <a:lumOff val="80000"/>
                </a:schemeClr>
              </a:solidFill>
              <a:latin typeface="Gill Sans MT Condensed" panose="020B0506020104020203" pitchFamily="34" charset="0"/>
            </a:rPr>
            <a:t>SO</a:t>
          </a:r>
          <a:r>
            <a:rPr lang="en-US" sz="4400" b="1" baseline="0">
              <a:solidFill>
                <a:schemeClr val="accent5">
                  <a:lumMod val="20000"/>
                  <a:lumOff val="80000"/>
                </a:schemeClr>
              </a:solidFill>
              <a:latin typeface="Gill Sans MT Condensed" panose="020B0506020104020203" pitchFamily="34" charset="0"/>
            </a:rPr>
            <a:t> - FRESH FINANCIAL PERFORMANCE  DASHBOARD</a:t>
          </a:r>
          <a:endParaRPr lang="en-US" sz="4400" b="1">
            <a:solidFill>
              <a:schemeClr val="accent5">
                <a:lumMod val="20000"/>
                <a:lumOff val="80000"/>
              </a:schemeClr>
            </a:solidFill>
            <a:latin typeface="Gill Sans MT Condensed" panose="020B0506020104020203" pitchFamily="34" charset="0"/>
          </a:endParaRPr>
        </a:p>
      </xdr:txBody>
    </xdr:sp>
    <xdr:clientData/>
  </xdr:twoCellAnchor>
  <xdr:twoCellAnchor>
    <xdr:from>
      <xdr:col>15</xdr:col>
      <xdr:colOff>49969</xdr:colOff>
      <xdr:row>0</xdr:row>
      <xdr:rowOff>83128</xdr:rowOff>
    </xdr:from>
    <xdr:to>
      <xdr:col>23</xdr:col>
      <xdr:colOff>574624</xdr:colOff>
      <xdr:row>4</xdr:row>
      <xdr:rowOff>69274</xdr:rowOff>
    </xdr:to>
    <xdr:sp macro="" textlink="">
      <xdr:nvSpPr>
        <xdr:cNvPr id="3" name="Rectangle: Rounded Corners 2">
          <a:extLst>
            <a:ext uri="{FF2B5EF4-FFF2-40B4-BE49-F238E27FC236}">
              <a16:creationId xmlns:a16="http://schemas.microsoft.com/office/drawing/2014/main" id="{E6804F17-1238-D392-C945-D669E07A75E3}"/>
            </a:ext>
          </a:extLst>
        </xdr:cNvPr>
        <xdr:cNvSpPr/>
      </xdr:nvSpPr>
      <xdr:spPr>
        <a:xfrm>
          <a:off x="9231444" y="83128"/>
          <a:ext cx="5421442" cy="735654"/>
        </a:xfrm>
        <a:prstGeom prst="round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15</xdr:col>
      <xdr:colOff>93152</xdr:colOff>
      <xdr:row>0</xdr:row>
      <xdr:rowOff>152400</xdr:rowOff>
    </xdr:from>
    <xdr:to>
      <xdr:col>18</xdr:col>
      <xdr:colOff>118917</xdr:colOff>
      <xdr:row>4</xdr:row>
      <xdr:rowOff>24984</xdr:rowOff>
    </xdr:to>
    <mc:AlternateContent xmlns:mc="http://schemas.openxmlformats.org/markup-compatibility/2006">
      <mc:Choice xmlns:a14="http://schemas.microsoft.com/office/drawing/2010/main" Requires="a14">
        <xdr:graphicFrame macro="">
          <xdr:nvGraphicFramePr>
            <xdr:cNvPr id="21" name="Product 2">
              <a:extLst>
                <a:ext uri="{FF2B5EF4-FFF2-40B4-BE49-F238E27FC236}">
                  <a16:creationId xmlns:a16="http://schemas.microsoft.com/office/drawing/2014/main" id="{F14E5A92-70BB-4E8F-9A2F-7716ADA35913}"/>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dr:sp macro="" textlink="">
          <xdr:nvSpPr>
            <xdr:cNvPr id="0" name=""/>
            <xdr:cNvSpPr>
              <a:spLocks noTextEdit="1"/>
            </xdr:cNvSpPr>
          </xdr:nvSpPr>
          <xdr:spPr>
            <a:xfrm>
              <a:off x="9194819" y="152400"/>
              <a:ext cx="1846098" cy="6063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167667</xdr:colOff>
      <xdr:row>0</xdr:row>
      <xdr:rowOff>139930</xdr:rowOff>
    </xdr:from>
    <xdr:to>
      <xdr:col>20</xdr:col>
      <xdr:colOff>551912</xdr:colOff>
      <xdr:row>4</xdr:row>
      <xdr:rowOff>22505</xdr:rowOff>
    </xdr:to>
    <mc:AlternateContent xmlns:mc="http://schemas.openxmlformats.org/markup-compatibility/2006">
      <mc:Choice xmlns:a14="http://schemas.microsoft.com/office/drawing/2010/main" Requires="a14">
        <xdr:graphicFrame macro="">
          <xdr:nvGraphicFramePr>
            <xdr:cNvPr id="22" name="Branch 2">
              <a:extLst>
                <a:ext uri="{FF2B5EF4-FFF2-40B4-BE49-F238E27FC236}">
                  <a16:creationId xmlns:a16="http://schemas.microsoft.com/office/drawing/2014/main" id="{0D4BE40A-4FE1-4F06-B042-B0FE8BF9A291}"/>
                </a:ext>
              </a:extLst>
            </xdr:cNvPr>
            <xdr:cNvGraphicFramePr/>
          </xdr:nvGraphicFramePr>
          <xdr:xfrm>
            <a:off x="0" y="0"/>
            <a:ext cx="0" cy="0"/>
          </xdr:xfrm>
          <a:graphic>
            <a:graphicData uri="http://schemas.microsoft.com/office/drawing/2010/slicer">
              <sle:slicer xmlns:sle="http://schemas.microsoft.com/office/drawing/2010/slicer" name="Branch 2"/>
            </a:graphicData>
          </a:graphic>
        </xdr:graphicFrame>
      </mc:Choice>
      <mc:Fallback>
        <xdr:sp macro="" textlink="">
          <xdr:nvSpPr>
            <xdr:cNvPr id="0" name=""/>
            <xdr:cNvSpPr>
              <a:spLocks noTextEdit="1"/>
            </xdr:cNvSpPr>
          </xdr:nvSpPr>
          <xdr:spPr>
            <a:xfrm>
              <a:off x="11089667" y="139930"/>
              <a:ext cx="1597801" cy="6163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610416</xdr:colOff>
      <xdr:row>0</xdr:row>
      <xdr:rowOff>124690</xdr:rowOff>
    </xdr:from>
    <xdr:to>
      <xdr:col>23</xdr:col>
      <xdr:colOff>526482</xdr:colOff>
      <xdr:row>4</xdr:row>
      <xdr:rowOff>19475</xdr:rowOff>
    </xdr:to>
    <mc:AlternateContent xmlns:mc="http://schemas.openxmlformats.org/markup-compatibility/2006">
      <mc:Choice xmlns:a14="http://schemas.microsoft.com/office/drawing/2010/main" Requires="a14">
        <xdr:graphicFrame macro="">
          <xdr:nvGraphicFramePr>
            <xdr:cNvPr id="23" name="Sales Manager 2">
              <a:extLst>
                <a:ext uri="{FF2B5EF4-FFF2-40B4-BE49-F238E27FC236}">
                  <a16:creationId xmlns:a16="http://schemas.microsoft.com/office/drawing/2014/main" id="{81DEA48F-BC62-4BF8-A348-9DF30AA91C90}"/>
                </a:ext>
              </a:extLst>
            </xdr:cNvPr>
            <xdr:cNvGraphicFramePr/>
          </xdr:nvGraphicFramePr>
          <xdr:xfrm>
            <a:off x="0" y="0"/>
            <a:ext cx="0" cy="0"/>
          </xdr:xfrm>
          <a:graphic>
            <a:graphicData uri="http://schemas.microsoft.com/office/drawing/2010/slicer">
              <sle:slicer xmlns:sle="http://schemas.microsoft.com/office/drawing/2010/slicer" name="Sales Manager 2"/>
            </a:graphicData>
          </a:graphic>
        </xdr:graphicFrame>
      </mc:Choice>
      <mc:Fallback>
        <xdr:sp macro="" textlink="">
          <xdr:nvSpPr>
            <xdr:cNvPr id="0" name=""/>
            <xdr:cNvSpPr>
              <a:spLocks noTextEdit="1"/>
            </xdr:cNvSpPr>
          </xdr:nvSpPr>
          <xdr:spPr>
            <a:xfrm>
              <a:off x="12745972" y="124690"/>
              <a:ext cx="1736399" cy="6285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olola Ogunrinde" refreshedDate="46172.007155671294" createdVersion="8" refreshedVersion="8" minRefreshableVersion="3" recordCount="600" xr:uid="{B68DCE2B-E885-4023-844D-A463C98E4209}">
  <cacheSource type="worksheet">
    <worksheetSource name="Master_Table"/>
  </cacheSource>
  <cacheFields count="25">
    <cacheField name="SN" numFmtId="0">
      <sharedItems containsSemiMixedTypes="0" containsString="0" containsNumber="1" containsInteger="1" minValue="1" maxValue="600"/>
    </cacheField>
    <cacheField name="ProdCode" numFmtId="0">
      <sharedItems containsSemiMixedTypes="0" containsString="0" containsNumber="1" containsInteger="1" minValue="100" maxValue="109"/>
    </cacheField>
    <cacheField name="Product" numFmtId="0">
      <sharedItems count="10">
        <s v="Mango"/>
        <s v="Orange"/>
        <s v="Banana"/>
        <s v="Melon"/>
        <s v="Apple"/>
        <s v="Avocado"/>
        <s v="Pineapple"/>
        <s v="Cucumber"/>
        <s v="Kiwi"/>
        <s v="Pawpaw"/>
      </sharedItems>
    </cacheField>
    <cacheField name="Branch" numFmtId="0">
      <sharedItems count="5">
        <s v="Lagos"/>
        <s v="Abuja"/>
        <s v="Warri"/>
        <s v="Kaduna"/>
        <s v="Ibadan"/>
      </sharedItems>
    </cacheField>
    <cacheField name="Sales Manager" numFmtId="165">
      <sharedItems count="5">
        <s v="Adaora Okafor"/>
        <s v="Emeka Nwosu"/>
        <s v="Gbenga Adesanya"/>
        <s v="Musa Garba"/>
        <s v="Funmi Adeyemi"/>
      </sharedItems>
    </cacheField>
    <cacheField name="MonthCode" numFmtId="0">
      <sharedItems containsSemiMixedTypes="0" containsString="0" containsNumber="1" containsInteger="1" minValue="1" maxValue="12"/>
    </cacheField>
    <cacheField name="Month" numFmtId="0">
      <sharedItems count="12">
        <s v="Jan"/>
        <s v="Feb"/>
        <s v="Mar"/>
        <s v="Apr"/>
        <s v="May"/>
        <s v="Jun"/>
        <s v="Jul"/>
        <s v="Aug"/>
        <s v="Sept"/>
        <s v="Oct"/>
        <s v="Nov"/>
        <s v="Dec"/>
      </sharedItems>
    </cacheField>
    <cacheField name="Sales Budget" numFmtId="164">
      <sharedItems containsSemiMixedTypes="0" containsString="0" containsNumber="1" containsInteger="1" minValue="1000" maxValue="10000"/>
    </cacheField>
    <cacheField name="Actual Sales" numFmtId="164">
      <sharedItems containsSemiMixedTypes="0" containsString="0" containsNumber="1" containsInteger="1" minValue="2111" maxValue="11110"/>
    </cacheField>
    <cacheField name="Expense Budget" numFmtId="164">
      <sharedItems containsSemiMixedTypes="0" containsString="0" containsNumber="1" minValue="200" maxValue="5000"/>
    </cacheField>
    <cacheField name="Actual Expense" numFmtId="164">
      <sharedItems containsSemiMixedTypes="0" containsString="0" containsNumber="1" minValue="100" maxValue="4800"/>
    </cacheField>
    <cacheField name="△Sales Variance" numFmtId="166">
      <sharedItems containsSemiMixedTypes="0" containsString="0" containsNumber="1" containsInteger="1" minValue="-7834" maxValue="9761"/>
    </cacheField>
    <cacheField name="△Expense  Variance" numFmtId="166">
      <sharedItems containsSemiMixedTypes="0" containsString="0" containsNumber="1" minValue="-600" maxValue="800"/>
    </cacheField>
    <cacheField name="Actual Net Profit" numFmtId="166">
      <sharedItems containsSemiMixedTypes="0" containsString="0" containsNumber="1" minValue="-1665" maxValue="10611"/>
    </cacheField>
    <cacheField name="Budget Net Profit" numFmtId="171">
      <sharedItems containsSemiMixedTypes="0" containsString="0" containsNumber="1" minValue="500" maxValue="8000"/>
    </cacheField>
    <cacheField name="Net Profit Variance" numFmtId="0">
      <sharedItems containsSemiMixedTypes="0" containsString="0" containsNumber="1" minValue="-7534" maxValue="9861"/>
    </cacheField>
    <cacheField name="Sales_Variance %" numFmtId="167">
      <sharedItems containsSemiMixedTypes="0" containsString="0" containsNumber="1" minValue="-0.78339999999999999" maxValue="9.7609999999999992"/>
    </cacheField>
    <cacheField name="Expense_Variance %" numFmtId="167">
      <sharedItems containsSemiMixedTypes="0" containsString="0" containsNumber="1" minValue="-3" maxValue="0.875"/>
    </cacheField>
    <cacheField name="Net_Profit_Variance %" numFmtId="167">
      <sharedItems containsSemiMixedTypes="0" containsString="0" containsNumber="1" minValue="-1.4087499999999999" maxValue="18.98"/>
    </cacheField>
    <cacheField name="Net _Profit_Margin" numFmtId="167">
      <sharedItems containsSemiMixedTypes="0" containsString="0" containsNumber="1" minValue="-0.77985948477751754" maxValue="0.98708510913082781"/>
    </cacheField>
    <cacheField name="Product_Branch" numFmtId="167">
      <sharedItems count="50">
        <s v="Mango - Lagos"/>
        <s v="Mango - Abuja"/>
        <s v="Mango - Warri"/>
        <s v="Mango - Kaduna"/>
        <s v="Mango - Ibadan"/>
        <s v="Orange - Lagos"/>
        <s v="Orange - Abuja"/>
        <s v="Orange - Warri"/>
        <s v="Orange - Kaduna"/>
        <s v="Orange - Ibadan"/>
        <s v="Banana - Lagos"/>
        <s v="Banana - Abuja"/>
        <s v="Banana - Warri"/>
        <s v="Banana - Kaduna"/>
        <s v="Banana - Ibadan"/>
        <s v="Melon - Lagos"/>
        <s v="Melon - Abuja"/>
        <s v="Melon - Warri"/>
        <s v="Melon - Kaduna"/>
        <s v="Melon - Ibadan"/>
        <s v="Apple - Lagos"/>
        <s v="Apple - Abuja"/>
        <s v="Apple - Warri"/>
        <s v="Apple - Kaduna"/>
        <s v="Apple - Ibadan"/>
        <s v="Avocado - Lagos"/>
        <s v="Avocado - Abuja"/>
        <s v="Avocado - Warri"/>
        <s v="Avocado - Kaduna"/>
        <s v="Avocado - Ibadan"/>
        <s v="Pineapple - Lagos"/>
        <s v="Pineapple - Abuja"/>
        <s v="Pineapple - Warri"/>
        <s v="Pineapple - Kaduna"/>
        <s v="Pineapple - Ibadan"/>
        <s v="Cucumber - Lagos"/>
        <s v="Cucumber - Abuja"/>
        <s v="Cucumber - Warri"/>
        <s v="Cucumber - Kaduna"/>
        <s v="Cucumber - Ibadan"/>
        <s v="Kiwi - Lagos"/>
        <s v="Kiwi - Abuja"/>
        <s v="Kiwi - Warri"/>
        <s v="Kiwi - Kaduna"/>
        <s v="Kiwi - Ibadan"/>
        <s v="Pawpaw - Lagos"/>
        <s v="Pawpaw - Abuja"/>
        <s v="Pawpaw - Warri"/>
        <s v="Pawpaw - Kaduna"/>
        <s v="Pawpaw - Ibadan"/>
      </sharedItems>
    </cacheField>
    <cacheField name="Sales Variance Percentage" numFmtId="0" formula="'Actual Sales'/'Sales Budget'-1" databaseField="0"/>
    <cacheField name="Net Profit Margin" numFmtId="0" formula="'Actual Net Profit'/'Actual Sales'" databaseField="0"/>
    <cacheField name="Expense Variance %" numFmtId="0" formula="'Expense Budget'/'Actual Expense'-1" databaseField="0"/>
    <cacheField name="Net Profit Variance %" numFmtId="0" formula="'Actual Net Profit'/'Budget Net Profit'-1" databaseField="0"/>
  </cacheFields>
  <extLst>
    <ext xmlns:x14="http://schemas.microsoft.com/office/spreadsheetml/2009/9/main" uri="{725AE2AE-9491-48be-B2B4-4EB974FC3084}">
      <x14:pivotCacheDefinition pivotCacheId="18518869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
  <r>
    <n v="1"/>
    <n v="100"/>
    <x v="0"/>
    <x v="0"/>
    <x v="0"/>
    <n v="1"/>
    <x v="0"/>
    <n v="1000"/>
    <n v="2159"/>
    <n v="500"/>
    <n v="500"/>
    <n v="1159"/>
    <n v="0"/>
    <n v="1659"/>
    <n v="500"/>
    <n v="1159"/>
    <n v="1.159"/>
    <n v="0"/>
    <n v="2.3180000000000001"/>
    <n v="0.76841130152848536"/>
    <x v="0"/>
  </r>
  <r>
    <n v="2"/>
    <n v="100"/>
    <x v="0"/>
    <x v="0"/>
    <x v="0"/>
    <n v="2"/>
    <x v="1"/>
    <n v="3000"/>
    <n v="5422"/>
    <n v="600"/>
    <n v="500"/>
    <n v="2422"/>
    <n v="100"/>
    <n v="4922"/>
    <n v="2400"/>
    <n v="2522"/>
    <n v="0.80733333333333335"/>
    <n v="0.16666666666666666"/>
    <n v="1.0508333333333333"/>
    <n v="0.90778310586499444"/>
    <x v="0"/>
  </r>
  <r>
    <n v="3"/>
    <n v="100"/>
    <x v="0"/>
    <x v="0"/>
    <x v="0"/>
    <n v="3"/>
    <x v="2"/>
    <n v="5000"/>
    <n v="7998"/>
    <n v="2500"/>
    <n v="2200"/>
    <n v="2998"/>
    <n v="300"/>
    <n v="5798"/>
    <n v="2500"/>
    <n v="3298"/>
    <n v="0.59960000000000002"/>
    <n v="0.12"/>
    <n v="1.3191999999999999"/>
    <n v="0.72493123280820204"/>
    <x v="0"/>
  </r>
  <r>
    <n v="4"/>
    <n v="100"/>
    <x v="0"/>
    <x v="0"/>
    <x v="0"/>
    <n v="4"/>
    <x v="3"/>
    <n v="7000"/>
    <n v="2265"/>
    <n v="1750"/>
    <n v="1350"/>
    <n v="-4735"/>
    <n v="400"/>
    <n v="915"/>
    <n v="5250"/>
    <n v="-4335"/>
    <n v="-0.67642857142857138"/>
    <n v="0.22857142857142856"/>
    <n v="-0.82571428571428573"/>
    <n v="0.40397350993377484"/>
    <x v="0"/>
  </r>
  <r>
    <n v="5"/>
    <n v="100"/>
    <x v="0"/>
    <x v="0"/>
    <x v="0"/>
    <n v="5"/>
    <x v="4"/>
    <n v="5000"/>
    <n v="4766"/>
    <n v="1000"/>
    <n v="600"/>
    <n v="-234"/>
    <n v="400"/>
    <n v="4166"/>
    <n v="4000"/>
    <n v="166"/>
    <n v="-4.6800000000000001E-2"/>
    <n v="0.4"/>
    <n v="4.1500000000000002E-2"/>
    <n v="0.87410826689047416"/>
    <x v="0"/>
  </r>
  <r>
    <n v="6"/>
    <n v="100"/>
    <x v="0"/>
    <x v="0"/>
    <x v="0"/>
    <n v="6"/>
    <x v="5"/>
    <n v="7000"/>
    <n v="8121"/>
    <n v="1400"/>
    <n v="1300"/>
    <n v="1121"/>
    <n v="100"/>
    <n v="6821"/>
    <n v="5600"/>
    <n v="1221"/>
    <n v="0.16014285714285714"/>
    <n v="7.1428571428571425E-2"/>
    <n v="0.21803571428571428"/>
    <n v="0.83992119197143211"/>
    <x v="0"/>
  </r>
  <r>
    <n v="7"/>
    <n v="100"/>
    <x v="0"/>
    <x v="0"/>
    <x v="0"/>
    <n v="7"/>
    <x v="6"/>
    <n v="5000"/>
    <n v="8342"/>
    <n v="2500"/>
    <n v="2400"/>
    <n v="3342"/>
    <n v="100"/>
    <n v="5942"/>
    <n v="2500"/>
    <n v="3442"/>
    <n v="0.66839999999999999"/>
    <n v="0.04"/>
    <n v="1.3768"/>
    <n v="0.71229920882282427"/>
    <x v="0"/>
  </r>
  <r>
    <n v="8"/>
    <n v="100"/>
    <x v="0"/>
    <x v="0"/>
    <x v="0"/>
    <n v="8"/>
    <x v="7"/>
    <n v="1000"/>
    <n v="6412"/>
    <n v="333.33333333333331"/>
    <n v="266.66666666666669"/>
    <n v="5412"/>
    <n v="66.666666666666629"/>
    <n v="6145.333333333333"/>
    <n v="666.66666666666674"/>
    <n v="5478.6666666666661"/>
    <n v="5.4119999999999999"/>
    <n v="0.1999999999999999"/>
    <n v="8.2179999999999982"/>
    <n v="0.95841131212310249"/>
    <x v="0"/>
  </r>
  <r>
    <n v="9"/>
    <n v="100"/>
    <x v="0"/>
    <x v="0"/>
    <x v="0"/>
    <n v="9"/>
    <x v="8"/>
    <n v="8000"/>
    <n v="3324"/>
    <n v="1600"/>
    <n v="1400"/>
    <n v="-4676"/>
    <n v="200"/>
    <n v="1924"/>
    <n v="6400"/>
    <n v="-4476"/>
    <n v="-0.58450000000000002"/>
    <n v="0.125"/>
    <n v="-0.69937499999999997"/>
    <n v="0.57882069795427193"/>
    <x v="0"/>
  </r>
  <r>
    <n v="10"/>
    <n v="100"/>
    <x v="0"/>
    <x v="0"/>
    <x v="0"/>
    <n v="10"/>
    <x v="9"/>
    <n v="7000"/>
    <n v="3142"/>
    <n v="1400"/>
    <n v="1000"/>
    <n v="-3858"/>
    <n v="400"/>
    <n v="2142"/>
    <n v="5600"/>
    <n v="-3458"/>
    <n v="-0.55114285714285716"/>
    <n v="0.2857142857142857"/>
    <n v="-0.61750000000000005"/>
    <n v="0.68173138128580524"/>
    <x v="0"/>
  </r>
  <r>
    <n v="11"/>
    <n v="100"/>
    <x v="0"/>
    <x v="0"/>
    <x v="0"/>
    <n v="11"/>
    <x v="10"/>
    <n v="2000"/>
    <n v="3349"/>
    <n v="666.66666666666663"/>
    <n v="333.33333333333337"/>
    <n v="1349"/>
    <n v="333.33333333333326"/>
    <n v="3015.6666666666665"/>
    <n v="1333.3333333333335"/>
    <n v="1682.333333333333"/>
    <n v="0.67449999999999999"/>
    <n v="0.49999999999999989"/>
    <n v="1.2617499999999997"/>
    <n v="0.90046780133373139"/>
    <x v="0"/>
  </r>
  <r>
    <n v="12"/>
    <n v="100"/>
    <x v="0"/>
    <x v="0"/>
    <x v="0"/>
    <n v="12"/>
    <x v="11"/>
    <n v="2000"/>
    <n v="9853"/>
    <n v="400"/>
    <n v="400"/>
    <n v="7853"/>
    <n v="0"/>
    <n v="9453"/>
    <n v="1600"/>
    <n v="7853"/>
    <n v="3.9264999999999999"/>
    <n v="0"/>
    <n v="4.9081250000000001"/>
    <n v="0.95940322744341822"/>
    <x v="0"/>
  </r>
  <r>
    <n v="13"/>
    <n v="100"/>
    <x v="0"/>
    <x v="1"/>
    <x v="1"/>
    <n v="1"/>
    <x v="0"/>
    <n v="5000"/>
    <n v="3515"/>
    <n v="2500"/>
    <n v="2400"/>
    <n v="-1485"/>
    <n v="100"/>
    <n v="1115"/>
    <n v="2500"/>
    <n v="-1385"/>
    <n v="-0.29699999999999999"/>
    <n v="0.04"/>
    <n v="-0.55400000000000005"/>
    <n v="0.31721194879089615"/>
    <x v="1"/>
  </r>
  <r>
    <n v="14"/>
    <n v="100"/>
    <x v="0"/>
    <x v="1"/>
    <x v="1"/>
    <n v="2"/>
    <x v="1"/>
    <n v="2000"/>
    <n v="6147"/>
    <n v="400"/>
    <n v="500"/>
    <n v="4147"/>
    <n v="-100"/>
    <n v="5647"/>
    <n v="1600"/>
    <n v="4047"/>
    <n v="2.0735000000000001"/>
    <n v="-0.25"/>
    <n v="2.5293749999999999"/>
    <n v="0.9186595087034326"/>
    <x v="1"/>
  </r>
  <r>
    <n v="15"/>
    <n v="100"/>
    <x v="0"/>
    <x v="1"/>
    <x v="1"/>
    <n v="3"/>
    <x v="2"/>
    <n v="1000"/>
    <n v="7831"/>
    <n v="250"/>
    <n v="250"/>
    <n v="6831"/>
    <n v="0"/>
    <n v="7581"/>
    <n v="750"/>
    <n v="6831"/>
    <n v="6.8310000000000004"/>
    <n v="0"/>
    <n v="9.1080000000000005"/>
    <n v="0.96807559698633638"/>
    <x v="1"/>
  </r>
  <r>
    <n v="16"/>
    <n v="100"/>
    <x v="0"/>
    <x v="1"/>
    <x v="1"/>
    <n v="4"/>
    <x v="3"/>
    <n v="3000"/>
    <n v="7346"/>
    <n v="600"/>
    <n v="600"/>
    <n v="4346"/>
    <n v="0"/>
    <n v="6746"/>
    <n v="2400"/>
    <n v="4346"/>
    <n v="1.4486666666666668"/>
    <n v="0"/>
    <n v="1.8108333333333333"/>
    <n v="0.918322896814593"/>
    <x v="1"/>
  </r>
  <r>
    <n v="17"/>
    <n v="100"/>
    <x v="0"/>
    <x v="1"/>
    <x v="1"/>
    <n v="5"/>
    <x v="4"/>
    <n v="4000"/>
    <n v="2435"/>
    <n v="2000"/>
    <n v="1800"/>
    <n v="-1565"/>
    <n v="200"/>
    <n v="635"/>
    <n v="2000"/>
    <n v="-1365"/>
    <n v="-0.39124999999999999"/>
    <n v="0.1"/>
    <n v="-0.6825"/>
    <n v="0.26078028747433263"/>
    <x v="1"/>
  </r>
  <r>
    <n v="18"/>
    <n v="100"/>
    <x v="0"/>
    <x v="1"/>
    <x v="1"/>
    <n v="6"/>
    <x v="5"/>
    <n v="7000"/>
    <n v="3018"/>
    <n v="3500"/>
    <n v="3100"/>
    <n v="-3982"/>
    <n v="400"/>
    <n v="-82"/>
    <n v="3500"/>
    <n v="-3582"/>
    <n v="-0.56885714285714284"/>
    <n v="0.11428571428571428"/>
    <n v="-1.0234285714285714"/>
    <n v="-2.7170311464546057E-2"/>
    <x v="1"/>
  </r>
  <r>
    <n v="19"/>
    <n v="100"/>
    <x v="0"/>
    <x v="1"/>
    <x v="1"/>
    <n v="7"/>
    <x v="6"/>
    <n v="2000"/>
    <n v="5266"/>
    <n v="666.66666666666663"/>
    <n v="333.33333333333337"/>
    <n v="3266"/>
    <n v="333.33333333333326"/>
    <n v="4932.666666666667"/>
    <n v="1333.3333333333335"/>
    <n v="3599.3333333333335"/>
    <n v="1.633"/>
    <n v="0.49999999999999989"/>
    <n v="2.6995"/>
    <n v="0.93670084820863408"/>
    <x v="1"/>
  </r>
  <r>
    <n v="20"/>
    <n v="100"/>
    <x v="0"/>
    <x v="1"/>
    <x v="1"/>
    <n v="8"/>
    <x v="7"/>
    <n v="5000"/>
    <n v="9171"/>
    <n v="2500"/>
    <n v="1900"/>
    <n v="4171"/>
    <n v="600"/>
    <n v="7271"/>
    <n v="2500"/>
    <n v="4771"/>
    <n v="0.83420000000000005"/>
    <n v="0.24"/>
    <n v="1.9084000000000001"/>
    <n v="0.79282520990077421"/>
    <x v="1"/>
  </r>
  <r>
    <n v="21"/>
    <n v="100"/>
    <x v="0"/>
    <x v="1"/>
    <x v="1"/>
    <n v="9"/>
    <x v="8"/>
    <n v="3000"/>
    <n v="6258"/>
    <n v="600"/>
    <n v="200"/>
    <n v="3258"/>
    <n v="400"/>
    <n v="6058"/>
    <n v="2400"/>
    <n v="3658"/>
    <n v="1.0860000000000001"/>
    <n v="0.66666666666666663"/>
    <n v="1.5241666666666667"/>
    <n v="0.96804090763822304"/>
    <x v="1"/>
  </r>
  <r>
    <n v="22"/>
    <n v="100"/>
    <x v="0"/>
    <x v="1"/>
    <x v="1"/>
    <n v="10"/>
    <x v="9"/>
    <n v="10000"/>
    <n v="7226"/>
    <n v="3333.3333333333335"/>
    <n v="2933.3333333333335"/>
    <n v="-2774"/>
    <n v="400"/>
    <n v="4292.6666666666661"/>
    <n v="6666.6666666666661"/>
    <n v="-2374"/>
    <n v="-0.27739999999999998"/>
    <n v="0.12"/>
    <n v="-0.35610000000000003"/>
    <n v="0.59405849248085607"/>
    <x v="1"/>
  </r>
  <r>
    <n v="23"/>
    <n v="100"/>
    <x v="0"/>
    <x v="1"/>
    <x v="1"/>
    <n v="11"/>
    <x v="10"/>
    <n v="3000"/>
    <n v="3828"/>
    <n v="1000"/>
    <n v="500"/>
    <n v="828"/>
    <n v="500"/>
    <n v="3328"/>
    <n v="2000"/>
    <n v="1328"/>
    <n v="0.27600000000000002"/>
    <n v="0.5"/>
    <n v="0.66400000000000003"/>
    <n v="0.86938349007314519"/>
    <x v="1"/>
  </r>
  <r>
    <n v="24"/>
    <n v="100"/>
    <x v="0"/>
    <x v="1"/>
    <x v="1"/>
    <n v="12"/>
    <x v="11"/>
    <n v="3000"/>
    <n v="8161"/>
    <n v="1500"/>
    <n v="900"/>
    <n v="5161"/>
    <n v="600"/>
    <n v="7261"/>
    <n v="1500"/>
    <n v="5761"/>
    <n v="1.7203333333333333"/>
    <n v="0.4"/>
    <n v="3.8406666666666665"/>
    <n v="0.88971939713270431"/>
    <x v="1"/>
  </r>
  <r>
    <n v="25"/>
    <n v="100"/>
    <x v="0"/>
    <x v="2"/>
    <x v="2"/>
    <n v="1"/>
    <x v="0"/>
    <n v="1000"/>
    <n v="5974"/>
    <n v="500"/>
    <n v="200"/>
    <n v="4974"/>
    <n v="300"/>
    <n v="5774"/>
    <n v="500"/>
    <n v="5274"/>
    <n v="4.9740000000000002"/>
    <n v="0.6"/>
    <n v="10.548"/>
    <n v="0.96652159357214595"/>
    <x v="2"/>
  </r>
  <r>
    <n v="26"/>
    <n v="100"/>
    <x v="0"/>
    <x v="2"/>
    <x v="2"/>
    <n v="2"/>
    <x v="1"/>
    <n v="4000"/>
    <n v="2443"/>
    <n v="800"/>
    <n v="200"/>
    <n v="-1557"/>
    <n v="600"/>
    <n v="2243"/>
    <n v="3200"/>
    <n v="-957"/>
    <n v="-0.38924999999999998"/>
    <n v="0.75"/>
    <n v="-0.29906250000000001"/>
    <n v="0.9181334424887434"/>
    <x v="2"/>
  </r>
  <r>
    <n v="27"/>
    <n v="100"/>
    <x v="0"/>
    <x v="2"/>
    <x v="2"/>
    <n v="3"/>
    <x v="2"/>
    <n v="1000"/>
    <n v="3321"/>
    <n v="250"/>
    <n v="250"/>
    <n v="2321"/>
    <n v="0"/>
    <n v="3071"/>
    <n v="750"/>
    <n v="2321"/>
    <n v="2.3210000000000002"/>
    <n v="0"/>
    <n v="3.0946666666666665"/>
    <n v="0.92472146943691658"/>
    <x v="2"/>
  </r>
  <r>
    <n v="28"/>
    <n v="100"/>
    <x v="0"/>
    <x v="2"/>
    <x v="2"/>
    <n v="4"/>
    <x v="3"/>
    <n v="7000"/>
    <n v="6836"/>
    <n v="3500"/>
    <n v="3200"/>
    <n v="-164"/>
    <n v="300"/>
    <n v="3636"/>
    <n v="3500"/>
    <n v="136"/>
    <n v="-2.3428571428571427E-2"/>
    <n v="8.5714285714285715E-2"/>
    <n v="3.8857142857142854E-2"/>
    <n v="0.53188999414862492"/>
    <x v="2"/>
  </r>
  <r>
    <n v="29"/>
    <n v="100"/>
    <x v="0"/>
    <x v="2"/>
    <x v="2"/>
    <n v="5"/>
    <x v="4"/>
    <n v="6000"/>
    <n v="3565"/>
    <n v="1500"/>
    <n v="1500"/>
    <n v="-2435"/>
    <n v="0"/>
    <n v="2065"/>
    <n v="4500"/>
    <n v="-2435"/>
    <n v="-0.40583333333333332"/>
    <n v="0"/>
    <n v="-0.5411111111111111"/>
    <n v="0.57924263674614307"/>
    <x v="2"/>
  </r>
  <r>
    <n v="30"/>
    <n v="100"/>
    <x v="0"/>
    <x v="2"/>
    <x v="2"/>
    <n v="6"/>
    <x v="5"/>
    <n v="1000"/>
    <n v="8362"/>
    <n v="200"/>
    <n v="400"/>
    <n v="7362"/>
    <n v="-200"/>
    <n v="7962"/>
    <n v="800"/>
    <n v="7162"/>
    <n v="7.3620000000000001"/>
    <n v="-1"/>
    <n v="8.9525000000000006"/>
    <n v="0.95216455393446542"/>
    <x v="2"/>
  </r>
  <r>
    <n v="31"/>
    <n v="100"/>
    <x v="0"/>
    <x v="2"/>
    <x v="2"/>
    <n v="7"/>
    <x v="6"/>
    <n v="6000"/>
    <n v="7253"/>
    <n v="3000"/>
    <n v="2700"/>
    <n v="1253"/>
    <n v="300"/>
    <n v="4553"/>
    <n v="3000"/>
    <n v="1553"/>
    <n v="0.20883333333333334"/>
    <n v="0.1"/>
    <n v="0.51766666666666672"/>
    <n v="0.62774024541569007"/>
    <x v="2"/>
  </r>
  <r>
    <n v="32"/>
    <n v="100"/>
    <x v="0"/>
    <x v="2"/>
    <x v="2"/>
    <n v="8"/>
    <x v="7"/>
    <n v="7000"/>
    <n v="5653"/>
    <n v="2333.3333333333335"/>
    <n v="1833.3333333333335"/>
    <n v="-1347"/>
    <n v="500"/>
    <n v="3819.6666666666665"/>
    <n v="4666.6666666666661"/>
    <n v="-846.99999999999955"/>
    <n v="-0.19242857142857142"/>
    <n v="0.21428571428571427"/>
    <n v="-0.18149999999999994"/>
    <n v="0.67568842502506044"/>
    <x v="2"/>
  </r>
  <r>
    <n v="33"/>
    <n v="100"/>
    <x v="0"/>
    <x v="2"/>
    <x v="2"/>
    <n v="9"/>
    <x v="8"/>
    <n v="4000"/>
    <n v="2122"/>
    <n v="800"/>
    <n v="600"/>
    <n v="-1878"/>
    <n v="200"/>
    <n v="1522"/>
    <n v="3200"/>
    <n v="-1678"/>
    <n v="-0.46949999999999997"/>
    <n v="0.25"/>
    <n v="-0.52437500000000004"/>
    <n v="0.71724787935909518"/>
    <x v="2"/>
  </r>
  <r>
    <n v="34"/>
    <n v="100"/>
    <x v="0"/>
    <x v="2"/>
    <x v="2"/>
    <n v="10"/>
    <x v="9"/>
    <n v="1000"/>
    <n v="6646"/>
    <n v="250"/>
    <n v="150"/>
    <n v="5646"/>
    <n v="100"/>
    <n v="6496"/>
    <n v="750"/>
    <n v="5746"/>
    <n v="5.6459999999999999"/>
    <n v="0.4"/>
    <n v="7.6613333333333333"/>
    <n v="0.97743003310261811"/>
    <x v="2"/>
  </r>
  <r>
    <n v="35"/>
    <n v="100"/>
    <x v="0"/>
    <x v="2"/>
    <x v="2"/>
    <n v="11"/>
    <x v="10"/>
    <n v="2000"/>
    <n v="2974"/>
    <n v="400"/>
    <n v="300"/>
    <n v="974"/>
    <n v="100"/>
    <n v="2674"/>
    <n v="1600"/>
    <n v="1074"/>
    <n v="0.48699999999999999"/>
    <n v="0.25"/>
    <n v="0.67125000000000001"/>
    <n v="0.89912575655682581"/>
    <x v="2"/>
  </r>
  <r>
    <n v="36"/>
    <n v="100"/>
    <x v="0"/>
    <x v="2"/>
    <x v="2"/>
    <n v="12"/>
    <x v="11"/>
    <n v="1000"/>
    <n v="3623"/>
    <n v="200"/>
    <n v="500"/>
    <n v="2623"/>
    <n v="-300"/>
    <n v="3123"/>
    <n v="800"/>
    <n v="2323"/>
    <n v="2.6230000000000002"/>
    <n v="-1.5"/>
    <n v="2.9037500000000001"/>
    <n v="0.86199282362682861"/>
    <x v="2"/>
  </r>
  <r>
    <n v="37"/>
    <n v="100"/>
    <x v="0"/>
    <x v="3"/>
    <x v="3"/>
    <n v="1"/>
    <x v="0"/>
    <n v="8000"/>
    <n v="3324"/>
    <n v="2000"/>
    <n v="1700"/>
    <n v="-4676"/>
    <n v="300"/>
    <n v="1624"/>
    <n v="6000"/>
    <n v="-4376"/>
    <n v="-0.58450000000000002"/>
    <n v="0.15"/>
    <n v="-0.72933333333333328"/>
    <n v="0.48856799037304455"/>
    <x v="3"/>
  </r>
  <r>
    <n v="38"/>
    <n v="100"/>
    <x v="0"/>
    <x v="3"/>
    <x v="3"/>
    <n v="2"/>
    <x v="1"/>
    <n v="8000"/>
    <n v="10000"/>
    <n v="2000"/>
    <n v="1900"/>
    <n v="2000"/>
    <n v="100"/>
    <n v="8100"/>
    <n v="6000"/>
    <n v="2100"/>
    <n v="0.25"/>
    <n v="0.05"/>
    <n v="0.35"/>
    <n v="0.81"/>
    <x v="3"/>
  </r>
  <r>
    <n v="39"/>
    <n v="100"/>
    <x v="0"/>
    <x v="3"/>
    <x v="3"/>
    <n v="3"/>
    <x v="2"/>
    <n v="5000"/>
    <n v="9847"/>
    <n v="1666.6666666666667"/>
    <n v="1566.6666666666667"/>
    <n v="4847"/>
    <n v="100"/>
    <n v="8280.3333333333339"/>
    <n v="3333.333333333333"/>
    <n v="4947.0000000000009"/>
    <n v="0.96940000000000004"/>
    <n v="0.06"/>
    <n v="1.4841000000000004"/>
    <n v="0.84089908940117131"/>
    <x v="3"/>
  </r>
  <r>
    <n v="40"/>
    <n v="100"/>
    <x v="0"/>
    <x v="3"/>
    <x v="3"/>
    <n v="4"/>
    <x v="3"/>
    <n v="4000"/>
    <n v="2332"/>
    <n v="1333.3333333333333"/>
    <n v="533.33333333333326"/>
    <n v="-1668"/>
    <n v="800"/>
    <n v="1798.6666666666667"/>
    <n v="2666.666666666667"/>
    <n v="-868.00000000000023"/>
    <n v="-0.41699999999999998"/>
    <n v="0.60000000000000009"/>
    <n v="-0.32550000000000007"/>
    <n v="0.77129788450543169"/>
    <x v="3"/>
  </r>
  <r>
    <n v="41"/>
    <n v="100"/>
    <x v="0"/>
    <x v="3"/>
    <x v="3"/>
    <n v="5"/>
    <x v="4"/>
    <n v="2000"/>
    <n v="2442"/>
    <n v="666.66666666666663"/>
    <n v="133.33333333333337"/>
    <n v="442"/>
    <n v="533.33333333333326"/>
    <n v="2308.6666666666665"/>
    <n v="1333.3333333333335"/>
    <n v="975.33333333333303"/>
    <n v="0.221"/>
    <n v="0.79999999999999993"/>
    <n v="0.73149999999999971"/>
    <n v="0.94539994539994532"/>
    <x v="3"/>
  </r>
  <r>
    <n v="42"/>
    <n v="100"/>
    <x v="0"/>
    <x v="3"/>
    <x v="3"/>
    <n v="6"/>
    <x v="5"/>
    <n v="1000"/>
    <n v="7441"/>
    <n v="333.33333333333331"/>
    <n v="566.66666666666674"/>
    <n v="6441"/>
    <n v="-233.33333333333343"/>
    <n v="6874.333333333333"/>
    <n v="666.66666666666674"/>
    <n v="6207.6666666666661"/>
    <n v="6.4409999999999998"/>
    <n v="-0.70000000000000029"/>
    <n v="9.3114999999999988"/>
    <n v="0.92384536128656536"/>
    <x v="3"/>
  </r>
  <r>
    <n v="43"/>
    <n v="100"/>
    <x v="0"/>
    <x v="3"/>
    <x v="3"/>
    <n v="7"/>
    <x v="6"/>
    <n v="9000"/>
    <n v="6777"/>
    <n v="1800"/>
    <n v="1400"/>
    <n v="-2223"/>
    <n v="400"/>
    <n v="5377"/>
    <n v="7200"/>
    <n v="-1823"/>
    <n v="-0.247"/>
    <n v="0.22222222222222221"/>
    <n v="-0.25319444444444444"/>
    <n v="0.79341891692489297"/>
    <x v="3"/>
  </r>
  <r>
    <n v="44"/>
    <n v="100"/>
    <x v="0"/>
    <x v="3"/>
    <x v="3"/>
    <n v="8"/>
    <x v="7"/>
    <n v="7000"/>
    <n v="5273"/>
    <n v="3500"/>
    <n v="3400"/>
    <n v="-1727"/>
    <n v="100"/>
    <n v="1873"/>
    <n v="3500"/>
    <n v="-1627"/>
    <n v="-0.24671428571428572"/>
    <n v="2.8571428571428571E-2"/>
    <n v="-0.46485714285714286"/>
    <n v="0.3552057652190404"/>
    <x v="3"/>
  </r>
  <r>
    <n v="45"/>
    <n v="100"/>
    <x v="0"/>
    <x v="3"/>
    <x v="3"/>
    <n v="9"/>
    <x v="8"/>
    <n v="8000"/>
    <n v="5347"/>
    <n v="2666.6666666666665"/>
    <n v="2266.6666666666665"/>
    <n v="-2653"/>
    <n v="400"/>
    <n v="3080.3333333333335"/>
    <n v="5333.3333333333339"/>
    <n v="-2253.0000000000005"/>
    <n v="-0.331625"/>
    <n v="0.15000000000000002"/>
    <n v="-0.42243750000000002"/>
    <n v="0.5760862789102924"/>
    <x v="3"/>
  </r>
  <r>
    <n v="46"/>
    <n v="100"/>
    <x v="0"/>
    <x v="3"/>
    <x v="3"/>
    <n v="10"/>
    <x v="9"/>
    <n v="3000"/>
    <n v="7341"/>
    <n v="1000"/>
    <n v="900"/>
    <n v="4341"/>
    <n v="100"/>
    <n v="6441"/>
    <n v="2000"/>
    <n v="4441"/>
    <n v="1.4470000000000001"/>
    <n v="0.1"/>
    <n v="2.2204999999999999"/>
    <n v="0.87740089906007357"/>
    <x v="3"/>
  </r>
  <r>
    <n v="47"/>
    <n v="100"/>
    <x v="0"/>
    <x v="3"/>
    <x v="3"/>
    <n v="11"/>
    <x v="10"/>
    <n v="5000"/>
    <n v="2882"/>
    <n v="2500"/>
    <n v="2400"/>
    <n v="-2118"/>
    <n v="100"/>
    <n v="482"/>
    <n v="2500"/>
    <n v="-2018"/>
    <n v="-0.42359999999999998"/>
    <n v="0.04"/>
    <n v="-0.80720000000000003"/>
    <n v="0.16724496877168632"/>
    <x v="3"/>
  </r>
  <r>
    <n v="48"/>
    <n v="100"/>
    <x v="0"/>
    <x v="3"/>
    <x v="3"/>
    <n v="12"/>
    <x v="11"/>
    <n v="3000"/>
    <n v="4451"/>
    <n v="1000"/>
    <n v="300"/>
    <n v="1451"/>
    <n v="700"/>
    <n v="4151"/>
    <n v="2000"/>
    <n v="2151"/>
    <n v="0.48366666666666669"/>
    <n v="0.7"/>
    <n v="1.0754999999999999"/>
    <n v="0.93259941586160411"/>
    <x v="3"/>
  </r>
  <r>
    <n v="49"/>
    <n v="100"/>
    <x v="0"/>
    <x v="4"/>
    <x v="4"/>
    <n v="1"/>
    <x v="0"/>
    <n v="3000"/>
    <n v="4373"/>
    <n v="1500"/>
    <n v="1500"/>
    <n v="1373"/>
    <n v="0"/>
    <n v="2873"/>
    <n v="1500"/>
    <n v="1373"/>
    <n v="0.45766666666666667"/>
    <n v="0"/>
    <n v="0.91533333333333333"/>
    <n v="0.65698605076606453"/>
    <x v="4"/>
  </r>
  <r>
    <n v="50"/>
    <n v="100"/>
    <x v="0"/>
    <x v="4"/>
    <x v="4"/>
    <n v="2"/>
    <x v="1"/>
    <n v="1000"/>
    <n v="7152"/>
    <n v="200"/>
    <n v="600"/>
    <n v="6152"/>
    <n v="-400"/>
    <n v="6552"/>
    <n v="800"/>
    <n v="5752"/>
    <n v="6.1520000000000001"/>
    <n v="-2"/>
    <n v="7.19"/>
    <n v="0.91610738255033553"/>
    <x v="4"/>
  </r>
  <r>
    <n v="51"/>
    <n v="100"/>
    <x v="0"/>
    <x v="4"/>
    <x v="4"/>
    <n v="3"/>
    <x v="2"/>
    <n v="4000"/>
    <n v="2152"/>
    <n v="2000"/>
    <n v="1700"/>
    <n v="-1848"/>
    <n v="300"/>
    <n v="452"/>
    <n v="2000"/>
    <n v="-1548"/>
    <n v="-0.46200000000000002"/>
    <n v="0.15"/>
    <n v="-0.77400000000000002"/>
    <n v="0.2100371747211896"/>
    <x v="4"/>
  </r>
  <r>
    <n v="52"/>
    <n v="100"/>
    <x v="0"/>
    <x v="4"/>
    <x v="4"/>
    <n v="4"/>
    <x v="3"/>
    <n v="1000"/>
    <n v="5183"/>
    <n v="500"/>
    <n v="200"/>
    <n v="4183"/>
    <n v="300"/>
    <n v="4983"/>
    <n v="500"/>
    <n v="4483"/>
    <n v="4.1829999999999998"/>
    <n v="0.6"/>
    <n v="8.9659999999999993"/>
    <n v="0.96141230947327805"/>
    <x v="4"/>
  </r>
  <r>
    <n v="53"/>
    <n v="100"/>
    <x v="0"/>
    <x v="4"/>
    <x v="4"/>
    <n v="5"/>
    <x v="4"/>
    <n v="3000"/>
    <n v="8548"/>
    <n v="600"/>
    <n v="600"/>
    <n v="5548"/>
    <n v="0"/>
    <n v="7948"/>
    <n v="2400"/>
    <n v="5548"/>
    <n v="1.8493333333333333"/>
    <n v="0"/>
    <n v="2.3116666666666665"/>
    <n v="0.92980814225549835"/>
    <x v="4"/>
  </r>
  <r>
    <n v="54"/>
    <n v="100"/>
    <x v="0"/>
    <x v="4"/>
    <x v="4"/>
    <n v="6"/>
    <x v="5"/>
    <n v="2000"/>
    <n v="2237"/>
    <n v="666.66666666666663"/>
    <n v="266.66666666666663"/>
    <n v="237"/>
    <n v="400"/>
    <n v="1970.3333333333335"/>
    <n v="1333.3333333333335"/>
    <n v="637"/>
    <n v="0.11849999999999999"/>
    <n v="0.60000000000000009"/>
    <n v="0.47774999999999995"/>
    <n v="0.88079272835642985"/>
    <x v="4"/>
  </r>
  <r>
    <n v="55"/>
    <n v="100"/>
    <x v="0"/>
    <x v="4"/>
    <x v="4"/>
    <n v="7"/>
    <x v="6"/>
    <n v="4000"/>
    <n v="4365"/>
    <n v="1333.3333333333333"/>
    <n v="533.33333333333326"/>
    <n v="365"/>
    <n v="800"/>
    <n v="3831.666666666667"/>
    <n v="2666.666666666667"/>
    <n v="1165"/>
    <n v="9.1249999999999998E-2"/>
    <n v="0.60000000000000009"/>
    <n v="0.43687499999999996"/>
    <n v="0.87781596029018716"/>
    <x v="4"/>
  </r>
  <r>
    <n v="56"/>
    <n v="100"/>
    <x v="0"/>
    <x v="4"/>
    <x v="4"/>
    <n v="8"/>
    <x v="7"/>
    <n v="2000"/>
    <n v="2253"/>
    <n v="500"/>
    <n v="400"/>
    <n v="253"/>
    <n v="100"/>
    <n v="1853"/>
    <n v="1500"/>
    <n v="353"/>
    <n v="0.1265"/>
    <n v="0.2"/>
    <n v="0.23533333333333334"/>
    <n v="0.82245894363071459"/>
    <x v="4"/>
  </r>
  <r>
    <n v="57"/>
    <n v="100"/>
    <x v="0"/>
    <x v="4"/>
    <x v="4"/>
    <n v="9"/>
    <x v="8"/>
    <n v="2000"/>
    <n v="2455"/>
    <n v="1000"/>
    <n v="500"/>
    <n v="455"/>
    <n v="500"/>
    <n v="1955"/>
    <n v="1000"/>
    <n v="955"/>
    <n v="0.22750000000000001"/>
    <n v="0.5"/>
    <n v="0.95499999999999996"/>
    <n v="0.79633401221995925"/>
    <x v="4"/>
  </r>
  <r>
    <n v="58"/>
    <n v="100"/>
    <x v="0"/>
    <x v="4"/>
    <x v="4"/>
    <n v="10"/>
    <x v="9"/>
    <n v="4000"/>
    <n v="5164"/>
    <n v="2000"/>
    <n v="1800"/>
    <n v="1164"/>
    <n v="200"/>
    <n v="3364"/>
    <n v="2000"/>
    <n v="1364"/>
    <n v="0.29099999999999998"/>
    <n v="0.1"/>
    <n v="0.68200000000000005"/>
    <n v="0.65143299767621998"/>
    <x v="4"/>
  </r>
  <r>
    <n v="59"/>
    <n v="100"/>
    <x v="0"/>
    <x v="4"/>
    <x v="4"/>
    <n v="11"/>
    <x v="10"/>
    <n v="5000"/>
    <n v="5223"/>
    <n v="2500"/>
    <n v="2000"/>
    <n v="223"/>
    <n v="500"/>
    <n v="3223"/>
    <n v="2500"/>
    <n v="723"/>
    <n v="4.4600000000000001E-2"/>
    <n v="0.2"/>
    <n v="0.28920000000000001"/>
    <n v="0.61707830748611914"/>
    <x v="4"/>
  </r>
  <r>
    <n v="60"/>
    <n v="100"/>
    <x v="0"/>
    <x v="4"/>
    <x v="4"/>
    <n v="12"/>
    <x v="11"/>
    <n v="7000"/>
    <n v="2174"/>
    <n v="1400"/>
    <n v="1400"/>
    <n v="-4826"/>
    <n v="0"/>
    <n v="774"/>
    <n v="5600"/>
    <n v="-4826"/>
    <n v="-0.68942857142857139"/>
    <n v="0"/>
    <n v="-0.86178571428571427"/>
    <n v="0.35602575896964123"/>
    <x v="4"/>
  </r>
  <r>
    <n v="61"/>
    <n v="101"/>
    <x v="1"/>
    <x v="0"/>
    <x v="0"/>
    <n v="1"/>
    <x v="0"/>
    <n v="8000"/>
    <n v="10325"/>
    <n v="1600"/>
    <n v="1100"/>
    <n v="2325"/>
    <n v="500"/>
    <n v="9225"/>
    <n v="6400"/>
    <n v="2825"/>
    <n v="0.29062500000000002"/>
    <n v="0.3125"/>
    <n v="0.44140625"/>
    <n v="0.89346246973365617"/>
    <x v="5"/>
  </r>
  <r>
    <n v="62"/>
    <n v="101"/>
    <x v="1"/>
    <x v="0"/>
    <x v="0"/>
    <n v="2"/>
    <x v="1"/>
    <n v="5000"/>
    <n v="5222"/>
    <n v="1000"/>
    <n v="800"/>
    <n v="222"/>
    <n v="200"/>
    <n v="4422"/>
    <n v="4000"/>
    <n v="422"/>
    <n v="4.4400000000000002E-2"/>
    <n v="0.2"/>
    <n v="0.1055"/>
    <n v="0.84680199157410951"/>
    <x v="5"/>
  </r>
  <r>
    <n v="63"/>
    <n v="101"/>
    <x v="1"/>
    <x v="0"/>
    <x v="0"/>
    <n v="3"/>
    <x v="2"/>
    <n v="2000"/>
    <n v="2139"/>
    <n v="1000"/>
    <n v="600"/>
    <n v="139"/>
    <n v="400"/>
    <n v="1539"/>
    <n v="1000"/>
    <n v="539"/>
    <n v="6.9500000000000006E-2"/>
    <n v="0.4"/>
    <n v="0.53900000000000003"/>
    <n v="0.71949509116409538"/>
    <x v="5"/>
  </r>
  <r>
    <n v="64"/>
    <n v="101"/>
    <x v="1"/>
    <x v="0"/>
    <x v="0"/>
    <n v="4"/>
    <x v="3"/>
    <n v="6000"/>
    <n v="3859"/>
    <n v="1200"/>
    <n v="1200"/>
    <n v="-2141"/>
    <n v="0"/>
    <n v="2659"/>
    <n v="4800"/>
    <n v="-2141"/>
    <n v="-0.35683333333333334"/>
    <n v="0"/>
    <n v="-0.44604166666666667"/>
    <n v="0.68903861103912933"/>
    <x v="5"/>
  </r>
  <r>
    <n v="65"/>
    <n v="101"/>
    <x v="1"/>
    <x v="0"/>
    <x v="0"/>
    <n v="5"/>
    <x v="4"/>
    <n v="1000"/>
    <n v="2236"/>
    <n v="333.33333333333331"/>
    <n v="766.66666666666674"/>
    <n v="1236"/>
    <n v="-433.33333333333343"/>
    <n v="1469.3333333333333"/>
    <n v="666.66666666666674"/>
    <n v="802.66666666666652"/>
    <n v="1.236"/>
    <n v="-1.3000000000000003"/>
    <n v="1.2039999999999997"/>
    <n v="0.65712581991651753"/>
    <x v="5"/>
  </r>
  <r>
    <n v="66"/>
    <n v="101"/>
    <x v="1"/>
    <x v="0"/>
    <x v="0"/>
    <n v="6"/>
    <x v="5"/>
    <n v="1000"/>
    <n v="6353"/>
    <n v="333.33333333333331"/>
    <n v="133.33333333333331"/>
    <n v="5353"/>
    <n v="200"/>
    <n v="6219.666666666667"/>
    <n v="666.66666666666674"/>
    <n v="5553"/>
    <n v="5.3529999999999998"/>
    <n v="0.60000000000000009"/>
    <n v="8.3294999999999995"/>
    <n v="0.97901254000734561"/>
    <x v="5"/>
  </r>
  <r>
    <n v="67"/>
    <n v="101"/>
    <x v="1"/>
    <x v="0"/>
    <x v="0"/>
    <n v="7"/>
    <x v="6"/>
    <n v="3000"/>
    <n v="5666"/>
    <n v="750"/>
    <n v="450"/>
    <n v="2666"/>
    <n v="300"/>
    <n v="5216"/>
    <n v="2250"/>
    <n v="2966"/>
    <n v="0.88866666666666672"/>
    <n v="0.4"/>
    <n v="1.3182222222222222"/>
    <n v="0.92057889163430995"/>
    <x v="5"/>
  </r>
  <r>
    <n v="68"/>
    <n v="101"/>
    <x v="1"/>
    <x v="0"/>
    <x v="0"/>
    <n v="8"/>
    <x v="7"/>
    <n v="8000"/>
    <n v="9444"/>
    <n v="2666.6666666666665"/>
    <n v="2566.6666666666665"/>
    <n v="1444"/>
    <n v="100"/>
    <n v="6877.3333333333339"/>
    <n v="5333.3333333333339"/>
    <n v="1544"/>
    <n v="0.18049999999999999"/>
    <n v="3.7500000000000006E-2"/>
    <n v="0.28949999999999998"/>
    <n v="0.72822250458845128"/>
    <x v="5"/>
  </r>
  <r>
    <n v="69"/>
    <n v="101"/>
    <x v="1"/>
    <x v="0"/>
    <x v="0"/>
    <n v="9"/>
    <x v="8"/>
    <n v="2000"/>
    <n v="4831"/>
    <n v="1000"/>
    <n v="700"/>
    <n v="2831"/>
    <n v="300"/>
    <n v="4131"/>
    <n v="1000"/>
    <n v="3131"/>
    <n v="1.4155"/>
    <n v="0.3"/>
    <n v="3.1309999999999998"/>
    <n v="0.85510246325812456"/>
    <x v="5"/>
  </r>
  <r>
    <n v="70"/>
    <n v="101"/>
    <x v="1"/>
    <x v="0"/>
    <x v="0"/>
    <n v="10"/>
    <x v="9"/>
    <n v="6000"/>
    <n v="8644"/>
    <n v="1500"/>
    <n v="1400"/>
    <n v="2644"/>
    <n v="100"/>
    <n v="7244"/>
    <n v="4500"/>
    <n v="2744"/>
    <n v="0.44066666666666665"/>
    <n v="6.6666666666666666E-2"/>
    <n v="0.60977777777777775"/>
    <n v="0.83803794539565013"/>
    <x v="5"/>
  </r>
  <r>
    <n v="71"/>
    <n v="101"/>
    <x v="1"/>
    <x v="0"/>
    <x v="0"/>
    <n v="11"/>
    <x v="10"/>
    <n v="4000"/>
    <n v="3826"/>
    <n v="1333.3333333333333"/>
    <n v="1233.3333333333333"/>
    <n v="-174"/>
    <n v="100"/>
    <n v="2592.666666666667"/>
    <n v="2666.666666666667"/>
    <n v="-74"/>
    <n v="-4.3499999999999997E-2"/>
    <n v="7.5000000000000011E-2"/>
    <n v="-2.7749999999999997E-2"/>
    <n v="0.67764418888308076"/>
    <x v="5"/>
  </r>
  <r>
    <n v="72"/>
    <n v="101"/>
    <x v="1"/>
    <x v="0"/>
    <x v="0"/>
    <n v="12"/>
    <x v="11"/>
    <n v="4000"/>
    <n v="2454"/>
    <n v="800"/>
    <n v="600"/>
    <n v="-1546"/>
    <n v="200"/>
    <n v="1854"/>
    <n v="3200"/>
    <n v="-1346"/>
    <n v="-0.38650000000000001"/>
    <n v="0.25"/>
    <n v="-0.42062500000000003"/>
    <n v="0.75550122249388751"/>
    <x v="5"/>
  </r>
  <r>
    <n v="73"/>
    <n v="101"/>
    <x v="1"/>
    <x v="1"/>
    <x v="1"/>
    <n v="1"/>
    <x v="0"/>
    <n v="4000"/>
    <n v="7634"/>
    <n v="1333.3333333333333"/>
    <n v="633.33333333333326"/>
    <n v="3634"/>
    <n v="700"/>
    <n v="7000.666666666667"/>
    <n v="2666.666666666667"/>
    <n v="4334"/>
    <n v="0.90849999999999997"/>
    <n v="0.52500000000000002"/>
    <n v="1.6252499999999999"/>
    <n v="0.91703781329141565"/>
    <x v="6"/>
  </r>
  <r>
    <n v="74"/>
    <n v="101"/>
    <x v="1"/>
    <x v="1"/>
    <x v="1"/>
    <n v="2"/>
    <x v="1"/>
    <n v="7000"/>
    <n v="6264"/>
    <n v="3500"/>
    <n v="3000"/>
    <n v="-736"/>
    <n v="500"/>
    <n v="3264"/>
    <n v="3500"/>
    <n v="-236"/>
    <n v="-0.10514285714285715"/>
    <n v="0.14285714285714285"/>
    <n v="-6.7428571428571435E-2"/>
    <n v="0.52107279693486586"/>
    <x v="6"/>
  </r>
  <r>
    <n v="75"/>
    <n v="101"/>
    <x v="1"/>
    <x v="1"/>
    <x v="1"/>
    <n v="3"/>
    <x v="2"/>
    <n v="1000"/>
    <n v="5142"/>
    <n v="500"/>
    <n v="200"/>
    <n v="4142"/>
    <n v="300"/>
    <n v="4942"/>
    <n v="500"/>
    <n v="4442"/>
    <n v="4.1420000000000003"/>
    <n v="0.6"/>
    <n v="8.8840000000000003"/>
    <n v="0.96110462854920264"/>
    <x v="6"/>
  </r>
  <r>
    <n v="76"/>
    <n v="101"/>
    <x v="1"/>
    <x v="1"/>
    <x v="1"/>
    <n v="4"/>
    <x v="3"/>
    <n v="3000"/>
    <n v="8316"/>
    <n v="600"/>
    <n v="200"/>
    <n v="5316"/>
    <n v="400"/>
    <n v="8116"/>
    <n v="2400"/>
    <n v="5716"/>
    <n v="1.772"/>
    <n v="0.66666666666666663"/>
    <n v="2.3816666666666668"/>
    <n v="0.9759499759499759"/>
    <x v="6"/>
  </r>
  <r>
    <n v="77"/>
    <n v="101"/>
    <x v="1"/>
    <x v="1"/>
    <x v="1"/>
    <n v="5"/>
    <x v="4"/>
    <n v="2000"/>
    <n v="2872"/>
    <n v="500"/>
    <n v="300"/>
    <n v="872"/>
    <n v="200"/>
    <n v="2572"/>
    <n v="1500"/>
    <n v="1072"/>
    <n v="0.436"/>
    <n v="0.4"/>
    <n v="0.71466666666666667"/>
    <n v="0.8955431754874652"/>
    <x v="6"/>
  </r>
  <r>
    <n v="78"/>
    <n v="101"/>
    <x v="1"/>
    <x v="1"/>
    <x v="1"/>
    <n v="6"/>
    <x v="5"/>
    <n v="5000"/>
    <n v="5255"/>
    <n v="1250"/>
    <n v="850"/>
    <n v="255"/>
    <n v="400"/>
    <n v="4405"/>
    <n v="3750"/>
    <n v="655"/>
    <n v="5.0999999999999997E-2"/>
    <n v="0.32"/>
    <n v="0.17466666666666666"/>
    <n v="0.83824928639391061"/>
    <x v="6"/>
  </r>
  <r>
    <n v="79"/>
    <n v="101"/>
    <x v="1"/>
    <x v="1"/>
    <x v="1"/>
    <n v="7"/>
    <x v="6"/>
    <n v="5000"/>
    <n v="2452"/>
    <n v="1250"/>
    <n v="1250"/>
    <n v="-2548"/>
    <n v="0"/>
    <n v="1202"/>
    <n v="3750"/>
    <n v="-2548"/>
    <n v="-0.50960000000000005"/>
    <n v="0"/>
    <n v="-0.67946666666666666"/>
    <n v="0.4902120717781403"/>
    <x v="6"/>
  </r>
  <r>
    <n v="80"/>
    <n v="101"/>
    <x v="1"/>
    <x v="1"/>
    <x v="1"/>
    <n v="8"/>
    <x v="7"/>
    <n v="7000"/>
    <n v="6244"/>
    <n v="2333.3333333333335"/>
    <n v="1833.3333333333335"/>
    <n v="-756"/>
    <n v="500"/>
    <n v="4410.6666666666661"/>
    <n v="4666.6666666666661"/>
    <n v="-256"/>
    <n v="-0.108"/>
    <n v="0.21428571428571427"/>
    <n v="-5.4857142857142861E-2"/>
    <n v="0.70638479607089466"/>
    <x v="6"/>
  </r>
  <r>
    <n v="81"/>
    <n v="101"/>
    <x v="1"/>
    <x v="1"/>
    <x v="1"/>
    <n v="9"/>
    <x v="8"/>
    <n v="2000"/>
    <n v="6261"/>
    <n v="666.66666666666663"/>
    <n v="466.66666666666663"/>
    <n v="4261"/>
    <n v="200"/>
    <n v="5794.333333333333"/>
    <n v="1333.3333333333335"/>
    <n v="4461"/>
    <n v="2.1305000000000001"/>
    <n v="0.30000000000000004"/>
    <n v="3.3457499999999998"/>
    <n v="0.92546451578555067"/>
    <x v="6"/>
  </r>
  <r>
    <n v="82"/>
    <n v="101"/>
    <x v="1"/>
    <x v="1"/>
    <x v="1"/>
    <n v="10"/>
    <x v="9"/>
    <n v="5000"/>
    <n v="2751"/>
    <n v="1666.6666666666667"/>
    <n v="1366.6666666666667"/>
    <n v="-2249"/>
    <n v="300"/>
    <n v="1384.3333333333333"/>
    <n v="3333.333333333333"/>
    <n v="-1948.9999999999998"/>
    <n v="-0.44979999999999998"/>
    <n v="0.18"/>
    <n v="-0.5847"/>
    <n v="0.5032109535926329"/>
    <x v="6"/>
  </r>
  <r>
    <n v="83"/>
    <n v="101"/>
    <x v="1"/>
    <x v="1"/>
    <x v="1"/>
    <n v="11"/>
    <x v="10"/>
    <n v="8000"/>
    <n v="6017"/>
    <n v="2666.6666666666665"/>
    <n v="2266.6666666666665"/>
    <n v="-1983"/>
    <n v="400"/>
    <n v="3750.3333333333335"/>
    <n v="5333.3333333333339"/>
    <n v="-1583.0000000000005"/>
    <n v="-0.24787500000000001"/>
    <n v="0.15000000000000002"/>
    <n v="-0.29681250000000003"/>
    <n v="0.62328956844496153"/>
    <x v="6"/>
  </r>
  <r>
    <n v="84"/>
    <n v="101"/>
    <x v="1"/>
    <x v="1"/>
    <x v="1"/>
    <n v="12"/>
    <x v="11"/>
    <n v="1000"/>
    <n v="3142"/>
    <n v="200"/>
    <n v="600"/>
    <n v="2142"/>
    <n v="-400"/>
    <n v="2542"/>
    <n v="800"/>
    <n v="1742"/>
    <n v="2.1419999999999999"/>
    <n v="-2"/>
    <n v="2.1775000000000002"/>
    <n v="0.80903882877148314"/>
    <x v="6"/>
  </r>
  <r>
    <n v="85"/>
    <n v="101"/>
    <x v="1"/>
    <x v="2"/>
    <x v="2"/>
    <n v="1"/>
    <x v="0"/>
    <n v="4000"/>
    <n v="3768"/>
    <n v="800"/>
    <n v="800"/>
    <n v="-232"/>
    <n v="0"/>
    <n v="2968"/>
    <n v="3200"/>
    <n v="-232"/>
    <n v="-5.8000000000000003E-2"/>
    <n v="0"/>
    <n v="-7.2499999999999995E-2"/>
    <n v="0.78768577494692149"/>
    <x v="7"/>
  </r>
  <r>
    <n v="86"/>
    <n v="101"/>
    <x v="1"/>
    <x v="2"/>
    <x v="2"/>
    <n v="2"/>
    <x v="1"/>
    <n v="10000"/>
    <n v="9744"/>
    <n v="2000"/>
    <n v="1700"/>
    <n v="-256"/>
    <n v="300"/>
    <n v="8044"/>
    <n v="8000"/>
    <n v="44"/>
    <n v="-2.5600000000000001E-2"/>
    <n v="0.15"/>
    <n v="5.4999999999999997E-3"/>
    <n v="0.82553366174055831"/>
    <x v="7"/>
  </r>
  <r>
    <n v="87"/>
    <n v="101"/>
    <x v="1"/>
    <x v="2"/>
    <x v="2"/>
    <n v="3"/>
    <x v="2"/>
    <n v="3000"/>
    <n v="5737"/>
    <n v="1000"/>
    <n v="1000"/>
    <n v="2737"/>
    <n v="0"/>
    <n v="4737"/>
    <n v="2000"/>
    <n v="2737"/>
    <n v="0.91233333333333333"/>
    <n v="0"/>
    <n v="1.3685"/>
    <n v="0.82569287083841725"/>
    <x v="7"/>
  </r>
  <r>
    <n v="88"/>
    <n v="101"/>
    <x v="1"/>
    <x v="2"/>
    <x v="2"/>
    <n v="4"/>
    <x v="3"/>
    <n v="5000"/>
    <n v="5551"/>
    <n v="1250"/>
    <n v="1050"/>
    <n v="551"/>
    <n v="200"/>
    <n v="4501"/>
    <n v="3750"/>
    <n v="751"/>
    <n v="0.11020000000000001"/>
    <n v="0.16"/>
    <n v="0.20026666666666668"/>
    <n v="0.81084489281210592"/>
    <x v="7"/>
  </r>
  <r>
    <n v="89"/>
    <n v="101"/>
    <x v="1"/>
    <x v="2"/>
    <x v="2"/>
    <n v="5"/>
    <x v="4"/>
    <n v="1000"/>
    <n v="7562"/>
    <n v="333.33333333333331"/>
    <n v="333.33333333333331"/>
    <n v="6562"/>
    <n v="0"/>
    <n v="7228.666666666667"/>
    <n v="666.66666666666674"/>
    <n v="6562"/>
    <n v="6.5620000000000003"/>
    <n v="0"/>
    <n v="9.8429999999999982"/>
    <n v="0.95591995063034474"/>
    <x v="7"/>
  </r>
  <r>
    <n v="90"/>
    <n v="101"/>
    <x v="1"/>
    <x v="2"/>
    <x v="2"/>
    <n v="6"/>
    <x v="5"/>
    <n v="2000"/>
    <n v="6848"/>
    <n v="400"/>
    <n v="400"/>
    <n v="4848"/>
    <n v="0"/>
    <n v="6448"/>
    <n v="1600"/>
    <n v="4848"/>
    <n v="2.4239999999999999"/>
    <n v="0"/>
    <n v="3.03"/>
    <n v="0.94158878504672894"/>
    <x v="7"/>
  </r>
  <r>
    <n v="91"/>
    <n v="101"/>
    <x v="1"/>
    <x v="2"/>
    <x v="2"/>
    <n v="7"/>
    <x v="6"/>
    <n v="1000"/>
    <n v="6416"/>
    <n v="250"/>
    <n v="150"/>
    <n v="5416"/>
    <n v="100"/>
    <n v="6266"/>
    <n v="750"/>
    <n v="5516"/>
    <n v="5.4160000000000004"/>
    <n v="0.4"/>
    <n v="7.3546666666666667"/>
    <n v="0.97662094763092266"/>
    <x v="7"/>
  </r>
  <r>
    <n v="92"/>
    <n v="101"/>
    <x v="1"/>
    <x v="2"/>
    <x v="2"/>
    <n v="8"/>
    <x v="7"/>
    <n v="5000"/>
    <n v="3337"/>
    <n v="1666.6666666666667"/>
    <n v="1466.6666666666667"/>
    <n v="-1663"/>
    <n v="200"/>
    <n v="1870.3333333333333"/>
    <n v="3333.333333333333"/>
    <n v="-1462.9999999999998"/>
    <n v="-0.33260000000000001"/>
    <n v="0.12"/>
    <n v="-0.43889999999999996"/>
    <n v="0.5604834681849965"/>
    <x v="7"/>
  </r>
  <r>
    <n v="93"/>
    <n v="101"/>
    <x v="1"/>
    <x v="2"/>
    <x v="2"/>
    <n v="9"/>
    <x v="8"/>
    <n v="5000"/>
    <n v="2325"/>
    <n v="1000"/>
    <n v="300"/>
    <n v="-2675"/>
    <n v="700"/>
    <n v="2025"/>
    <n v="4000"/>
    <n v="-1975"/>
    <n v="-0.53500000000000003"/>
    <n v="0.7"/>
    <n v="-0.49375000000000002"/>
    <n v="0.87096774193548387"/>
    <x v="7"/>
  </r>
  <r>
    <n v="94"/>
    <n v="101"/>
    <x v="1"/>
    <x v="2"/>
    <x v="2"/>
    <n v="10"/>
    <x v="9"/>
    <n v="4000"/>
    <n v="4352"/>
    <n v="1000"/>
    <n v="900"/>
    <n v="352"/>
    <n v="100"/>
    <n v="3452"/>
    <n v="3000"/>
    <n v="452"/>
    <n v="8.7999999999999995E-2"/>
    <n v="0.1"/>
    <n v="0.15066666666666667"/>
    <n v="0.79319852941176472"/>
    <x v="7"/>
  </r>
  <r>
    <n v="95"/>
    <n v="101"/>
    <x v="1"/>
    <x v="2"/>
    <x v="2"/>
    <n v="11"/>
    <x v="10"/>
    <n v="4000"/>
    <n v="5222"/>
    <n v="1333.3333333333333"/>
    <n v="933.33333333333326"/>
    <n v="1222"/>
    <n v="400"/>
    <n v="4288.666666666667"/>
    <n v="2666.666666666667"/>
    <n v="1622"/>
    <n v="0.30549999999999999"/>
    <n v="0.30000000000000004"/>
    <n v="0.60824999999999996"/>
    <n v="0.82126899016979449"/>
    <x v="7"/>
  </r>
  <r>
    <n v="96"/>
    <n v="101"/>
    <x v="1"/>
    <x v="2"/>
    <x v="2"/>
    <n v="12"/>
    <x v="11"/>
    <n v="3000"/>
    <n v="7616"/>
    <n v="1500"/>
    <n v="1500"/>
    <n v="4616"/>
    <n v="0"/>
    <n v="6116"/>
    <n v="1500"/>
    <n v="4616"/>
    <n v="1.5386666666666666"/>
    <n v="0"/>
    <n v="3.0773333333333333"/>
    <n v="0.80304621848739499"/>
    <x v="7"/>
  </r>
  <r>
    <n v="97"/>
    <n v="101"/>
    <x v="1"/>
    <x v="3"/>
    <x v="3"/>
    <n v="1"/>
    <x v="0"/>
    <n v="4000"/>
    <n v="5333"/>
    <n v="1333.3333333333333"/>
    <n v="933.33333333333326"/>
    <n v="1333"/>
    <n v="400"/>
    <n v="4399.666666666667"/>
    <n v="2666.666666666667"/>
    <n v="1733"/>
    <n v="0.33324999999999999"/>
    <n v="0.30000000000000004"/>
    <n v="0.64987499999999998"/>
    <n v="0.82498906181636356"/>
    <x v="8"/>
  </r>
  <r>
    <n v="98"/>
    <n v="101"/>
    <x v="1"/>
    <x v="3"/>
    <x v="3"/>
    <n v="2"/>
    <x v="1"/>
    <n v="4000"/>
    <n v="4144"/>
    <n v="2000"/>
    <n v="1500"/>
    <n v="144"/>
    <n v="500"/>
    <n v="2644"/>
    <n v="2000"/>
    <n v="644"/>
    <n v="3.5999999999999997E-2"/>
    <n v="0.25"/>
    <n v="0.32200000000000001"/>
    <n v="0.63803088803088803"/>
    <x v="8"/>
  </r>
  <r>
    <n v="99"/>
    <n v="101"/>
    <x v="1"/>
    <x v="3"/>
    <x v="3"/>
    <n v="3"/>
    <x v="2"/>
    <n v="6000"/>
    <n v="5432"/>
    <n v="1200"/>
    <n v="900"/>
    <n v="-568"/>
    <n v="300"/>
    <n v="4532"/>
    <n v="4800"/>
    <n v="-268"/>
    <n v="-9.4666666666666663E-2"/>
    <n v="0.25"/>
    <n v="-5.5833333333333332E-2"/>
    <n v="0.83431516936671579"/>
    <x v="8"/>
  </r>
  <r>
    <n v="100"/>
    <n v="101"/>
    <x v="1"/>
    <x v="3"/>
    <x v="3"/>
    <n v="4"/>
    <x v="3"/>
    <n v="3000"/>
    <n v="7357"/>
    <n v="1500"/>
    <n v="1300"/>
    <n v="4357"/>
    <n v="200"/>
    <n v="6057"/>
    <n v="1500"/>
    <n v="4557"/>
    <n v="1.4523333333333333"/>
    <n v="0.13333333333333333"/>
    <n v="3.0379999999999998"/>
    <n v="0.82329753975805353"/>
    <x v="8"/>
  </r>
  <r>
    <n v="101"/>
    <n v="101"/>
    <x v="1"/>
    <x v="3"/>
    <x v="3"/>
    <n v="5"/>
    <x v="4"/>
    <n v="3000"/>
    <n v="3233"/>
    <n v="600"/>
    <n v="300"/>
    <n v="233"/>
    <n v="300"/>
    <n v="2933"/>
    <n v="2400"/>
    <n v="533"/>
    <n v="7.7666666666666662E-2"/>
    <n v="0.5"/>
    <n v="0.22208333333333333"/>
    <n v="0.90720692854933493"/>
    <x v="8"/>
  </r>
  <r>
    <n v="102"/>
    <n v="101"/>
    <x v="1"/>
    <x v="3"/>
    <x v="3"/>
    <n v="6"/>
    <x v="5"/>
    <n v="3000"/>
    <n v="3522"/>
    <n v="1000"/>
    <n v="800"/>
    <n v="522"/>
    <n v="200"/>
    <n v="2722"/>
    <n v="2000"/>
    <n v="722"/>
    <n v="0.17399999999999999"/>
    <n v="0.2"/>
    <n v="0.36099999999999999"/>
    <n v="0.77285633162975587"/>
    <x v="8"/>
  </r>
  <r>
    <n v="103"/>
    <n v="101"/>
    <x v="1"/>
    <x v="3"/>
    <x v="3"/>
    <n v="7"/>
    <x v="6"/>
    <n v="4000"/>
    <n v="6814"/>
    <n v="1333.3333333333333"/>
    <n v="733.33333333333326"/>
    <n v="2814"/>
    <n v="600"/>
    <n v="6080.666666666667"/>
    <n v="2666.666666666667"/>
    <n v="3414"/>
    <n v="0.70350000000000001"/>
    <n v="0.45"/>
    <n v="1.2802499999999999"/>
    <n v="0.89237843655219651"/>
    <x v="8"/>
  </r>
  <r>
    <n v="104"/>
    <n v="101"/>
    <x v="1"/>
    <x v="3"/>
    <x v="3"/>
    <n v="8"/>
    <x v="7"/>
    <n v="5000"/>
    <n v="9509"/>
    <n v="1666.6666666666667"/>
    <n v="1366.6666666666667"/>
    <n v="4509"/>
    <n v="300"/>
    <n v="8142.333333333333"/>
    <n v="3333.333333333333"/>
    <n v="4809"/>
    <n v="0.90180000000000005"/>
    <n v="0.18"/>
    <n v="1.4427000000000001"/>
    <n v="0.85627650997300797"/>
    <x v="8"/>
  </r>
  <r>
    <n v="105"/>
    <n v="101"/>
    <x v="1"/>
    <x v="3"/>
    <x v="3"/>
    <n v="9"/>
    <x v="8"/>
    <n v="6000"/>
    <n v="4422"/>
    <n v="2000"/>
    <n v="1500"/>
    <n v="-1578"/>
    <n v="500"/>
    <n v="2922"/>
    <n v="4000"/>
    <n v="-1078"/>
    <n v="-0.26300000000000001"/>
    <n v="0.25"/>
    <n v="-0.26950000000000002"/>
    <n v="0.66078697421981003"/>
    <x v="8"/>
  </r>
  <r>
    <n v="106"/>
    <n v="101"/>
    <x v="1"/>
    <x v="3"/>
    <x v="3"/>
    <n v="10"/>
    <x v="9"/>
    <n v="6000"/>
    <n v="4246"/>
    <n v="1200"/>
    <n v="1000"/>
    <n v="-1754"/>
    <n v="200"/>
    <n v="3246"/>
    <n v="4800"/>
    <n v="-1554"/>
    <n v="-0.29233333333333333"/>
    <n v="0.16666666666666666"/>
    <n v="-0.32374999999999998"/>
    <n v="0.76448422044276965"/>
    <x v="8"/>
  </r>
  <r>
    <n v="107"/>
    <n v="101"/>
    <x v="1"/>
    <x v="3"/>
    <x v="3"/>
    <n v="11"/>
    <x v="10"/>
    <n v="5000"/>
    <n v="5519"/>
    <n v="1666.6666666666667"/>
    <n v="866.66666666666674"/>
    <n v="519"/>
    <n v="800"/>
    <n v="4652.333333333333"/>
    <n v="3333.333333333333"/>
    <n v="1319"/>
    <n v="0.1038"/>
    <n v="0.48"/>
    <n v="0.39570000000000005"/>
    <n v="0.84296672102434012"/>
    <x v="8"/>
  </r>
  <r>
    <n v="108"/>
    <n v="101"/>
    <x v="1"/>
    <x v="3"/>
    <x v="3"/>
    <n v="12"/>
    <x v="11"/>
    <n v="4000"/>
    <n v="3646"/>
    <n v="2000"/>
    <n v="1400"/>
    <n v="-354"/>
    <n v="600"/>
    <n v="2246"/>
    <n v="2000"/>
    <n v="246"/>
    <n v="-8.8499999999999995E-2"/>
    <n v="0.3"/>
    <n v="0.123"/>
    <n v="0.61601755348326936"/>
    <x v="8"/>
  </r>
  <r>
    <n v="109"/>
    <n v="101"/>
    <x v="1"/>
    <x v="4"/>
    <x v="4"/>
    <n v="1"/>
    <x v="0"/>
    <n v="9000"/>
    <n v="3111"/>
    <n v="3000"/>
    <n v="2600"/>
    <n v="-5889"/>
    <n v="400"/>
    <n v="511"/>
    <n v="6000"/>
    <n v="-5489"/>
    <n v="-0.65433333333333332"/>
    <n v="0.13333333333333333"/>
    <n v="-0.91483333333333339"/>
    <n v="0.16425586628093861"/>
    <x v="9"/>
  </r>
  <r>
    <n v="110"/>
    <n v="101"/>
    <x v="1"/>
    <x v="4"/>
    <x v="4"/>
    <n v="2"/>
    <x v="1"/>
    <n v="4000"/>
    <n v="8578"/>
    <n v="2000"/>
    <n v="1900"/>
    <n v="4578"/>
    <n v="100"/>
    <n v="6678"/>
    <n v="2000"/>
    <n v="4678"/>
    <n v="1.1445000000000001"/>
    <n v="0.05"/>
    <n v="2.339"/>
    <n v="0.77850314758685013"/>
    <x v="9"/>
  </r>
  <r>
    <n v="111"/>
    <n v="101"/>
    <x v="1"/>
    <x v="4"/>
    <x v="4"/>
    <n v="3"/>
    <x v="2"/>
    <n v="7000"/>
    <n v="2533"/>
    <n v="2333.3333333333335"/>
    <n v="2133.3333333333335"/>
    <n v="-4467"/>
    <n v="200"/>
    <n v="399.66666666666652"/>
    <n v="4666.6666666666661"/>
    <n v="-4267"/>
    <n v="-0.63814285714285712"/>
    <n v="8.5714285714285715E-2"/>
    <n v="-0.91435714285714298"/>
    <n v="0.15778391893670213"/>
    <x v="9"/>
  </r>
  <r>
    <n v="112"/>
    <n v="101"/>
    <x v="1"/>
    <x v="4"/>
    <x v="4"/>
    <n v="4"/>
    <x v="3"/>
    <n v="1000"/>
    <n v="6466"/>
    <n v="333.33333333333331"/>
    <n v="133.33333333333331"/>
    <n v="5466"/>
    <n v="200"/>
    <n v="6332.666666666667"/>
    <n v="666.66666666666674"/>
    <n v="5666"/>
    <n v="5.4660000000000002"/>
    <n v="0.60000000000000009"/>
    <n v="8.4989999999999988"/>
    <n v="0.97937931745540785"/>
    <x v="9"/>
  </r>
  <r>
    <n v="113"/>
    <n v="101"/>
    <x v="1"/>
    <x v="4"/>
    <x v="4"/>
    <n v="5"/>
    <x v="4"/>
    <n v="1000"/>
    <n v="10761"/>
    <n v="250"/>
    <n v="150"/>
    <n v="9761"/>
    <n v="100"/>
    <n v="10611"/>
    <n v="750"/>
    <n v="9861"/>
    <n v="9.7609999999999992"/>
    <n v="0.4"/>
    <n v="13.148"/>
    <n v="0.98606077502090883"/>
    <x v="9"/>
  </r>
  <r>
    <n v="114"/>
    <n v="101"/>
    <x v="1"/>
    <x v="4"/>
    <x v="4"/>
    <n v="6"/>
    <x v="5"/>
    <n v="2000"/>
    <n v="5266"/>
    <n v="500"/>
    <n v="500"/>
    <n v="3266"/>
    <n v="0"/>
    <n v="4766"/>
    <n v="1500"/>
    <n v="3266"/>
    <n v="1.633"/>
    <n v="0"/>
    <n v="2.1773333333333333"/>
    <n v="0.90505127231295102"/>
    <x v="9"/>
  </r>
  <r>
    <n v="115"/>
    <n v="101"/>
    <x v="1"/>
    <x v="4"/>
    <x v="4"/>
    <n v="7"/>
    <x v="6"/>
    <n v="2000"/>
    <n v="8443"/>
    <n v="400"/>
    <n v="400"/>
    <n v="6443"/>
    <n v="0"/>
    <n v="8043"/>
    <n v="1600"/>
    <n v="6443"/>
    <n v="3.2214999999999998"/>
    <n v="0"/>
    <n v="4.0268750000000004"/>
    <n v="0.95262347506810374"/>
    <x v="9"/>
  </r>
  <r>
    <n v="116"/>
    <n v="101"/>
    <x v="1"/>
    <x v="4"/>
    <x v="4"/>
    <n v="8"/>
    <x v="7"/>
    <n v="5000"/>
    <n v="5788"/>
    <n v="1000"/>
    <n v="900"/>
    <n v="788"/>
    <n v="100"/>
    <n v="4888"/>
    <n v="4000"/>
    <n v="888"/>
    <n v="0.15759999999999999"/>
    <n v="0.1"/>
    <n v="0.222"/>
    <n v="0.84450587422252932"/>
    <x v="9"/>
  </r>
  <r>
    <n v="117"/>
    <n v="101"/>
    <x v="1"/>
    <x v="4"/>
    <x v="4"/>
    <n v="9"/>
    <x v="8"/>
    <n v="1000"/>
    <n v="2111"/>
    <n v="200"/>
    <n v="800"/>
    <n v="1111"/>
    <n v="-600"/>
    <n v="1311"/>
    <n v="800"/>
    <n v="511"/>
    <n v="1.111"/>
    <n v="-3"/>
    <n v="0.63875000000000004"/>
    <n v="0.62103268593083849"/>
    <x v="9"/>
  </r>
  <r>
    <n v="118"/>
    <n v="101"/>
    <x v="1"/>
    <x v="4"/>
    <x v="4"/>
    <n v="10"/>
    <x v="9"/>
    <n v="5000"/>
    <n v="3033"/>
    <n v="2500"/>
    <n v="2300"/>
    <n v="-1967"/>
    <n v="200"/>
    <n v="733"/>
    <n v="2500"/>
    <n v="-1767"/>
    <n v="-0.39340000000000003"/>
    <n v="0.08"/>
    <n v="-0.70679999999999998"/>
    <n v="0.24167490933069569"/>
    <x v="9"/>
  </r>
  <r>
    <n v="119"/>
    <n v="101"/>
    <x v="1"/>
    <x v="4"/>
    <x v="4"/>
    <n v="11"/>
    <x v="10"/>
    <n v="5000"/>
    <n v="8512"/>
    <n v="2500"/>
    <n v="1800"/>
    <n v="3512"/>
    <n v="700"/>
    <n v="6712"/>
    <n v="2500"/>
    <n v="4212"/>
    <n v="0.70240000000000002"/>
    <n v="0.28000000000000003"/>
    <n v="1.6848000000000001"/>
    <n v="0.7885338345864662"/>
    <x v="9"/>
  </r>
  <r>
    <n v="120"/>
    <n v="101"/>
    <x v="1"/>
    <x v="4"/>
    <x v="4"/>
    <n v="12"/>
    <x v="11"/>
    <n v="2000"/>
    <n v="2121"/>
    <n v="1000"/>
    <n v="800"/>
    <n v="121"/>
    <n v="200"/>
    <n v="1321"/>
    <n v="1000"/>
    <n v="321"/>
    <n v="6.0499999999999998E-2"/>
    <n v="0.2"/>
    <n v="0.32100000000000001"/>
    <n v="0.62281942479962282"/>
    <x v="9"/>
  </r>
  <r>
    <n v="121"/>
    <n v="102"/>
    <x v="2"/>
    <x v="0"/>
    <x v="0"/>
    <n v="1"/>
    <x v="0"/>
    <n v="3000"/>
    <n v="3375"/>
    <n v="1500"/>
    <n v="1500"/>
    <n v="375"/>
    <n v="0"/>
    <n v="1875"/>
    <n v="1500"/>
    <n v="375"/>
    <n v="0.125"/>
    <n v="0"/>
    <n v="0.25"/>
    <n v="0.55555555555555558"/>
    <x v="10"/>
  </r>
  <r>
    <n v="122"/>
    <n v="102"/>
    <x v="2"/>
    <x v="0"/>
    <x v="0"/>
    <n v="2"/>
    <x v="1"/>
    <n v="2000"/>
    <n v="7693"/>
    <n v="1000"/>
    <n v="800"/>
    <n v="5693"/>
    <n v="200"/>
    <n v="6893"/>
    <n v="1000"/>
    <n v="5893"/>
    <n v="2.8464999999999998"/>
    <n v="0.2"/>
    <n v="5.8929999999999998"/>
    <n v="0.89600935915767577"/>
    <x v="10"/>
  </r>
  <r>
    <n v="123"/>
    <n v="102"/>
    <x v="2"/>
    <x v="0"/>
    <x v="0"/>
    <n v="3"/>
    <x v="2"/>
    <n v="5000"/>
    <n v="6225"/>
    <n v="2500"/>
    <n v="2300"/>
    <n v="1225"/>
    <n v="200"/>
    <n v="3925"/>
    <n v="2500"/>
    <n v="1425"/>
    <n v="0.245"/>
    <n v="0.08"/>
    <n v="0.56999999999999995"/>
    <n v="0.63052208835341361"/>
    <x v="10"/>
  </r>
  <r>
    <n v="124"/>
    <n v="102"/>
    <x v="2"/>
    <x v="0"/>
    <x v="0"/>
    <n v="4"/>
    <x v="3"/>
    <n v="1000"/>
    <n v="5133"/>
    <n v="200"/>
    <n v="500"/>
    <n v="4133"/>
    <n v="-300"/>
    <n v="4633"/>
    <n v="800"/>
    <n v="3833"/>
    <n v="4.133"/>
    <n v="-1.5"/>
    <n v="4.7912499999999998"/>
    <n v="0.90259107734268462"/>
    <x v="10"/>
  </r>
  <r>
    <n v="125"/>
    <n v="102"/>
    <x v="2"/>
    <x v="0"/>
    <x v="0"/>
    <n v="5"/>
    <x v="4"/>
    <n v="1000"/>
    <n v="5525"/>
    <n v="250"/>
    <n v="150"/>
    <n v="4525"/>
    <n v="100"/>
    <n v="5375"/>
    <n v="750"/>
    <n v="4625"/>
    <n v="4.5250000000000004"/>
    <n v="0.4"/>
    <n v="6.166666666666667"/>
    <n v="0.97285067873303166"/>
    <x v="10"/>
  </r>
  <r>
    <n v="126"/>
    <n v="102"/>
    <x v="2"/>
    <x v="0"/>
    <x v="0"/>
    <n v="6"/>
    <x v="5"/>
    <n v="6000"/>
    <n v="5766"/>
    <n v="1500"/>
    <n v="800"/>
    <n v="-234"/>
    <n v="700"/>
    <n v="4966"/>
    <n v="4500"/>
    <n v="466"/>
    <n v="-3.9E-2"/>
    <n v="0.46666666666666667"/>
    <n v="0.10355555555555555"/>
    <n v="0.86125563648976755"/>
    <x v="10"/>
  </r>
  <r>
    <n v="127"/>
    <n v="102"/>
    <x v="2"/>
    <x v="0"/>
    <x v="0"/>
    <n v="7"/>
    <x v="6"/>
    <n v="5000"/>
    <n v="6267"/>
    <n v="1000"/>
    <n v="300"/>
    <n v="1267"/>
    <n v="700"/>
    <n v="5967"/>
    <n v="4000"/>
    <n v="1967"/>
    <n v="0.25340000000000001"/>
    <n v="0.7"/>
    <n v="0.49175000000000002"/>
    <n v="0.95213020584011487"/>
    <x v="10"/>
  </r>
  <r>
    <n v="128"/>
    <n v="102"/>
    <x v="2"/>
    <x v="0"/>
    <x v="0"/>
    <n v="8"/>
    <x v="7"/>
    <n v="4000"/>
    <n v="9103"/>
    <n v="2000"/>
    <n v="1900"/>
    <n v="5103"/>
    <n v="100"/>
    <n v="7203"/>
    <n v="2000"/>
    <n v="5203"/>
    <n v="1.2757499999999999"/>
    <n v="0.05"/>
    <n v="2.6015000000000001"/>
    <n v="0.791277600790948"/>
    <x v="10"/>
  </r>
  <r>
    <n v="129"/>
    <n v="102"/>
    <x v="2"/>
    <x v="0"/>
    <x v="0"/>
    <n v="9"/>
    <x v="8"/>
    <n v="3000"/>
    <n v="5341"/>
    <n v="1500"/>
    <n v="1100"/>
    <n v="2341"/>
    <n v="400"/>
    <n v="4241"/>
    <n v="1500"/>
    <n v="2741"/>
    <n v="0.78033333333333332"/>
    <n v="0.26666666666666666"/>
    <n v="1.8273333333333333"/>
    <n v="0.79404605879048862"/>
    <x v="10"/>
  </r>
  <r>
    <n v="130"/>
    <n v="102"/>
    <x v="2"/>
    <x v="0"/>
    <x v="0"/>
    <n v="10"/>
    <x v="9"/>
    <n v="4000"/>
    <n v="8972"/>
    <n v="1333.3333333333333"/>
    <n v="933.33333333333326"/>
    <n v="4972"/>
    <n v="400"/>
    <n v="8038.666666666667"/>
    <n v="2666.666666666667"/>
    <n v="5372"/>
    <n v="1.2430000000000001"/>
    <n v="0.30000000000000004"/>
    <n v="2.0145"/>
    <n v="0.89597265566949025"/>
    <x v="10"/>
  </r>
  <r>
    <n v="131"/>
    <n v="102"/>
    <x v="2"/>
    <x v="0"/>
    <x v="0"/>
    <n v="11"/>
    <x v="10"/>
    <n v="6000"/>
    <n v="4111"/>
    <n v="1200"/>
    <n v="1100"/>
    <n v="-1889"/>
    <n v="100"/>
    <n v="3011"/>
    <n v="4800"/>
    <n v="-1789"/>
    <n v="-0.31483333333333335"/>
    <n v="8.3333333333333329E-2"/>
    <n v="-0.37270833333333331"/>
    <n v="0.73242520068109951"/>
    <x v="10"/>
  </r>
  <r>
    <n v="132"/>
    <n v="102"/>
    <x v="2"/>
    <x v="0"/>
    <x v="0"/>
    <n v="12"/>
    <x v="11"/>
    <n v="4000"/>
    <n v="4667"/>
    <n v="800"/>
    <n v="600"/>
    <n v="667"/>
    <n v="200"/>
    <n v="4067"/>
    <n v="3200"/>
    <n v="867"/>
    <n v="0.16675000000000001"/>
    <n v="0.25"/>
    <n v="0.2709375"/>
    <n v="0.87143775444611105"/>
    <x v="10"/>
  </r>
  <r>
    <n v="133"/>
    <n v="102"/>
    <x v="2"/>
    <x v="1"/>
    <x v="1"/>
    <n v="1"/>
    <x v="0"/>
    <n v="6000"/>
    <n v="2115"/>
    <n v="1200"/>
    <n v="1200"/>
    <n v="-3885"/>
    <n v="0"/>
    <n v="915"/>
    <n v="4800"/>
    <n v="-3885"/>
    <n v="-0.64749999999999996"/>
    <n v="0"/>
    <n v="-0.80937499999999996"/>
    <n v="0.43262411347517732"/>
    <x v="11"/>
  </r>
  <r>
    <n v="134"/>
    <n v="102"/>
    <x v="2"/>
    <x v="1"/>
    <x v="1"/>
    <n v="2"/>
    <x v="1"/>
    <n v="3000"/>
    <n v="8165"/>
    <n v="750"/>
    <n v="350"/>
    <n v="5165"/>
    <n v="400"/>
    <n v="7815"/>
    <n v="2250"/>
    <n v="5565"/>
    <n v="1.7216666666666667"/>
    <n v="0.53333333333333333"/>
    <n v="2.4733333333333332"/>
    <n v="0.95713410900183715"/>
    <x v="11"/>
  </r>
  <r>
    <n v="135"/>
    <n v="102"/>
    <x v="2"/>
    <x v="1"/>
    <x v="1"/>
    <n v="3"/>
    <x v="2"/>
    <n v="2000"/>
    <n v="5344"/>
    <n v="500"/>
    <n v="500"/>
    <n v="3344"/>
    <n v="0"/>
    <n v="4844"/>
    <n v="1500"/>
    <n v="3344"/>
    <n v="1.6719999999999999"/>
    <n v="0"/>
    <n v="2.2293333333333334"/>
    <n v="0.90643712574850299"/>
    <x v="11"/>
  </r>
  <r>
    <n v="136"/>
    <n v="102"/>
    <x v="2"/>
    <x v="1"/>
    <x v="1"/>
    <n v="4"/>
    <x v="3"/>
    <n v="4000"/>
    <n v="2882"/>
    <n v="1333.3333333333333"/>
    <n v="833.33333333333326"/>
    <n v="-1118"/>
    <n v="500"/>
    <n v="2048.666666666667"/>
    <n v="2666.666666666667"/>
    <n v="-618"/>
    <n v="-0.27950000000000003"/>
    <n v="0.375"/>
    <n v="-0.23174999999999998"/>
    <n v="0.71084894749016891"/>
    <x v="11"/>
  </r>
  <r>
    <n v="137"/>
    <n v="102"/>
    <x v="2"/>
    <x v="1"/>
    <x v="1"/>
    <n v="5"/>
    <x v="4"/>
    <n v="2000"/>
    <n v="5223"/>
    <n v="1000"/>
    <n v="1000"/>
    <n v="3223"/>
    <n v="0"/>
    <n v="4223"/>
    <n v="1000"/>
    <n v="3223"/>
    <n v="1.6114999999999999"/>
    <n v="0"/>
    <n v="3.2229999999999999"/>
    <n v="0.80853915374305951"/>
    <x v="11"/>
  </r>
  <r>
    <n v="138"/>
    <n v="102"/>
    <x v="2"/>
    <x v="1"/>
    <x v="1"/>
    <n v="6"/>
    <x v="5"/>
    <n v="2000"/>
    <n v="2154"/>
    <n v="500"/>
    <n v="500"/>
    <n v="154"/>
    <n v="0"/>
    <n v="1654"/>
    <n v="1500"/>
    <n v="154"/>
    <n v="7.6999999999999999E-2"/>
    <n v="0"/>
    <n v="0.10266666666666667"/>
    <n v="0.76787372330547821"/>
    <x v="11"/>
  </r>
  <r>
    <n v="139"/>
    <n v="102"/>
    <x v="2"/>
    <x v="1"/>
    <x v="1"/>
    <n v="7"/>
    <x v="6"/>
    <n v="2000"/>
    <n v="3534"/>
    <n v="500"/>
    <n v="300"/>
    <n v="1534"/>
    <n v="200"/>
    <n v="3234"/>
    <n v="1500"/>
    <n v="1734"/>
    <n v="0.76700000000000002"/>
    <n v="0.4"/>
    <n v="1.1559999999999999"/>
    <n v="0.91511035653650252"/>
    <x v="11"/>
  </r>
  <r>
    <n v="140"/>
    <n v="102"/>
    <x v="2"/>
    <x v="1"/>
    <x v="1"/>
    <n v="8"/>
    <x v="7"/>
    <n v="6000"/>
    <n v="4122"/>
    <n v="3000"/>
    <n v="2600"/>
    <n v="-1878"/>
    <n v="400"/>
    <n v="1522"/>
    <n v="3000"/>
    <n v="-1478"/>
    <n v="-0.313"/>
    <n v="0.13333333333333333"/>
    <n v="-0.49266666666666664"/>
    <n v="0.36923823386705484"/>
    <x v="11"/>
  </r>
  <r>
    <n v="141"/>
    <n v="102"/>
    <x v="2"/>
    <x v="1"/>
    <x v="1"/>
    <n v="9"/>
    <x v="8"/>
    <n v="8000"/>
    <n v="7579"/>
    <n v="1600"/>
    <n v="1500"/>
    <n v="-421"/>
    <n v="100"/>
    <n v="6079"/>
    <n v="6400"/>
    <n v="-321"/>
    <n v="-5.2624999999999998E-2"/>
    <n v="6.25E-2"/>
    <n v="-5.0156249999999999E-2"/>
    <n v="0.80208470774508511"/>
    <x v="11"/>
  </r>
  <r>
    <n v="142"/>
    <n v="102"/>
    <x v="2"/>
    <x v="1"/>
    <x v="1"/>
    <n v="10"/>
    <x v="9"/>
    <n v="9000"/>
    <n v="8932"/>
    <n v="3000"/>
    <n v="2600"/>
    <n v="-68"/>
    <n v="400"/>
    <n v="6332"/>
    <n v="6000"/>
    <n v="332"/>
    <n v="-7.5555555555555558E-3"/>
    <n v="0.13333333333333333"/>
    <n v="5.5333333333333332E-2"/>
    <n v="0.70891177787729509"/>
    <x v="11"/>
  </r>
  <r>
    <n v="143"/>
    <n v="102"/>
    <x v="2"/>
    <x v="1"/>
    <x v="1"/>
    <n v="11"/>
    <x v="10"/>
    <n v="4000"/>
    <n v="4587"/>
    <n v="800"/>
    <n v="200"/>
    <n v="587"/>
    <n v="600"/>
    <n v="4387"/>
    <n v="3200"/>
    <n v="1187"/>
    <n v="0.14674999999999999"/>
    <n v="0.75"/>
    <n v="0.37093749999999998"/>
    <n v="0.95639851754959671"/>
    <x v="11"/>
  </r>
  <r>
    <n v="144"/>
    <n v="102"/>
    <x v="2"/>
    <x v="1"/>
    <x v="1"/>
    <n v="12"/>
    <x v="11"/>
    <n v="6000"/>
    <n v="7065"/>
    <n v="3000"/>
    <n v="2800"/>
    <n v="1065"/>
    <n v="200"/>
    <n v="4265"/>
    <n v="3000"/>
    <n v="1265"/>
    <n v="0.17749999999999999"/>
    <n v="6.6666666666666666E-2"/>
    <n v="0.42166666666666669"/>
    <n v="0.60368011323425341"/>
    <x v="11"/>
  </r>
  <r>
    <n v="145"/>
    <n v="102"/>
    <x v="2"/>
    <x v="2"/>
    <x v="2"/>
    <n v="1"/>
    <x v="0"/>
    <n v="2000"/>
    <n v="3526"/>
    <n v="400"/>
    <n v="100"/>
    <n v="1526"/>
    <n v="300"/>
    <n v="3426"/>
    <n v="1600"/>
    <n v="1826"/>
    <n v="0.76300000000000001"/>
    <n v="0.75"/>
    <n v="1.1412500000000001"/>
    <n v="0.97163925127623374"/>
    <x v="12"/>
  </r>
  <r>
    <n v="146"/>
    <n v="102"/>
    <x v="2"/>
    <x v="2"/>
    <x v="2"/>
    <n v="2"/>
    <x v="1"/>
    <n v="1000"/>
    <n v="5533"/>
    <n v="200"/>
    <n v="600"/>
    <n v="4533"/>
    <n v="-400"/>
    <n v="4933"/>
    <n v="800"/>
    <n v="4133"/>
    <n v="4.5330000000000004"/>
    <n v="-2"/>
    <n v="5.1662499999999998"/>
    <n v="0.89155973251400689"/>
    <x v="12"/>
  </r>
  <r>
    <n v="147"/>
    <n v="102"/>
    <x v="2"/>
    <x v="2"/>
    <x v="2"/>
    <n v="3"/>
    <x v="2"/>
    <n v="2000"/>
    <n v="8988"/>
    <n v="500"/>
    <n v="300"/>
    <n v="6988"/>
    <n v="200"/>
    <n v="8688"/>
    <n v="1500"/>
    <n v="7188"/>
    <n v="3.4940000000000002"/>
    <n v="0.4"/>
    <n v="4.7919999999999998"/>
    <n v="0.96662216288384517"/>
    <x v="12"/>
  </r>
  <r>
    <n v="148"/>
    <n v="102"/>
    <x v="2"/>
    <x v="2"/>
    <x v="2"/>
    <n v="4"/>
    <x v="3"/>
    <n v="4000"/>
    <n v="5514"/>
    <n v="1333.3333333333333"/>
    <n v="833.33333333333326"/>
    <n v="1514"/>
    <n v="500"/>
    <n v="4680.666666666667"/>
    <n v="2666.666666666667"/>
    <n v="2014"/>
    <n v="0.3785"/>
    <n v="0.375"/>
    <n v="0.75524999999999987"/>
    <n v="0.84886954419054539"/>
    <x v="12"/>
  </r>
  <r>
    <n v="149"/>
    <n v="102"/>
    <x v="2"/>
    <x v="2"/>
    <x v="2"/>
    <n v="5"/>
    <x v="4"/>
    <n v="7000"/>
    <n v="6246"/>
    <n v="3500"/>
    <n v="3000"/>
    <n v="-754"/>
    <n v="500"/>
    <n v="3246"/>
    <n v="3500"/>
    <n v="-254"/>
    <n v="-0.10771428571428572"/>
    <n v="0.14285714285714285"/>
    <n v="-7.2571428571428565E-2"/>
    <n v="0.51969260326609035"/>
    <x v="12"/>
  </r>
  <r>
    <n v="150"/>
    <n v="102"/>
    <x v="2"/>
    <x v="2"/>
    <x v="2"/>
    <n v="6"/>
    <x v="5"/>
    <n v="9000"/>
    <n v="5178"/>
    <n v="3000"/>
    <n v="3000"/>
    <n v="-3822"/>
    <n v="0"/>
    <n v="2178"/>
    <n v="6000"/>
    <n v="-3822"/>
    <n v="-0.42466666666666669"/>
    <n v="0"/>
    <n v="-0.63700000000000001"/>
    <n v="0.42062572421784472"/>
    <x v="12"/>
  </r>
  <r>
    <n v="151"/>
    <n v="102"/>
    <x v="2"/>
    <x v="2"/>
    <x v="2"/>
    <n v="7"/>
    <x v="6"/>
    <n v="4000"/>
    <n v="5565"/>
    <n v="800"/>
    <n v="200"/>
    <n v="1565"/>
    <n v="600"/>
    <n v="5365"/>
    <n v="3200"/>
    <n v="2165"/>
    <n v="0.39124999999999999"/>
    <n v="0.75"/>
    <n v="0.67656249999999996"/>
    <n v="0.96406109613656787"/>
    <x v="12"/>
  </r>
  <r>
    <n v="152"/>
    <n v="102"/>
    <x v="2"/>
    <x v="2"/>
    <x v="2"/>
    <n v="8"/>
    <x v="7"/>
    <n v="2000"/>
    <n v="4137"/>
    <n v="666.66666666666663"/>
    <n v="366.66666666666663"/>
    <n v="2137"/>
    <n v="300"/>
    <n v="3770.3333333333335"/>
    <n v="1333.3333333333335"/>
    <n v="2437"/>
    <n v="1.0685"/>
    <n v="0.45"/>
    <n v="1.8277499999999998"/>
    <n v="0.91136894690194181"/>
    <x v="12"/>
  </r>
  <r>
    <n v="153"/>
    <n v="102"/>
    <x v="2"/>
    <x v="2"/>
    <x v="2"/>
    <n v="9"/>
    <x v="8"/>
    <n v="3000"/>
    <n v="5442"/>
    <n v="1500"/>
    <n v="1100"/>
    <n v="2442"/>
    <n v="400"/>
    <n v="4342"/>
    <n v="1500"/>
    <n v="2842"/>
    <n v="0.81399999999999995"/>
    <n v="0.26666666666666666"/>
    <n v="1.8946666666666667"/>
    <n v="0.79786843072399849"/>
    <x v="12"/>
  </r>
  <r>
    <n v="154"/>
    <n v="102"/>
    <x v="2"/>
    <x v="2"/>
    <x v="2"/>
    <n v="10"/>
    <x v="9"/>
    <n v="5000"/>
    <n v="2453"/>
    <n v="1000"/>
    <n v="500"/>
    <n v="-2547"/>
    <n v="500"/>
    <n v="1953"/>
    <n v="4000"/>
    <n v="-2047"/>
    <n v="-0.50939999999999996"/>
    <n v="0.5"/>
    <n v="-0.51175000000000004"/>
    <n v="0.79616795760293513"/>
    <x v="12"/>
  </r>
  <r>
    <n v="155"/>
    <n v="102"/>
    <x v="2"/>
    <x v="2"/>
    <x v="2"/>
    <n v="11"/>
    <x v="10"/>
    <n v="2000"/>
    <n v="5726"/>
    <n v="500"/>
    <n v="100"/>
    <n v="3726"/>
    <n v="400"/>
    <n v="5626"/>
    <n v="1500"/>
    <n v="4126"/>
    <n v="1.863"/>
    <n v="0.8"/>
    <n v="2.7506666666666666"/>
    <n v="0.98253580160670628"/>
    <x v="12"/>
  </r>
  <r>
    <n v="156"/>
    <n v="102"/>
    <x v="2"/>
    <x v="2"/>
    <x v="2"/>
    <n v="12"/>
    <x v="11"/>
    <n v="1000"/>
    <n v="5652"/>
    <n v="200"/>
    <n v="200"/>
    <n v="4652"/>
    <n v="0"/>
    <n v="5452"/>
    <n v="800"/>
    <n v="4652"/>
    <n v="4.6520000000000001"/>
    <n v="0"/>
    <n v="5.8150000000000004"/>
    <n v="0.96461429582448688"/>
    <x v="12"/>
  </r>
  <r>
    <n v="157"/>
    <n v="102"/>
    <x v="2"/>
    <x v="3"/>
    <x v="3"/>
    <n v="1"/>
    <x v="0"/>
    <n v="1000"/>
    <n v="4714"/>
    <n v="200"/>
    <n v="100"/>
    <n v="3714"/>
    <n v="100"/>
    <n v="4614"/>
    <n v="800"/>
    <n v="3814"/>
    <n v="3.714"/>
    <n v="0.5"/>
    <n v="4.7675000000000001"/>
    <n v="0.97878659312685612"/>
    <x v="13"/>
  </r>
  <r>
    <n v="158"/>
    <n v="102"/>
    <x v="2"/>
    <x v="3"/>
    <x v="3"/>
    <n v="2"/>
    <x v="1"/>
    <n v="3000"/>
    <n v="5201"/>
    <n v="750"/>
    <n v="750"/>
    <n v="2201"/>
    <n v="0"/>
    <n v="4451"/>
    <n v="2250"/>
    <n v="2201"/>
    <n v="0.73366666666666669"/>
    <n v="0"/>
    <n v="0.97822222222222222"/>
    <n v="0.85579696212266876"/>
    <x v="13"/>
  </r>
  <r>
    <n v="159"/>
    <n v="102"/>
    <x v="2"/>
    <x v="3"/>
    <x v="3"/>
    <n v="3"/>
    <x v="2"/>
    <n v="4000"/>
    <n v="10230"/>
    <n v="1333.3333333333333"/>
    <n v="633.33333333333326"/>
    <n v="6230"/>
    <n v="700"/>
    <n v="9596.6666666666661"/>
    <n v="2666.666666666667"/>
    <n v="6929.9999999999991"/>
    <n v="1.5575000000000001"/>
    <n v="0.52500000000000002"/>
    <n v="2.5987499999999994"/>
    <n v="0.93809058325187356"/>
    <x v="13"/>
  </r>
  <r>
    <n v="160"/>
    <n v="102"/>
    <x v="2"/>
    <x v="3"/>
    <x v="3"/>
    <n v="4"/>
    <x v="3"/>
    <n v="3000"/>
    <n v="6667"/>
    <n v="750"/>
    <n v="550"/>
    <n v="3667"/>
    <n v="200"/>
    <n v="6117"/>
    <n v="2250"/>
    <n v="3867"/>
    <n v="1.2223333333333333"/>
    <n v="0.26666666666666666"/>
    <n v="1.7186666666666666"/>
    <n v="0.91750412479376031"/>
    <x v="13"/>
  </r>
  <r>
    <n v="161"/>
    <n v="102"/>
    <x v="2"/>
    <x v="3"/>
    <x v="3"/>
    <n v="5"/>
    <x v="4"/>
    <n v="5000"/>
    <n v="6540"/>
    <n v="2500"/>
    <n v="2200"/>
    <n v="1540"/>
    <n v="300"/>
    <n v="4340"/>
    <n v="2500"/>
    <n v="1840"/>
    <n v="0.308"/>
    <n v="0.12"/>
    <n v="0.73599999999999999"/>
    <n v="0.66360856269113155"/>
    <x v="13"/>
  </r>
  <r>
    <n v="162"/>
    <n v="102"/>
    <x v="2"/>
    <x v="3"/>
    <x v="3"/>
    <n v="6"/>
    <x v="5"/>
    <n v="5000"/>
    <n v="4644"/>
    <n v="1250"/>
    <n v="750"/>
    <n v="-356"/>
    <n v="500"/>
    <n v="3894"/>
    <n v="3750"/>
    <n v="144"/>
    <n v="-7.1199999999999999E-2"/>
    <n v="0.4"/>
    <n v="3.8399999999999997E-2"/>
    <n v="0.83850129198966405"/>
    <x v="13"/>
  </r>
  <r>
    <n v="163"/>
    <n v="102"/>
    <x v="2"/>
    <x v="3"/>
    <x v="3"/>
    <n v="7"/>
    <x v="6"/>
    <n v="7000"/>
    <n v="6333"/>
    <n v="1750"/>
    <n v="1350"/>
    <n v="-667"/>
    <n v="400"/>
    <n v="4983"/>
    <n v="5250"/>
    <n v="-267"/>
    <n v="-9.5285714285714279E-2"/>
    <n v="0.22857142857142856"/>
    <n v="-5.0857142857142858E-2"/>
    <n v="0.78683088583609662"/>
    <x v="13"/>
  </r>
  <r>
    <n v="164"/>
    <n v="102"/>
    <x v="2"/>
    <x v="3"/>
    <x v="3"/>
    <n v="8"/>
    <x v="7"/>
    <n v="2000"/>
    <n v="2122"/>
    <n v="400"/>
    <n v="400"/>
    <n v="122"/>
    <n v="0"/>
    <n v="1722"/>
    <n v="1600"/>
    <n v="122"/>
    <n v="6.0999999999999999E-2"/>
    <n v="0"/>
    <n v="7.6249999999999998E-2"/>
    <n v="0.81149858623939675"/>
    <x v="13"/>
  </r>
  <r>
    <n v="165"/>
    <n v="102"/>
    <x v="2"/>
    <x v="3"/>
    <x v="3"/>
    <n v="9"/>
    <x v="8"/>
    <n v="2000"/>
    <n v="4147"/>
    <n v="400"/>
    <n v="100"/>
    <n v="2147"/>
    <n v="300"/>
    <n v="4047"/>
    <n v="1600"/>
    <n v="2447"/>
    <n v="1.0734999999999999"/>
    <n v="0.75"/>
    <n v="1.5293749999999999"/>
    <n v="0.97588618278273453"/>
    <x v="13"/>
  </r>
  <r>
    <n v="166"/>
    <n v="102"/>
    <x v="2"/>
    <x v="3"/>
    <x v="3"/>
    <n v="10"/>
    <x v="9"/>
    <n v="6000"/>
    <n v="6126"/>
    <n v="1200"/>
    <n v="800"/>
    <n v="126"/>
    <n v="400"/>
    <n v="5326"/>
    <n v="4800"/>
    <n v="526"/>
    <n v="2.1000000000000001E-2"/>
    <n v="0.33333333333333331"/>
    <n v="0.10958333333333334"/>
    <n v="0.86940907606921314"/>
    <x v="13"/>
  </r>
  <r>
    <n v="167"/>
    <n v="102"/>
    <x v="2"/>
    <x v="3"/>
    <x v="3"/>
    <n v="11"/>
    <x v="10"/>
    <n v="6000"/>
    <n v="7435"/>
    <n v="2000"/>
    <n v="1600"/>
    <n v="1435"/>
    <n v="400"/>
    <n v="5835"/>
    <n v="4000"/>
    <n v="1835"/>
    <n v="0.23916666666666667"/>
    <n v="0.2"/>
    <n v="0.45874999999999999"/>
    <n v="0.78480161398789505"/>
    <x v="13"/>
  </r>
  <r>
    <n v="168"/>
    <n v="102"/>
    <x v="2"/>
    <x v="3"/>
    <x v="3"/>
    <n v="12"/>
    <x v="11"/>
    <n v="7000"/>
    <n v="5149"/>
    <n v="1400"/>
    <n v="700"/>
    <n v="-1851"/>
    <n v="700"/>
    <n v="4449"/>
    <n v="5600"/>
    <n v="-1151"/>
    <n v="-0.2644285714285714"/>
    <n v="0.5"/>
    <n v="-0.20553571428571429"/>
    <n v="0.86405127209166832"/>
    <x v="13"/>
  </r>
  <r>
    <n v="169"/>
    <n v="102"/>
    <x v="2"/>
    <x v="4"/>
    <x v="4"/>
    <n v="1"/>
    <x v="0"/>
    <n v="4000"/>
    <n v="7112"/>
    <n v="1000"/>
    <n v="900"/>
    <n v="3112"/>
    <n v="100"/>
    <n v="6212"/>
    <n v="3000"/>
    <n v="3212"/>
    <n v="0.77800000000000002"/>
    <n v="0.1"/>
    <n v="1.0706666666666667"/>
    <n v="0.87345331833520812"/>
    <x v="14"/>
  </r>
  <r>
    <n v="170"/>
    <n v="102"/>
    <x v="2"/>
    <x v="4"/>
    <x v="4"/>
    <n v="2"/>
    <x v="1"/>
    <n v="6000"/>
    <n v="5435"/>
    <n v="2000"/>
    <n v="1500"/>
    <n v="-565"/>
    <n v="500"/>
    <n v="3935"/>
    <n v="4000"/>
    <n v="-65"/>
    <n v="-9.4166666666666662E-2"/>
    <n v="0.25"/>
    <n v="-1.6250000000000001E-2"/>
    <n v="0.72401103955841761"/>
    <x v="14"/>
  </r>
  <r>
    <n v="171"/>
    <n v="102"/>
    <x v="2"/>
    <x v="4"/>
    <x v="4"/>
    <n v="3"/>
    <x v="2"/>
    <n v="1000"/>
    <n v="9284"/>
    <n v="200"/>
    <n v="600"/>
    <n v="8284"/>
    <n v="-400"/>
    <n v="8684"/>
    <n v="800"/>
    <n v="7884"/>
    <n v="8.2840000000000007"/>
    <n v="-2"/>
    <n v="9.8550000000000004"/>
    <n v="0.93537268418785002"/>
    <x v="14"/>
  </r>
  <r>
    <n v="172"/>
    <n v="102"/>
    <x v="2"/>
    <x v="4"/>
    <x v="4"/>
    <n v="4"/>
    <x v="3"/>
    <n v="5000"/>
    <n v="4452"/>
    <n v="1666.6666666666667"/>
    <n v="1666.6666666666667"/>
    <n v="-548"/>
    <n v="0"/>
    <n v="2785.333333333333"/>
    <n v="3333.333333333333"/>
    <n v="-548"/>
    <n v="-0.1096"/>
    <n v="0"/>
    <n v="-0.16440000000000002"/>
    <n v="0.62563641808924819"/>
    <x v="14"/>
  </r>
  <r>
    <n v="173"/>
    <n v="102"/>
    <x v="2"/>
    <x v="4"/>
    <x v="4"/>
    <n v="5"/>
    <x v="4"/>
    <n v="3000"/>
    <n v="2432"/>
    <n v="1500"/>
    <n v="1400"/>
    <n v="-568"/>
    <n v="100"/>
    <n v="1032"/>
    <n v="1500"/>
    <n v="-468"/>
    <n v="-0.18933333333333333"/>
    <n v="6.6666666666666666E-2"/>
    <n v="-0.312"/>
    <n v="0.42434210526315791"/>
    <x v="14"/>
  </r>
  <r>
    <n v="174"/>
    <n v="102"/>
    <x v="2"/>
    <x v="4"/>
    <x v="4"/>
    <n v="6"/>
    <x v="5"/>
    <n v="1000"/>
    <n v="3214"/>
    <n v="333.33333333333331"/>
    <n v="333.33333333333331"/>
    <n v="2214"/>
    <n v="0"/>
    <n v="2880.6666666666665"/>
    <n v="666.66666666666674"/>
    <n v="2214"/>
    <n v="2.214"/>
    <n v="0"/>
    <n v="3.3209999999999997"/>
    <n v="0.89628707736984026"/>
    <x v="14"/>
  </r>
  <r>
    <n v="175"/>
    <n v="102"/>
    <x v="2"/>
    <x v="4"/>
    <x v="4"/>
    <n v="7"/>
    <x v="6"/>
    <n v="2000"/>
    <n v="2637"/>
    <n v="400"/>
    <n v="300"/>
    <n v="637"/>
    <n v="100"/>
    <n v="2337"/>
    <n v="1600"/>
    <n v="737"/>
    <n v="0.31850000000000001"/>
    <n v="0.25"/>
    <n v="0.46062500000000001"/>
    <n v="0.88623435722411836"/>
    <x v="14"/>
  </r>
  <r>
    <n v="176"/>
    <n v="102"/>
    <x v="2"/>
    <x v="4"/>
    <x v="4"/>
    <n v="8"/>
    <x v="7"/>
    <n v="3000"/>
    <n v="7768"/>
    <n v="750"/>
    <n v="350"/>
    <n v="4768"/>
    <n v="400"/>
    <n v="7418"/>
    <n v="2250"/>
    <n v="5168"/>
    <n v="1.5893333333333333"/>
    <n v="0.53333333333333333"/>
    <n v="2.2968888888888888"/>
    <n v="0.95494335736354274"/>
    <x v="14"/>
  </r>
  <r>
    <n v="177"/>
    <n v="102"/>
    <x v="2"/>
    <x v="4"/>
    <x v="4"/>
    <n v="9"/>
    <x v="8"/>
    <n v="9000"/>
    <n v="5762"/>
    <n v="4500"/>
    <n v="3800"/>
    <n v="-3238"/>
    <n v="700"/>
    <n v="1962"/>
    <n v="4500"/>
    <n v="-2538"/>
    <n v="-0.35977777777777775"/>
    <n v="0.15555555555555556"/>
    <n v="-0.56399999999999995"/>
    <n v="0.34050676848316558"/>
    <x v="14"/>
  </r>
  <r>
    <n v="178"/>
    <n v="102"/>
    <x v="2"/>
    <x v="4"/>
    <x v="4"/>
    <n v="10"/>
    <x v="9"/>
    <n v="7000"/>
    <n v="3434"/>
    <n v="2333.3333333333335"/>
    <n v="2233.3333333333335"/>
    <n v="-3566"/>
    <n v="100"/>
    <n v="1200.6666666666665"/>
    <n v="4666.6666666666661"/>
    <n v="-3465.9999999999995"/>
    <n v="-0.50942857142857145"/>
    <n v="4.2857142857142858E-2"/>
    <n v="-0.74271428571428566"/>
    <n v="0.34964084643758492"/>
    <x v="14"/>
  </r>
  <r>
    <n v="179"/>
    <n v="102"/>
    <x v="2"/>
    <x v="4"/>
    <x v="4"/>
    <n v="11"/>
    <x v="10"/>
    <n v="2000"/>
    <n v="6651"/>
    <n v="666.66666666666663"/>
    <n v="566.66666666666663"/>
    <n v="4651"/>
    <n v="100"/>
    <n v="6084.333333333333"/>
    <n v="1333.3333333333335"/>
    <n v="4751"/>
    <n v="2.3254999999999999"/>
    <n v="0.15000000000000002"/>
    <n v="3.5632499999999996"/>
    <n v="0.91479977948178215"/>
    <x v="14"/>
  </r>
  <r>
    <n v="180"/>
    <n v="102"/>
    <x v="2"/>
    <x v="4"/>
    <x v="4"/>
    <n v="12"/>
    <x v="11"/>
    <n v="7000"/>
    <n v="9315"/>
    <n v="3500"/>
    <n v="3300"/>
    <n v="2315"/>
    <n v="200"/>
    <n v="6015"/>
    <n v="3500"/>
    <n v="2515"/>
    <n v="0.33071428571428574"/>
    <n v="5.7142857142857141E-2"/>
    <n v="0.71857142857142853"/>
    <n v="0.64573268921095006"/>
    <x v="14"/>
  </r>
  <r>
    <n v="181"/>
    <n v="103"/>
    <x v="3"/>
    <x v="0"/>
    <x v="0"/>
    <n v="1"/>
    <x v="0"/>
    <n v="4000"/>
    <n v="7734"/>
    <n v="1000"/>
    <n v="500"/>
    <n v="3734"/>
    <n v="500"/>
    <n v="7234"/>
    <n v="3000"/>
    <n v="4234"/>
    <n v="0.9335"/>
    <n v="0.5"/>
    <n v="1.4113333333333333"/>
    <n v="0.93535040082751486"/>
    <x v="15"/>
  </r>
  <r>
    <n v="182"/>
    <n v="103"/>
    <x v="3"/>
    <x v="0"/>
    <x v="0"/>
    <n v="2"/>
    <x v="1"/>
    <n v="1000"/>
    <n v="2344"/>
    <n v="500"/>
    <n v="100"/>
    <n v="1344"/>
    <n v="400"/>
    <n v="2244"/>
    <n v="500"/>
    <n v="1744"/>
    <n v="1.3440000000000001"/>
    <n v="0.8"/>
    <n v="3.488"/>
    <n v="0.9573378839590444"/>
    <x v="15"/>
  </r>
  <r>
    <n v="183"/>
    <n v="103"/>
    <x v="3"/>
    <x v="0"/>
    <x v="0"/>
    <n v="3"/>
    <x v="2"/>
    <n v="5000"/>
    <n v="7518"/>
    <n v="1000"/>
    <n v="900"/>
    <n v="2518"/>
    <n v="100"/>
    <n v="6618"/>
    <n v="4000"/>
    <n v="2618"/>
    <n v="0.50360000000000005"/>
    <n v="0.1"/>
    <n v="0.65449999999999997"/>
    <n v="0.88028731045490827"/>
    <x v="15"/>
  </r>
  <r>
    <n v="184"/>
    <n v="103"/>
    <x v="3"/>
    <x v="0"/>
    <x v="0"/>
    <n v="4"/>
    <x v="3"/>
    <n v="3000"/>
    <n v="4421"/>
    <n v="750"/>
    <n v="450"/>
    <n v="1421"/>
    <n v="300"/>
    <n v="3971"/>
    <n v="2250"/>
    <n v="1721"/>
    <n v="0.47366666666666668"/>
    <n v="0.4"/>
    <n v="0.76488888888888884"/>
    <n v="0.89821307396516625"/>
    <x v="15"/>
  </r>
  <r>
    <n v="185"/>
    <n v="103"/>
    <x v="3"/>
    <x v="0"/>
    <x v="0"/>
    <n v="5"/>
    <x v="4"/>
    <n v="3000"/>
    <n v="5754"/>
    <n v="1000"/>
    <n v="900"/>
    <n v="2754"/>
    <n v="100"/>
    <n v="4854"/>
    <n v="2000"/>
    <n v="2854"/>
    <n v="0.91800000000000004"/>
    <n v="0.1"/>
    <n v="1.427"/>
    <n v="0.8435870698644421"/>
    <x v="15"/>
  </r>
  <r>
    <n v="186"/>
    <n v="103"/>
    <x v="3"/>
    <x v="0"/>
    <x v="0"/>
    <n v="6"/>
    <x v="5"/>
    <n v="8000"/>
    <n v="2734"/>
    <n v="4000"/>
    <n v="3700"/>
    <n v="-5266"/>
    <n v="300"/>
    <n v="-966"/>
    <n v="4000"/>
    <n v="-4966"/>
    <n v="-0.65825"/>
    <n v="7.4999999999999997E-2"/>
    <n v="-1.2415"/>
    <n v="-0.35332845647403072"/>
    <x v="15"/>
  </r>
  <r>
    <n v="187"/>
    <n v="103"/>
    <x v="3"/>
    <x v="0"/>
    <x v="0"/>
    <n v="7"/>
    <x v="6"/>
    <n v="6000"/>
    <n v="6668"/>
    <n v="1500"/>
    <n v="1400"/>
    <n v="668"/>
    <n v="100"/>
    <n v="5268"/>
    <n v="4500"/>
    <n v="768"/>
    <n v="0.11133333333333334"/>
    <n v="6.6666666666666666E-2"/>
    <n v="0.17066666666666666"/>
    <n v="0.79004199160167965"/>
    <x v="15"/>
  </r>
  <r>
    <n v="188"/>
    <n v="103"/>
    <x v="3"/>
    <x v="0"/>
    <x v="0"/>
    <n v="8"/>
    <x v="7"/>
    <n v="5000"/>
    <n v="2425"/>
    <n v="1000"/>
    <n v="700"/>
    <n v="-2575"/>
    <n v="300"/>
    <n v="1725"/>
    <n v="4000"/>
    <n v="-2275"/>
    <n v="-0.51500000000000001"/>
    <n v="0.3"/>
    <n v="-0.56874999999999998"/>
    <n v="0.71134020618556704"/>
    <x v="15"/>
  </r>
  <r>
    <n v="189"/>
    <n v="103"/>
    <x v="3"/>
    <x v="0"/>
    <x v="0"/>
    <n v="9"/>
    <x v="8"/>
    <n v="9000"/>
    <n v="5611"/>
    <n v="2250"/>
    <n v="2050"/>
    <n v="-3389"/>
    <n v="200"/>
    <n v="3561"/>
    <n v="6750"/>
    <n v="-3189"/>
    <n v="-0.37655555555555553"/>
    <n v="8.8888888888888892E-2"/>
    <n v="-0.47244444444444444"/>
    <n v="0.63464623061842806"/>
    <x v="15"/>
  </r>
  <r>
    <n v="190"/>
    <n v="103"/>
    <x v="3"/>
    <x v="0"/>
    <x v="0"/>
    <n v="10"/>
    <x v="9"/>
    <n v="1000"/>
    <n v="4667"/>
    <n v="200"/>
    <n v="300"/>
    <n v="3667"/>
    <n v="-100"/>
    <n v="4367"/>
    <n v="800"/>
    <n v="3567"/>
    <n v="3.6669999999999998"/>
    <n v="-0.5"/>
    <n v="4.4587500000000002"/>
    <n v="0.93571887722305547"/>
    <x v="15"/>
  </r>
  <r>
    <n v="191"/>
    <n v="103"/>
    <x v="3"/>
    <x v="0"/>
    <x v="0"/>
    <n v="11"/>
    <x v="10"/>
    <n v="5000"/>
    <n v="2124"/>
    <n v="1000"/>
    <n v="1000"/>
    <n v="-2876"/>
    <n v="0"/>
    <n v="1124"/>
    <n v="4000"/>
    <n v="-2876"/>
    <n v="-0.57520000000000004"/>
    <n v="0"/>
    <n v="-0.71899999999999997"/>
    <n v="0.52919020715630882"/>
    <x v="15"/>
  </r>
  <r>
    <n v="192"/>
    <n v="103"/>
    <x v="3"/>
    <x v="0"/>
    <x v="0"/>
    <n v="12"/>
    <x v="11"/>
    <n v="4000"/>
    <n v="5133"/>
    <n v="800"/>
    <n v="800"/>
    <n v="1133"/>
    <n v="0"/>
    <n v="4333"/>
    <n v="3200"/>
    <n v="1133"/>
    <n v="0.28325"/>
    <n v="0"/>
    <n v="0.3540625"/>
    <n v="0.84414572374829533"/>
    <x v="15"/>
  </r>
  <r>
    <n v="193"/>
    <n v="103"/>
    <x v="3"/>
    <x v="1"/>
    <x v="1"/>
    <n v="1"/>
    <x v="0"/>
    <n v="1000"/>
    <n v="6555"/>
    <n v="333.33333333333331"/>
    <n v="366.66666666666669"/>
    <n v="5555"/>
    <n v="-33.333333333333371"/>
    <n v="6188.333333333333"/>
    <n v="666.66666666666674"/>
    <n v="5521.6666666666661"/>
    <n v="5.5549999999999997"/>
    <n v="-0.10000000000000012"/>
    <n v="8.2824999999999989"/>
    <n v="0.94406305619120257"/>
    <x v="16"/>
  </r>
  <r>
    <n v="194"/>
    <n v="103"/>
    <x v="3"/>
    <x v="1"/>
    <x v="1"/>
    <n v="2"/>
    <x v="1"/>
    <n v="5000"/>
    <n v="3451"/>
    <n v="1250"/>
    <n v="950"/>
    <n v="-1549"/>
    <n v="300"/>
    <n v="2501"/>
    <n v="3750"/>
    <n v="-1249"/>
    <n v="-0.30980000000000002"/>
    <n v="0.24"/>
    <n v="-0.33306666666666668"/>
    <n v="0.72471747319617508"/>
    <x v="16"/>
  </r>
  <r>
    <n v="195"/>
    <n v="103"/>
    <x v="3"/>
    <x v="1"/>
    <x v="1"/>
    <n v="3"/>
    <x v="2"/>
    <n v="8000"/>
    <n v="3978"/>
    <n v="4000"/>
    <n v="3500"/>
    <n v="-4022"/>
    <n v="500"/>
    <n v="478"/>
    <n v="4000"/>
    <n v="-3522"/>
    <n v="-0.50275000000000003"/>
    <n v="0.125"/>
    <n v="-0.88049999999999995"/>
    <n v="0.12016088486676722"/>
    <x v="16"/>
  </r>
  <r>
    <n v="196"/>
    <n v="103"/>
    <x v="3"/>
    <x v="1"/>
    <x v="1"/>
    <n v="4"/>
    <x v="3"/>
    <n v="5000"/>
    <n v="3520"/>
    <n v="1250"/>
    <n v="1250"/>
    <n v="-1480"/>
    <n v="0"/>
    <n v="2270"/>
    <n v="3750"/>
    <n v="-1480"/>
    <n v="-0.29599999999999999"/>
    <n v="0"/>
    <n v="-0.39466666666666667"/>
    <n v="0.64488636363636365"/>
    <x v="16"/>
  </r>
  <r>
    <n v="197"/>
    <n v="103"/>
    <x v="3"/>
    <x v="1"/>
    <x v="1"/>
    <n v="5"/>
    <x v="4"/>
    <n v="1000"/>
    <n v="6315"/>
    <n v="250"/>
    <n v="150"/>
    <n v="5315"/>
    <n v="100"/>
    <n v="6165"/>
    <n v="750"/>
    <n v="5415"/>
    <n v="5.3150000000000004"/>
    <n v="0.4"/>
    <n v="7.22"/>
    <n v="0.97624703087885989"/>
    <x v="16"/>
  </r>
  <r>
    <n v="198"/>
    <n v="103"/>
    <x v="3"/>
    <x v="1"/>
    <x v="1"/>
    <n v="6"/>
    <x v="5"/>
    <n v="1000"/>
    <n v="2434"/>
    <n v="250"/>
    <n v="250"/>
    <n v="1434"/>
    <n v="0"/>
    <n v="2184"/>
    <n v="750"/>
    <n v="1434"/>
    <n v="1.4339999999999999"/>
    <n v="0"/>
    <n v="1.9119999999999999"/>
    <n v="0.89728841413311422"/>
    <x v="16"/>
  </r>
  <r>
    <n v="199"/>
    <n v="103"/>
    <x v="3"/>
    <x v="1"/>
    <x v="1"/>
    <n v="7"/>
    <x v="6"/>
    <n v="2000"/>
    <n v="3243"/>
    <n v="500"/>
    <n v="200"/>
    <n v="1243"/>
    <n v="300"/>
    <n v="3043"/>
    <n v="1500"/>
    <n v="1543"/>
    <n v="0.62150000000000005"/>
    <n v="0.6"/>
    <n v="1.0286666666666666"/>
    <n v="0.93832870798643231"/>
    <x v="16"/>
  </r>
  <r>
    <n v="200"/>
    <n v="103"/>
    <x v="3"/>
    <x v="1"/>
    <x v="1"/>
    <n v="8"/>
    <x v="7"/>
    <n v="5000"/>
    <n v="4337"/>
    <n v="2500"/>
    <n v="2300"/>
    <n v="-663"/>
    <n v="200"/>
    <n v="2037"/>
    <n v="2500"/>
    <n v="-463"/>
    <n v="-0.1326"/>
    <n v="0.08"/>
    <n v="-0.1852"/>
    <n v="0.46967950195988012"/>
    <x v="16"/>
  </r>
  <r>
    <n v="201"/>
    <n v="103"/>
    <x v="3"/>
    <x v="1"/>
    <x v="1"/>
    <n v="9"/>
    <x v="8"/>
    <n v="3000"/>
    <n v="6904"/>
    <n v="1000"/>
    <n v="1000"/>
    <n v="3904"/>
    <n v="0"/>
    <n v="5904"/>
    <n v="2000"/>
    <n v="3904"/>
    <n v="1.3013333333333332"/>
    <n v="0"/>
    <n v="1.952"/>
    <n v="0.85515643105446115"/>
    <x v="16"/>
  </r>
  <r>
    <n v="202"/>
    <n v="103"/>
    <x v="3"/>
    <x v="1"/>
    <x v="1"/>
    <n v="10"/>
    <x v="9"/>
    <n v="5000"/>
    <n v="5411"/>
    <n v="2500"/>
    <n v="2100"/>
    <n v="411"/>
    <n v="400"/>
    <n v="3311"/>
    <n v="2500"/>
    <n v="811"/>
    <n v="8.2199999999999995E-2"/>
    <n v="0.16"/>
    <n v="0.32440000000000002"/>
    <n v="0.61190168175937909"/>
    <x v="16"/>
  </r>
  <r>
    <n v="203"/>
    <n v="103"/>
    <x v="3"/>
    <x v="1"/>
    <x v="1"/>
    <n v="11"/>
    <x v="10"/>
    <n v="1000"/>
    <n v="4315"/>
    <n v="333.33333333333331"/>
    <n v="133.33333333333331"/>
    <n v="3315"/>
    <n v="200"/>
    <n v="4181.666666666667"/>
    <n v="666.66666666666674"/>
    <n v="3515"/>
    <n v="3.3149999999999999"/>
    <n v="0.60000000000000009"/>
    <n v="5.2724999999999991"/>
    <n v="0.96910003862495175"/>
    <x v="16"/>
  </r>
  <r>
    <n v="204"/>
    <n v="103"/>
    <x v="3"/>
    <x v="1"/>
    <x v="1"/>
    <n v="12"/>
    <x v="11"/>
    <n v="1000"/>
    <n v="5231"/>
    <n v="200"/>
    <n v="300"/>
    <n v="4231"/>
    <n v="-100"/>
    <n v="4931"/>
    <n v="800"/>
    <n v="4131"/>
    <n v="4.2309999999999999"/>
    <n v="-0.5"/>
    <n v="5.1637500000000003"/>
    <n v="0.94264958898872109"/>
    <x v="16"/>
  </r>
  <r>
    <n v="205"/>
    <n v="103"/>
    <x v="3"/>
    <x v="2"/>
    <x v="2"/>
    <n v="1"/>
    <x v="0"/>
    <n v="6000"/>
    <n v="3450"/>
    <n v="1200"/>
    <n v="600"/>
    <n v="-2550"/>
    <n v="600"/>
    <n v="2850"/>
    <n v="4800"/>
    <n v="-1950"/>
    <n v="-0.42499999999999999"/>
    <n v="0.5"/>
    <n v="-0.40625"/>
    <n v="0.82608695652173914"/>
    <x v="17"/>
  </r>
  <r>
    <n v="206"/>
    <n v="103"/>
    <x v="3"/>
    <x v="2"/>
    <x v="2"/>
    <n v="2"/>
    <x v="1"/>
    <n v="6000"/>
    <n v="3763"/>
    <n v="2000"/>
    <n v="1700"/>
    <n v="-2237"/>
    <n v="300"/>
    <n v="2063"/>
    <n v="4000"/>
    <n v="-1937"/>
    <n v="-0.37283333333333335"/>
    <n v="0.15"/>
    <n v="-0.48425000000000001"/>
    <n v="0.54823279298432104"/>
    <x v="17"/>
  </r>
  <r>
    <n v="207"/>
    <n v="103"/>
    <x v="3"/>
    <x v="2"/>
    <x v="2"/>
    <n v="3"/>
    <x v="2"/>
    <n v="3000"/>
    <n v="5771"/>
    <n v="750"/>
    <n v="650"/>
    <n v="2771"/>
    <n v="100"/>
    <n v="5121"/>
    <n v="2250"/>
    <n v="2871"/>
    <n v="0.92366666666666664"/>
    <n v="0.13333333333333333"/>
    <n v="1.276"/>
    <n v="0.88736787385201876"/>
    <x v="17"/>
  </r>
  <r>
    <n v="208"/>
    <n v="103"/>
    <x v="3"/>
    <x v="2"/>
    <x v="2"/>
    <n v="4"/>
    <x v="3"/>
    <n v="9000"/>
    <n v="4413"/>
    <n v="1800"/>
    <n v="1600"/>
    <n v="-4587"/>
    <n v="200"/>
    <n v="2813"/>
    <n v="7200"/>
    <n v="-4387"/>
    <n v="-0.50966666666666671"/>
    <n v="0.1111111111111111"/>
    <n v="-0.60930555555555554"/>
    <n v="0.63743485157489232"/>
    <x v="17"/>
  </r>
  <r>
    <n v="209"/>
    <n v="103"/>
    <x v="3"/>
    <x v="2"/>
    <x v="2"/>
    <n v="5"/>
    <x v="4"/>
    <n v="2000"/>
    <n v="2252"/>
    <n v="666.66666666666663"/>
    <n v="466.66666666666663"/>
    <n v="252"/>
    <n v="200"/>
    <n v="1785.3333333333335"/>
    <n v="1333.3333333333335"/>
    <n v="452"/>
    <n v="0.126"/>
    <n v="0.30000000000000004"/>
    <n v="0.33899999999999997"/>
    <n v="0.79277679100059217"/>
    <x v="17"/>
  </r>
  <r>
    <n v="210"/>
    <n v="103"/>
    <x v="3"/>
    <x v="2"/>
    <x v="2"/>
    <n v="6"/>
    <x v="5"/>
    <n v="6000"/>
    <n v="2158"/>
    <n v="2000"/>
    <n v="1700"/>
    <n v="-3842"/>
    <n v="300"/>
    <n v="458"/>
    <n v="4000"/>
    <n v="-3542"/>
    <n v="-0.64033333333333331"/>
    <n v="0.15"/>
    <n v="-0.88549999999999995"/>
    <n v="0.21223354958294718"/>
    <x v="17"/>
  </r>
  <r>
    <n v="211"/>
    <n v="103"/>
    <x v="3"/>
    <x v="2"/>
    <x v="2"/>
    <n v="7"/>
    <x v="6"/>
    <n v="1000"/>
    <n v="4461"/>
    <n v="333.33333333333331"/>
    <n v="466.66666666666669"/>
    <n v="3461"/>
    <n v="-133.33333333333337"/>
    <n v="3994.3333333333335"/>
    <n v="666.66666666666674"/>
    <n v="3327.666666666667"/>
    <n v="3.4609999999999999"/>
    <n v="-0.40000000000000013"/>
    <n v="4.9915000000000003"/>
    <n v="0.89538967346633791"/>
    <x v="17"/>
  </r>
  <r>
    <n v="212"/>
    <n v="103"/>
    <x v="3"/>
    <x v="2"/>
    <x v="2"/>
    <n v="8"/>
    <x v="7"/>
    <n v="5000"/>
    <n v="8015"/>
    <n v="1000"/>
    <n v="700"/>
    <n v="3015"/>
    <n v="300"/>
    <n v="7315"/>
    <n v="4000"/>
    <n v="3315"/>
    <n v="0.60299999999999998"/>
    <n v="0.3"/>
    <n v="0.82874999999999999"/>
    <n v="0.9126637554585153"/>
    <x v="17"/>
  </r>
  <r>
    <n v="213"/>
    <n v="103"/>
    <x v="3"/>
    <x v="2"/>
    <x v="2"/>
    <n v="9"/>
    <x v="8"/>
    <n v="1000"/>
    <n v="4466"/>
    <n v="500"/>
    <n v="100"/>
    <n v="3466"/>
    <n v="400"/>
    <n v="4366"/>
    <n v="500"/>
    <n v="3866"/>
    <n v="3.4660000000000002"/>
    <n v="0.8"/>
    <n v="7.7320000000000002"/>
    <n v="0.97760859829825342"/>
    <x v="17"/>
  </r>
  <r>
    <n v="214"/>
    <n v="103"/>
    <x v="3"/>
    <x v="2"/>
    <x v="2"/>
    <n v="10"/>
    <x v="9"/>
    <n v="5000"/>
    <n v="4394"/>
    <n v="1000"/>
    <n v="400"/>
    <n v="-606"/>
    <n v="600"/>
    <n v="3994"/>
    <n v="4000"/>
    <n v="-6"/>
    <n v="-0.1212"/>
    <n v="0.6"/>
    <n v="-1.5E-3"/>
    <n v="0.90896677287209826"/>
    <x v="17"/>
  </r>
  <r>
    <n v="215"/>
    <n v="103"/>
    <x v="3"/>
    <x v="2"/>
    <x v="2"/>
    <n v="11"/>
    <x v="10"/>
    <n v="5000"/>
    <n v="6142"/>
    <n v="1250"/>
    <n v="850"/>
    <n v="1142"/>
    <n v="400"/>
    <n v="5292"/>
    <n v="3750"/>
    <n v="1542"/>
    <n v="0.22839999999999999"/>
    <n v="0.32"/>
    <n v="0.41120000000000001"/>
    <n v="0.86160859654835553"/>
    <x v="17"/>
  </r>
  <r>
    <n v="216"/>
    <n v="103"/>
    <x v="3"/>
    <x v="2"/>
    <x v="2"/>
    <n v="12"/>
    <x v="11"/>
    <n v="6000"/>
    <n v="5231"/>
    <n v="1200"/>
    <n v="700"/>
    <n v="-769"/>
    <n v="500"/>
    <n v="4531"/>
    <n v="4800"/>
    <n v="-269"/>
    <n v="-0.12816666666666668"/>
    <n v="0.41666666666666669"/>
    <n v="-5.6041666666666663E-2"/>
    <n v="0.86618237430701583"/>
    <x v="17"/>
  </r>
  <r>
    <n v="217"/>
    <n v="103"/>
    <x v="3"/>
    <x v="3"/>
    <x v="3"/>
    <n v="1"/>
    <x v="0"/>
    <n v="2000"/>
    <n v="3135"/>
    <n v="400"/>
    <n v="300"/>
    <n v="1135"/>
    <n v="100"/>
    <n v="2835"/>
    <n v="1600"/>
    <n v="1235"/>
    <n v="0.5675"/>
    <n v="0.25"/>
    <n v="0.77187499999999998"/>
    <n v="0.90430622009569372"/>
    <x v="18"/>
  </r>
  <r>
    <n v="218"/>
    <n v="103"/>
    <x v="3"/>
    <x v="3"/>
    <x v="3"/>
    <n v="2"/>
    <x v="1"/>
    <n v="7000"/>
    <n v="2241"/>
    <n v="1400"/>
    <n v="1200"/>
    <n v="-4759"/>
    <n v="200"/>
    <n v="1041"/>
    <n v="5600"/>
    <n v="-4559"/>
    <n v="-0.67985714285714283"/>
    <n v="0.14285714285714285"/>
    <n v="-0.81410714285714281"/>
    <n v="0.46452476572958501"/>
    <x v="18"/>
  </r>
  <r>
    <n v="219"/>
    <n v="103"/>
    <x v="3"/>
    <x v="3"/>
    <x v="3"/>
    <n v="3"/>
    <x v="2"/>
    <n v="2000"/>
    <n v="6554"/>
    <n v="1000"/>
    <n v="900"/>
    <n v="4554"/>
    <n v="100"/>
    <n v="5654"/>
    <n v="1000"/>
    <n v="4654"/>
    <n v="2.2770000000000001"/>
    <n v="0.1"/>
    <n v="4.6539999999999999"/>
    <n v="0.86267927982911197"/>
    <x v="18"/>
  </r>
  <r>
    <n v="220"/>
    <n v="103"/>
    <x v="3"/>
    <x v="3"/>
    <x v="3"/>
    <n v="4"/>
    <x v="3"/>
    <n v="4000"/>
    <n v="7565"/>
    <n v="2000"/>
    <n v="1600"/>
    <n v="3565"/>
    <n v="400"/>
    <n v="5965"/>
    <n v="2000"/>
    <n v="3965"/>
    <n v="0.89124999999999999"/>
    <n v="0.2"/>
    <n v="1.9824999999999999"/>
    <n v="0.78849966953073369"/>
    <x v="18"/>
  </r>
  <r>
    <n v="221"/>
    <n v="103"/>
    <x v="3"/>
    <x v="3"/>
    <x v="3"/>
    <n v="5"/>
    <x v="4"/>
    <n v="7000"/>
    <n v="7732"/>
    <n v="2333.3333333333335"/>
    <n v="2333.3333333333335"/>
    <n v="732"/>
    <n v="0"/>
    <n v="5398.6666666666661"/>
    <n v="4666.6666666666661"/>
    <n v="732"/>
    <n v="0.10457142857142857"/>
    <n v="0"/>
    <n v="0.15685714285714289"/>
    <n v="0.69822383169511981"/>
    <x v="18"/>
  </r>
  <r>
    <n v="222"/>
    <n v="103"/>
    <x v="3"/>
    <x v="3"/>
    <x v="3"/>
    <n v="6"/>
    <x v="5"/>
    <n v="1000"/>
    <n v="3511"/>
    <n v="500"/>
    <n v="300"/>
    <n v="2511"/>
    <n v="200"/>
    <n v="3211"/>
    <n v="500"/>
    <n v="2711"/>
    <n v="2.5110000000000001"/>
    <n v="0.4"/>
    <n v="5.4219999999999997"/>
    <n v="0.91455425804614066"/>
    <x v="18"/>
  </r>
  <r>
    <n v="223"/>
    <n v="103"/>
    <x v="3"/>
    <x v="3"/>
    <x v="3"/>
    <n v="7"/>
    <x v="6"/>
    <n v="7000"/>
    <n v="10257"/>
    <n v="2333.3333333333335"/>
    <n v="2233.3333333333335"/>
    <n v="3257"/>
    <n v="100"/>
    <n v="8023.6666666666661"/>
    <n v="4666.6666666666661"/>
    <n v="3357"/>
    <n v="0.4652857142857143"/>
    <n v="4.2857142857142858E-2"/>
    <n v="0.71935714285714292"/>
    <n v="0.78226251990510542"/>
    <x v="18"/>
  </r>
  <r>
    <n v="224"/>
    <n v="103"/>
    <x v="3"/>
    <x v="3"/>
    <x v="3"/>
    <n v="8"/>
    <x v="7"/>
    <n v="4000"/>
    <n v="8143"/>
    <n v="1333.3333333333333"/>
    <n v="833.33333333333326"/>
    <n v="4143"/>
    <n v="500"/>
    <n v="7309.666666666667"/>
    <n v="2666.666666666667"/>
    <n v="4643"/>
    <n v="1.0357499999999999"/>
    <n v="0.375"/>
    <n v="1.7411249999999998"/>
    <n v="0.89766261410618531"/>
    <x v="18"/>
  </r>
  <r>
    <n v="225"/>
    <n v="103"/>
    <x v="3"/>
    <x v="3"/>
    <x v="3"/>
    <n v="9"/>
    <x v="8"/>
    <n v="3000"/>
    <n v="5541"/>
    <n v="1000"/>
    <n v="700"/>
    <n v="2541"/>
    <n v="300"/>
    <n v="4841"/>
    <n v="2000"/>
    <n v="2841"/>
    <n v="0.84699999999999998"/>
    <n v="0.3"/>
    <n v="1.4205000000000001"/>
    <n v="0.87366901281357157"/>
    <x v="18"/>
  </r>
  <r>
    <n v="226"/>
    <n v="103"/>
    <x v="3"/>
    <x v="3"/>
    <x v="3"/>
    <n v="10"/>
    <x v="9"/>
    <n v="1000"/>
    <n v="3386"/>
    <n v="200"/>
    <n v="300"/>
    <n v="2386"/>
    <n v="-100"/>
    <n v="3086"/>
    <n v="800"/>
    <n v="2286"/>
    <n v="2.3860000000000001"/>
    <n v="-0.5"/>
    <n v="2.8574999999999999"/>
    <n v="0.91139988186650911"/>
    <x v="18"/>
  </r>
  <r>
    <n v="227"/>
    <n v="103"/>
    <x v="3"/>
    <x v="3"/>
    <x v="3"/>
    <n v="11"/>
    <x v="10"/>
    <n v="7000"/>
    <n v="8915"/>
    <n v="1750"/>
    <n v="1150"/>
    <n v="1915"/>
    <n v="600"/>
    <n v="7765"/>
    <n v="5250"/>
    <n v="2515"/>
    <n v="0.27357142857142858"/>
    <n v="0.34285714285714286"/>
    <n v="0.47904761904761906"/>
    <n v="0.87100392596747056"/>
    <x v="18"/>
  </r>
  <r>
    <n v="228"/>
    <n v="103"/>
    <x v="3"/>
    <x v="3"/>
    <x v="3"/>
    <n v="12"/>
    <x v="11"/>
    <n v="6000"/>
    <n v="6061"/>
    <n v="3000"/>
    <n v="2700"/>
    <n v="61"/>
    <n v="300"/>
    <n v="3361"/>
    <n v="3000"/>
    <n v="361"/>
    <n v="1.0166666666666666E-2"/>
    <n v="0.1"/>
    <n v="0.12033333333333333"/>
    <n v="0.55452895561788484"/>
    <x v="18"/>
  </r>
  <r>
    <n v="229"/>
    <n v="103"/>
    <x v="3"/>
    <x v="4"/>
    <x v="4"/>
    <n v="1"/>
    <x v="0"/>
    <n v="5000"/>
    <n v="5131"/>
    <n v="1250"/>
    <n v="1250"/>
    <n v="131"/>
    <n v="0"/>
    <n v="3881"/>
    <n v="3750"/>
    <n v="131"/>
    <n v="2.6200000000000001E-2"/>
    <n v="0"/>
    <n v="3.493333333333333E-2"/>
    <n v="0.75638277138959265"/>
    <x v="19"/>
  </r>
  <r>
    <n v="230"/>
    <n v="103"/>
    <x v="3"/>
    <x v="4"/>
    <x v="4"/>
    <n v="2"/>
    <x v="1"/>
    <n v="2000"/>
    <n v="2154"/>
    <n v="400"/>
    <n v="200"/>
    <n v="154"/>
    <n v="200"/>
    <n v="1954"/>
    <n v="1600"/>
    <n v="354"/>
    <n v="7.6999999999999999E-2"/>
    <n v="0.5"/>
    <n v="0.22125"/>
    <n v="0.9071494893221913"/>
    <x v="19"/>
  </r>
  <r>
    <n v="231"/>
    <n v="103"/>
    <x v="3"/>
    <x v="4"/>
    <x v="4"/>
    <n v="3"/>
    <x v="2"/>
    <n v="4000"/>
    <n v="6254"/>
    <n v="800"/>
    <n v="200"/>
    <n v="2254"/>
    <n v="600"/>
    <n v="6054"/>
    <n v="3200"/>
    <n v="2854"/>
    <n v="0.5635"/>
    <n v="0.75"/>
    <n v="0.89187499999999997"/>
    <n v="0.96802046690118326"/>
    <x v="19"/>
  </r>
  <r>
    <n v="232"/>
    <n v="103"/>
    <x v="3"/>
    <x v="4"/>
    <x v="4"/>
    <n v="4"/>
    <x v="3"/>
    <n v="1000"/>
    <n v="5151"/>
    <n v="333.33333333333331"/>
    <n v="133.33333333333331"/>
    <n v="4151"/>
    <n v="200"/>
    <n v="5017.666666666667"/>
    <n v="666.66666666666674"/>
    <n v="4351"/>
    <n v="4.1509999999999998"/>
    <n v="0.60000000000000009"/>
    <n v="6.5264999999999995"/>
    <n v="0.97411505856468006"/>
    <x v="19"/>
  </r>
  <r>
    <n v="233"/>
    <n v="103"/>
    <x v="3"/>
    <x v="4"/>
    <x v="4"/>
    <n v="5"/>
    <x v="4"/>
    <n v="5000"/>
    <n v="2441"/>
    <n v="1000"/>
    <n v="1000"/>
    <n v="-2559"/>
    <n v="0"/>
    <n v="1441"/>
    <n v="4000"/>
    <n v="-2559"/>
    <n v="-0.51180000000000003"/>
    <n v="0"/>
    <n v="-0.63975000000000004"/>
    <n v="0.59033183121671451"/>
    <x v="19"/>
  </r>
  <r>
    <n v="234"/>
    <n v="103"/>
    <x v="3"/>
    <x v="4"/>
    <x v="4"/>
    <n v="6"/>
    <x v="5"/>
    <n v="7000"/>
    <n v="2131"/>
    <n v="2333.3333333333335"/>
    <n v="2333.3333333333335"/>
    <n v="-4869"/>
    <n v="0"/>
    <n v="-202.33333333333348"/>
    <n v="4666.6666666666661"/>
    <n v="-4869"/>
    <n v="-0.69557142857142862"/>
    <n v="0"/>
    <n v="-1.0433571428571431"/>
    <n v="-9.4947598936336683E-2"/>
    <x v="19"/>
  </r>
  <r>
    <n v="235"/>
    <n v="103"/>
    <x v="3"/>
    <x v="4"/>
    <x v="4"/>
    <n v="7"/>
    <x v="6"/>
    <n v="9000"/>
    <n v="2522"/>
    <n v="3000"/>
    <n v="2900"/>
    <n v="-6478"/>
    <n v="100"/>
    <n v="-378"/>
    <n v="6000"/>
    <n v="-6378"/>
    <n v="-0.71977777777777774"/>
    <n v="3.3333333333333333E-2"/>
    <n v="-1.0629999999999999"/>
    <n v="-0.14988104678826328"/>
    <x v="19"/>
  </r>
  <r>
    <n v="236"/>
    <n v="103"/>
    <x v="3"/>
    <x v="4"/>
    <x v="4"/>
    <n v="8"/>
    <x v="7"/>
    <n v="4000"/>
    <n v="4468"/>
    <n v="1000"/>
    <n v="600"/>
    <n v="468"/>
    <n v="400"/>
    <n v="3868"/>
    <n v="3000"/>
    <n v="868"/>
    <n v="0.11700000000000001"/>
    <n v="0.4"/>
    <n v="0.28933333333333333"/>
    <n v="0.86571172784243511"/>
    <x v="19"/>
  </r>
  <r>
    <n v="237"/>
    <n v="103"/>
    <x v="3"/>
    <x v="4"/>
    <x v="4"/>
    <n v="9"/>
    <x v="8"/>
    <n v="3000"/>
    <n v="5153"/>
    <n v="1000"/>
    <n v="600"/>
    <n v="2153"/>
    <n v="400"/>
    <n v="4553"/>
    <n v="2000"/>
    <n v="2553"/>
    <n v="0.71766666666666667"/>
    <n v="0.4"/>
    <n v="1.2765"/>
    <n v="0.88356297302542208"/>
    <x v="19"/>
  </r>
  <r>
    <n v="238"/>
    <n v="103"/>
    <x v="3"/>
    <x v="4"/>
    <x v="4"/>
    <n v="10"/>
    <x v="9"/>
    <n v="5000"/>
    <n v="4253"/>
    <n v="1666.6666666666667"/>
    <n v="966.66666666666674"/>
    <n v="-747"/>
    <n v="700"/>
    <n v="3286.333333333333"/>
    <n v="3333.333333333333"/>
    <n v="-47"/>
    <n v="-0.14940000000000001"/>
    <n v="0.42"/>
    <n v="-1.4100000000000001E-2"/>
    <n v="0.77270945998902729"/>
    <x v="19"/>
  </r>
  <r>
    <n v="239"/>
    <n v="103"/>
    <x v="3"/>
    <x v="4"/>
    <x v="4"/>
    <n v="11"/>
    <x v="10"/>
    <n v="1000"/>
    <n v="6315"/>
    <n v="500"/>
    <n v="500"/>
    <n v="5315"/>
    <n v="0"/>
    <n v="5815"/>
    <n v="500"/>
    <n v="5315"/>
    <n v="5.3150000000000004"/>
    <n v="0"/>
    <n v="10.63"/>
    <n v="0.92082343626286622"/>
    <x v="19"/>
  </r>
  <r>
    <n v="240"/>
    <n v="103"/>
    <x v="3"/>
    <x v="4"/>
    <x v="4"/>
    <n v="12"/>
    <x v="11"/>
    <n v="8000"/>
    <n v="2355"/>
    <n v="1600"/>
    <n v="1300"/>
    <n v="-5645"/>
    <n v="300"/>
    <n v="1055"/>
    <n v="6400"/>
    <n v="-5345"/>
    <n v="-0.70562499999999995"/>
    <n v="0.1875"/>
    <n v="-0.83515625000000004"/>
    <n v="0.44798301486199577"/>
    <x v="19"/>
  </r>
  <r>
    <n v="241"/>
    <n v="104"/>
    <x v="4"/>
    <x v="0"/>
    <x v="0"/>
    <n v="1"/>
    <x v="0"/>
    <n v="2000"/>
    <n v="3311"/>
    <n v="400"/>
    <n v="300"/>
    <n v="1311"/>
    <n v="100"/>
    <n v="3011"/>
    <n v="1600"/>
    <n v="1411"/>
    <n v="0.65549999999999997"/>
    <n v="0.25"/>
    <n v="0.88187499999999996"/>
    <n v="0.90939293264874665"/>
    <x v="20"/>
  </r>
  <r>
    <n v="242"/>
    <n v="104"/>
    <x v="4"/>
    <x v="0"/>
    <x v="0"/>
    <n v="2"/>
    <x v="1"/>
    <n v="4000"/>
    <n v="8122"/>
    <n v="2000"/>
    <n v="1500"/>
    <n v="4122"/>
    <n v="500"/>
    <n v="6622"/>
    <n v="2000"/>
    <n v="4622"/>
    <n v="1.0305"/>
    <n v="0.25"/>
    <n v="2.3109999999999999"/>
    <n v="0.81531642452597886"/>
    <x v="20"/>
  </r>
  <r>
    <n v="243"/>
    <n v="104"/>
    <x v="4"/>
    <x v="0"/>
    <x v="0"/>
    <n v="3"/>
    <x v="2"/>
    <n v="1000"/>
    <n v="4726"/>
    <n v="200"/>
    <n v="700"/>
    <n v="3726"/>
    <n v="-500"/>
    <n v="4026"/>
    <n v="800"/>
    <n v="3226"/>
    <n v="3.726"/>
    <n v="-2.5"/>
    <n v="4.0324999999999998"/>
    <n v="0.85188319932289458"/>
    <x v="20"/>
  </r>
  <r>
    <n v="244"/>
    <n v="104"/>
    <x v="4"/>
    <x v="0"/>
    <x v="0"/>
    <n v="4"/>
    <x v="3"/>
    <n v="1000"/>
    <n v="3241"/>
    <n v="500"/>
    <n v="300"/>
    <n v="2241"/>
    <n v="200"/>
    <n v="2941"/>
    <n v="500"/>
    <n v="2441"/>
    <n v="2.2410000000000001"/>
    <n v="0.4"/>
    <n v="4.8819999999999997"/>
    <n v="0.90743597655044739"/>
    <x v="20"/>
  </r>
  <r>
    <n v="245"/>
    <n v="104"/>
    <x v="4"/>
    <x v="0"/>
    <x v="0"/>
    <n v="5"/>
    <x v="4"/>
    <n v="3000"/>
    <n v="6654"/>
    <n v="600"/>
    <n v="300"/>
    <n v="3654"/>
    <n v="300"/>
    <n v="6354"/>
    <n v="2400"/>
    <n v="3954"/>
    <n v="1.218"/>
    <n v="0.5"/>
    <n v="1.6475"/>
    <n v="0.95491433724075747"/>
    <x v="20"/>
  </r>
  <r>
    <n v="246"/>
    <n v="104"/>
    <x v="4"/>
    <x v="0"/>
    <x v="0"/>
    <n v="6"/>
    <x v="5"/>
    <n v="10000"/>
    <n v="7756"/>
    <n v="3333.3333333333335"/>
    <n v="3133.3333333333335"/>
    <n v="-2244"/>
    <n v="200"/>
    <n v="4622.6666666666661"/>
    <n v="6666.6666666666661"/>
    <n v="-2044"/>
    <n v="-0.22439999999999999"/>
    <n v="0.06"/>
    <n v="-0.30660000000000004"/>
    <n v="0.5960116898745057"/>
    <x v="20"/>
  </r>
  <r>
    <n v="247"/>
    <n v="104"/>
    <x v="4"/>
    <x v="0"/>
    <x v="0"/>
    <n v="7"/>
    <x v="6"/>
    <n v="1000"/>
    <n v="2542"/>
    <n v="500"/>
    <n v="400"/>
    <n v="1542"/>
    <n v="100"/>
    <n v="2142"/>
    <n v="500"/>
    <n v="1642"/>
    <n v="1.542"/>
    <n v="0.2"/>
    <n v="3.2839999999999998"/>
    <n v="0.84264358772619985"/>
    <x v="20"/>
  </r>
  <r>
    <n v="248"/>
    <n v="104"/>
    <x v="4"/>
    <x v="0"/>
    <x v="0"/>
    <n v="8"/>
    <x v="7"/>
    <n v="6000"/>
    <n v="4769"/>
    <n v="1500"/>
    <n v="1200"/>
    <n v="-1231"/>
    <n v="300"/>
    <n v="3569"/>
    <n v="4500"/>
    <n v="-931"/>
    <n v="-0.20516666666666666"/>
    <n v="0.2"/>
    <n v="-0.2068888888888889"/>
    <n v="0.74837492136716288"/>
    <x v="20"/>
  </r>
  <r>
    <n v="249"/>
    <n v="104"/>
    <x v="4"/>
    <x v="0"/>
    <x v="0"/>
    <n v="9"/>
    <x v="8"/>
    <n v="8000"/>
    <n v="6244"/>
    <n v="4000"/>
    <n v="3700"/>
    <n v="-1756"/>
    <n v="300"/>
    <n v="2544"/>
    <n v="4000"/>
    <n v="-1456"/>
    <n v="-0.2195"/>
    <n v="7.4999999999999997E-2"/>
    <n v="-0.36399999999999999"/>
    <n v="0.40743113388853297"/>
    <x v="20"/>
  </r>
  <r>
    <n v="250"/>
    <n v="104"/>
    <x v="4"/>
    <x v="0"/>
    <x v="0"/>
    <n v="10"/>
    <x v="9"/>
    <n v="3000"/>
    <n v="4535"/>
    <n v="600"/>
    <n v="400"/>
    <n v="1535"/>
    <n v="200"/>
    <n v="4135"/>
    <n v="2400"/>
    <n v="1735"/>
    <n v="0.51166666666666671"/>
    <n v="0.33333333333333331"/>
    <n v="0.72291666666666665"/>
    <n v="0.91179713340683577"/>
    <x v="20"/>
  </r>
  <r>
    <n v="251"/>
    <n v="104"/>
    <x v="4"/>
    <x v="0"/>
    <x v="0"/>
    <n v="11"/>
    <x v="10"/>
    <n v="1000"/>
    <n v="5525"/>
    <n v="250"/>
    <n v="150"/>
    <n v="4525"/>
    <n v="100"/>
    <n v="5375"/>
    <n v="750"/>
    <n v="4625"/>
    <n v="4.5250000000000004"/>
    <n v="0.4"/>
    <n v="6.166666666666667"/>
    <n v="0.97285067873303166"/>
    <x v="20"/>
  </r>
  <r>
    <n v="252"/>
    <n v="104"/>
    <x v="4"/>
    <x v="0"/>
    <x v="0"/>
    <n v="12"/>
    <x v="11"/>
    <n v="6000"/>
    <n v="3454"/>
    <n v="1500"/>
    <n v="900"/>
    <n v="-2546"/>
    <n v="600"/>
    <n v="2554"/>
    <n v="4500"/>
    <n v="-1946"/>
    <n v="-0.42433333333333334"/>
    <n v="0.4"/>
    <n v="-0.43244444444444446"/>
    <n v="0.73943254198031272"/>
    <x v="20"/>
  </r>
  <r>
    <n v="253"/>
    <n v="104"/>
    <x v="4"/>
    <x v="1"/>
    <x v="1"/>
    <n v="1"/>
    <x v="0"/>
    <n v="6000"/>
    <n v="4315"/>
    <n v="1500"/>
    <n v="1300"/>
    <n v="-1685"/>
    <n v="200"/>
    <n v="3015"/>
    <n v="4500"/>
    <n v="-1485"/>
    <n v="-0.28083333333333332"/>
    <n v="0.13333333333333333"/>
    <n v="-0.33"/>
    <n v="0.69872537659327927"/>
    <x v="21"/>
  </r>
  <r>
    <n v="254"/>
    <n v="104"/>
    <x v="4"/>
    <x v="1"/>
    <x v="1"/>
    <n v="2"/>
    <x v="1"/>
    <n v="2000"/>
    <n v="2452"/>
    <n v="666.66666666666663"/>
    <n v="266.66666666666663"/>
    <n v="452"/>
    <n v="400"/>
    <n v="2185.3333333333335"/>
    <n v="1333.3333333333335"/>
    <n v="852"/>
    <n v="0.22600000000000001"/>
    <n v="0.60000000000000009"/>
    <n v="0.6389999999999999"/>
    <n v="0.89124524197933663"/>
    <x v="21"/>
  </r>
  <r>
    <n v="255"/>
    <n v="104"/>
    <x v="4"/>
    <x v="1"/>
    <x v="1"/>
    <n v="3"/>
    <x v="2"/>
    <n v="6000"/>
    <n v="6432"/>
    <n v="2000"/>
    <n v="1500"/>
    <n v="432"/>
    <n v="500"/>
    <n v="4932"/>
    <n v="4000"/>
    <n v="932"/>
    <n v="7.1999999999999995E-2"/>
    <n v="0.25"/>
    <n v="0.23300000000000001"/>
    <n v="0.76679104477611937"/>
    <x v="21"/>
  </r>
  <r>
    <n v="256"/>
    <n v="104"/>
    <x v="4"/>
    <x v="1"/>
    <x v="1"/>
    <n v="4"/>
    <x v="3"/>
    <n v="5000"/>
    <n v="6444"/>
    <n v="1666.6666666666667"/>
    <n v="1166.6666666666667"/>
    <n v="1444"/>
    <n v="500"/>
    <n v="5277.333333333333"/>
    <n v="3333.333333333333"/>
    <n v="1944"/>
    <n v="0.2888"/>
    <n v="0.3"/>
    <n v="0.58320000000000005"/>
    <n v="0.81895303124353402"/>
    <x v="21"/>
  </r>
  <r>
    <n v="257"/>
    <n v="104"/>
    <x v="4"/>
    <x v="1"/>
    <x v="1"/>
    <n v="5"/>
    <x v="4"/>
    <n v="5000"/>
    <n v="6382"/>
    <n v="1250"/>
    <n v="750"/>
    <n v="1382"/>
    <n v="500"/>
    <n v="5632"/>
    <n v="3750"/>
    <n v="1882"/>
    <n v="0.27639999999999998"/>
    <n v="0.4"/>
    <n v="0.50186666666666668"/>
    <n v="0.8824819805703541"/>
    <x v="21"/>
  </r>
  <r>
    <n v="258"/>
    <n v="104"/>
    <x v="4"/>
    <x v="1"/>
    <x v="1"/>
    <n v="6"/>
    <x v="5"/>
    <n v="5000"/>
    <n v="5272"/>
    <n v="1666.6666666666667"/>
    <n v="1466.6666666666667"/>
    <n v="272"/>
    <n v="200"/>
    <n v="3805.333333333333"/>
    <n v="3333.333333333333"/>
    <n v="472"/>
    <n v="5.4399999999999997E-2"/>
    <n v="0.12"/>
    <n v="0.1416"/>
    <n v="0.72180070814365194"/>
    <x v="21"/>
  </r>
  <r>
    <n v="259"/>
    <n v="104"/>
    <x v="4"/>
    <x v="1"/>
    <x v="1"/>
    <n v="7"/>
    <x v="6"/>
    <n v="5000"/>
    <n v="6174"/>
    <n v="1666.6666666666667"/>
    <n v="1366.6666666666667"/>
    <n v="1174"/>
    <n v="300"/>
    <n v="4807.333333333333"/>
    <n v="3333.333333333333"/>
    <n v="1474"/>
    <n v="0.23480000000000001"/>
    <n v="0.18"/>
    <n v="0.44220000000000004"/>
    <n v="0.77864161537630916"/>
    <x v="21"/>
  </r>
  <r>
    <n v="260"/>
    <n v="104"/>
    <x v="4"/>
    <x v="1"/>
    <x v="1"/>
    <n v="8"/>
    <x v="7"/>
    <n v="2000"/>
    <n v="2873"/>
    <n v="666.66666666666663"/>
    <n v="666.66666666666663"/>
    <n v="873"/>
    <n v="0"/>
    <n v="2206.3333333333335"/>
    <n v="1333.3333333333335"/>
    <n v="873"/>
    <n v="0.4365"/>
    <n v="0"/>
    <n v="0.65474999999999994"/>
    <n v="0.76795451908574086"/>
    <x v="21"/>
  </r>
  <r>
    <n v="261"/>
    <n v="104"/>
    <x v="4"/>
    <x v="1"/>
    <x v="1"/>
    <n v="9"/>
    <x v="8"/>
    <n v="4000"/>
    <n v="2666"/>
    <n v="800"/>
    <n v="600"/>
    <n v="-1334"/>
    <n v="200"/>
    <n v="2066"/>
    <n v="3200"/>
    <n v="-1134"/>
    <n v="-0.33350000000000002"/>
    <n v="0.25"/>
    <n v="-0.354375"/>
    <n v="0.77494373593398347"/>
    <x v="21"/>
  </r>
  <r>
    <n v="262"/>
    <n v="104"/>
    <x v="4"/>
    <x v="1"/>
    <x v="1"/>
    <n v="10"/>
    <x v="9"/>
    <n v="3000"/>
    <n v="3242"/>
    <n v="1500"/>
    <n v="1500"/>
    <n v="242"/>
    <n v="0"/>
    <n v="1742"/>
    <n v="1500"/>
    <n v="242"/>
    <n v="8.0666666666666664E-2"/>
    <n v="0"/>
    <n v="0.16133333333333333"/>
    <n v="0.53732264034546573"/>
    <x v="21"/>
  </r>
  <r>
    <n v="263"/>
    <n v="104"/>
    <x v="4"/>
    <x v="1"/>
    <x v="1"/>
    <n v="11"/>
    <x v="10"/>
    <n v="2000"/>
    <n v="7299"/>
    <n v="500"/>
    <n v="300"/>
    <n v="5299"/>
    <n v="200"/>
    <n v="6999"/>
    <n v="1500"/>
    <n v="5499"/>
    <n v="2.6495000000000002"/>
    <n v="0.4"/>
    <n v="3.6659999999999999"/>
    <n v="0.95889847924373206"/>
    <x v="21"/>
  </r>
  <r>
    <n v="264"/>
    <n v="104"/>
    <x v="4"/>
    <x v="1"/>
    <x v="1"/>
    <n v="12"/>
    <x v="11"/>
    <n v="7000"/>
    <n v="6155"/>
    <n v="1400"/>
    <n v="1200"/>
    <n v="-845"/>
    <n v="200"/>
    <n v="4955"/>
    <n v="5600"/>
    <n v="-645"/>
    <n v="-0.12071428571428572"/>
    <n v="0.14285714285714285"/>
    <n v="-0.11517857142857142"/>
    <n v="0.80503655564581644"/>
    <x v="21"/>
  </r>
  <r>
    <n v="265"/>
    <n v="104"/>
    <x v="4"/>
    <x v="2"/>
    <x v="2"/>
    <n v="1"/>
    <x v="0"/>
    <n v="5000"/>
    <n v="7456"/>
    <n v="1000"/>
    <n v="700"/>
    <n v="2456"/>
    <n v="300"/>
    <n v="6756"/>
    <n v="4000"/>
    <n v="2756"/>
    <n v="0.49120000000000003"/>
    <n v="0.3"/>
    <n v="0.68899999999999995"/>
    <n v="0.9061158798283262"/>
    <x v="22"/>
  </r>
  <r>
    <n v="266"/>
    <n v="104"/>
    <x v="4"/>
    <x v="2"/>
    <x v="2"/>
    <n v="2"/>
    <x v="1"/>
    <n v="9000"/>
    <n v="4631"/>
    <n v="1800"/>
    <n v="1700"/>
    <n v="-4369"/>
    <n v="100"/>
    <n v="2931"/>
    <n v="7200"/>
    <n v="-4269"/>
    <n v="-0.48544444444444446"/>
    <n v="5.5555555555555552E-2"/>
    <n v="-0.59291666666666665"/>
    <n v="0.63290865903692506"/>
    <x v="22"/>
  </r>
  <r>
    <n v="267"/>
    <n v="104"/>
    <x v="4"/>
    <x v="2"/>
    <x v="2"/>
    <n v="3"/>
    <x v="2"/>
    <n v="1000"/>
    <n v="5133"/>
    <n v="333.33333333333331"/>
    <n v="333.33333333333331"/>
    <n v="4133"/>
    <n v="0"/>
    <n v="4799.666666666667"/>
    <n v="666.66666666666674"/>
    <n v="4133"/>
    <n v="4.133"/>
    <n v="0"/>
    <n v="6.1994999999999996"/>
    <n v="0.93506071822845649"/>
    <x v="22"/>
  </r>
  <r>
    <n v="268"/>
    <n v="104"/>
    <x v="4"/>
    <x v="2"/>
    <x v="2"/>
    <n v="4"/>
    <x v="3"/>
    <n v="4000"/>
    <n v="4221"/>
    <n v="1333.3333333333333"/>
    <n v="733.33333333333326"/>
    <n v="221"/>
    <n v="600"/>
    <n v="3487.666666666667"/>
    <n v="2666.666666666667"/>
    <n v="821"/>
    <n v="5.525E-2"/>
    <n v="0.45"/>
    <n v="0.30787499999999995"/>
    <n v="0.82626549790728898"/>
    <x v="22"/>
  </r>
  <r>
    <n v="269"/>
    <n v="104"/>
    <x v="4"/>
    <x v="2"/>
    <x v="2"/>
    <n v="5"/>
    <x v="4"/>
    <n v="7000"/>
    <n v="3532"/>
    <n v="3500"/>
    <n v="3200"/>
    <n v="-3468"/>
    <n v="300"/>
    <n v="332"/>
    <n v="3500"/>
    <n v="-3168"/>
    <n v="-0.49542857142857144"/>
    <n v="8.5714285714285715E-2"/>
    <n v="-0.90514285714285714"/>
    <n v="9.3997734994337487E-2"/>
    <x v="22"/>
  </r>
  <r>
    <n v="270"/>
    <n v="104"/>
    <x v="4"/>
    <x v="2"/>
    <x v="2"/>
    <n v="6"/>
    <x v="5"/>
    <n v="7000"/>
    <n v="3154"/>
    <n v="3500"/>
    <n v="3100"/>
    <n v="-3846"/>
    <n v="400"/>
    <n v="54"/>
    <n v="3500"/>
    <n v="-3446"/>
    <n v="-0.54942857142857138"/>
    <n v="0.11428571428571428"/>
    <n v="-0.98457142857142854"/>
    <n v="1.7121116043119847E-2"/>
    <x v="22"/>
  </r>
  <r>
    <n v="271"/>
    <n v="104"/>
    <x v="4"/>
    <x v="2"/>
    <x v="2"/>
    <n v="7"/>
    <x v="6"/>
    <n v="5000"/>
    <n v="3346"/>
    <n v="1000"/>
    <n v="200"/>
    <n v="-1654"/>
    <n v="800"/>
    <n v="3146"/>
    <n v="4000"/>
    <n v="-854"/>
    <n v="-0.33079999999999998"/>
    <n v="0.8"/>
    <n v="-0.2135"/>
    <n v="0.9402271368798566"/>
    <x v="22"/>
  </r>
  <r>
    <n v="272"/>
    <n v="104"/>
    <x v="4"/>
    <x v="2"/>
    <x v="2"/>
    <n v="8"/>
    <x v="7"/>
    <n v="1000"/>
    <n v="5231"/>
    <n v="200"/>
    <n v="100"/>
    <n v="4231"/>
    <n v="100"/>
    <n v="5131"/>
    <n v="800"/>
    <n v="4331"/>
    <n v="4.2309999999999999"/>
    <n v="0.5"/>
    <n v="5.4137500000000003"/>
    <n v="0.98088319632957366"/>
    <x v="22"/>
  </r>
  <r>
    <n v="273"/>
    <n v="104"/>
    <x v="4"/>
    <x v="2"/>
    <x v="2"/>
    <n v="9"/>
    <x v="8"/>
    <n v="2000"/>
    <n v="2213"/>
    <n v="1000"/>
    <n v="1000"/>
    <n v="213"/>
    <n v="0"/>
    <n v="1213"/>
    <n v="1000"/>
    <n v="213"/>
    <n v="0.1065"/>
    <n v="0"/>
    <n v="0.21299999999999999"/>
    <n v="0.54812471757794845"/>
    <x v="22"/>
  </r>
  <r>
    <n v="274"/>
    <n v="104"/>
    <x v="4"/>
    <x v="2"/>
    <x v="2"/>
    <n v="10"/>
    <x v="9"/>
    <n v="7000"/>
    <n v="6471"/>
    <n v="1400"/>
    <n v="1400"/>
    <n v="-529"/>
    <n v="0"/>
    <n v="5071"/>
    <n v="5600"/>
    <n v="-529"/>
    <n v="-7.5571428571428567E-2"/>
    <n v="0"/>
    <n v="-9.4464285714285709E-2"/>
    <n v="0.78365013135527739"/>
    <x v="22"/>
  </r>
  <r>
    <n v="275"/>
    <n v="104"/>
    <x v="4"/>
    <x v="2"/>
    <x v="2"/>
    <n v="11"/>
    <x v="10"/>
    <n v="9000"/>
    <n v="5070"/>
    <n v="4500"/>
    <n v="4000"/>
    <n v="-3930"/>
    <n v="500"/>
    <n v="1070"/>
    <n v="4500"/>
    <n v="-3430"/>
    <n v="-0.43666666666666665"/>
    <n v="0.1111111111111111"/>
    <n v="-0.76222222222222225"/>
    <n v="0.21104536489151873"/>
    <x v="22"/>
  </r>
  <r>
    <n v="276"/>
    <n v="104"/>
    <x v="4"/>
    <x v="2"/>
    <x v="2"/>
    <n v="12"/>
    <x v="11"/>
    <n v="3000"/>
    <n v="6173"/>
    <n v="1500"/>
    <n v="1400"/>
    <n v="3173"/>
    <n v="100"/>
    <n v="4773"/>
    <n v="1500"/>
    <n v="3273"/>
    <n v="1.0576666666666668"/>
    <n v="6.6666666666666666E-2"/>
    <n v="2.1819999999999999"/>
    <n v="0.77320589664668715"/>
    <x v="22"/>
  </r>
  <r>
    <n v="277"/>
    <n v="104"/>
    <x v="4"/>
    <x v="3"/>
    <x v="3"/>
    <n v="1"/>
    <x v="0"/>
    <n v="5000"/>
    <n v="6683"/>
    <n v="1000"/>
    <n v="900"/>
    <n v="1683"/>
    <n v="100"/>
    <n v="5783"/>
    <n v="4000"/>
    <n v="1783"/>
    <n v="0.33660000000000001"/>
    <n v="0.1"/>
    <n v="0.44574999999999998"/>
    <n v="0.86532994164297472"/>
    <x v="23"/>
  </r>
  <r>
    <n v="278"/>
    <n v="104"/>
    <x v="4"/>
    <x v="3"/>
    <x v="3"/>
    <n v="2"/>
    <x v="1"/>
    <n v="1000"/>
    <n v="5532"/>
    <n v="200"/>
    <n v="200"/>
    <n v="4532"/>
    <n v="0"/>
    <n v="5332"/>
    <n v="800"/>
    <n v="4532"/>
    <n v="4.532"/>
    <n v="0"/>
    <n v="5.665"/>
    <n v="0.96384671005061462"/>
    <x v="23"/>
  </r>
  <r>
    <n v="279"/>
    <n v="104"/>
    <x v="4"/>
    <x v="3"/>
    <x v="3"/>
    <n v="3"/>
    <x v="2"/>
    <n v="3000"/>
    <n v="2523"/>
    <n v="1000"/>
    <n v="1000"/>
    <n v="-477"/>
    <n v="0"/>
    <n v="1523"/>
    <n v="2000"/>
    <n v="-477"/>
    <n v="-0.159"/>
    <n v="0"/>
    <n v="-0.23849999999999999"/>
    <n v="0.60364645263575112"/>
    <x v="23"/>
  </r>
  <r>
    <n v="280"/>
    <n v="104"/>
    <x v="4"/>
    <x v="3"/>
    <x v="3"/>
    <n v="4"/>
    <x v="3"/>
    <n v="2000"/>
    <n v="3144"/>
    <n v="400"/>
    <n v="300"/>
    <n v="1144"/>
    <n v="100"/>
    <n v="2844"/>
    <n v="1600"/>
    <n v="1244"/>
    <n v="0.57199999999999995"/>
    <n v="0.25"/>
    <n v="0.77749999999999997"/>
    <n v="0.90458015267175573"/>
    <x v="23"/>
  </r>
  <r>
    <n v="281"/>
    <n v="104"/>
    <x v="4"/>
    <x v="3"/>
    <x v="3"/>
    <n v="5"/>
    <x v="4"/>
    <n v="3000"/>
    <n v="3332"/>
    <n v="600"/>
    <n v="200"/>
    <n v="332"/>
    <n v="400"/>
    <n v="3132"/>
    <n v="2400"/>
    <n v="732"/>
    <n v="0.11066666666666666"/>
    <n v="0.66666666666666663"/>
    <n v="0.30499999999999999"/>
    <n v="0.93997599039615842"/>
    <x v="23"/>
  </r>
  <r>
    <n v="282"/>
    <n v="104"/>
    <x v="4"/>
    <x v="3"/>
    <x v="3"/>
    <n v="6"/>
    <x v="5"/>
    <n v="4000"/>
    <n v="2214"/>
    <n v="800"/>
    <n v="400"/>
    <n v="-1786"/>
    <n v="400"/>
    <n v="1814"/>
    <n v="3200"/>
    <n v="-1386"/>
    <n v="-0.44650000000000001"/>
    <n v="0.5"/>
    <n v="-0.43312499999999998"/>
    <n v="0.81933152664859987"/>
    <x v="23"/>
  </r>
  <r>
    <n v="283"/>
    <n v="104"/>
    <x v="4"/>
    <x v="3"/>
    <x v="3"/>
    <n v="7"/>
    <x v="6"/>
    <n v="1000"/>
    <n v="3516"/>
    <n v="500"/>
    <n v="400"/>
    <n v="2516"/>
    <n v="100"/>
    <n v="3116"/>
    <n v="500"/>
    <n v="2616"/>
    <n v="2.516"/>
    <n v="0.2"/>
    <n v="5.2320000000000002"/>
    <n v="0.88623435722411836"/>
    <x v="23"/>
  </r>
  <r>
    <n v="284"/>
    <n v="104"/>
    <x v="4"/>
    <x v="3"/>
    <x v="3"/>
    <n v="8"/>
    <x v="7"/>
    <n v="3000"/>
    <n v="7657"/>
    <n v="1500"/>
    <n v="1400"/>
    <n v="4657"/>
    <n v="100"/>
    <n v="6257"/>
    <n v="1500"/>
    <n v="4757"/>
    <n v="1.5523333333333333"/>
    <n v="6.6666666666666666E-2"/>
    <n v="3.1713333333333331"/>
    <n v="0.81716076792477477"/>
    <x v="23"/>
  </r>
  <r>
    <n v="285"/>
    <n v="104"/>
    <x v="4"/>
    <x v="3"/>
    <x v="3"/>
    <n v="9"/>
    <x v="8"/>
    <n v="9000"/>
    <n v="4421"/>
    <n v="4500"/>
    <n v="4300"/>
    <n v="-4579"/>
    <n v="200"/>
    <n v="121"/>
    <n v="4500"/>
    <n v="-4379"/>
    <n v="-0.50877777777777777"/>
    <n v="4.4444444444444446E-2"/>
    <n v="-0.97311111111111115"/>
    <n v="2.7369373444921963E-2"/>
    <x v="23"/>
  </r>
  <r>
    <n v="286"/>
    <n v="104"/>
    <x v="4"/>
    <x v="3"/>
    <x v="3"/>
    <n v="10"/>
    <x v="9"/>
    <n v="5000"/>
    <n v="2414"/>
    <n v="1250"/>
    <n v="1050"/>
    <n v="-2586"/>
    <n v="200"/>
    <n v="1364"/>
    <n v="3750"/>
    <n v="-2386"/>
    <n v="-0.51719999999999999"/>
    <n v="0.16"/>
    <n v="-0.63626666666666665"/>
    <n v="0.56503728251864127"/>
    <x v="23"/>
  </r>
  <r>
    <n v="287"/>
    <n v="104"/>
    <x v="4"/>
    <x v="3"/>
    <x v="3"/>
    <n v="11"/>
    <x v="10"/>
    <n v="7000"/>
    <n v="4144"/>
    <n v="1750"/>
    <n v="950"/>
    <n v="-2856"/>
    <n v="800"/>
    <n v="3194"/>
    <n v="5250"/>
    <n v="-2056"/>
    <n v="-0.40799999999999997"/>
    <n v="0.45714285714285713"/>
    <n v="-0.39161904761904764"/>
    <n v="0.77075289575289574"/>
    <x v="23"/>
  </r>
  <r>
    <n v="288"/>
    <n v="104"/>
    <x v="4"/>
    <x v="3"/>
    <x v="3"/>
    <n v="12"/>
    <x v="11"/>
    <n v="9000"/>
    <n v="7222"/>
    <n v="2250"/>
    <n v="2150"/>
    <n v="-1778"/>
    <n v="100"/>
    <n v="5072"/>
    <n v="6750"/>
    <n v="-1678"/>
    <n v="-0.19755555555555557"/>
    <n v="4.4444444444444446E-2"/>
    <n v="-0.24859259259259259"/>
    <n v="0.70229853226253114"/>
    <x v="23"/>
  </r>
  <r>
    <n v="289"/>
    <n v="104"/>
    <x v="4"/>
    <x v="4"/>
    <x v="4"/>
    <n v="1"/>
    <x v="0"/>
    <n v="2000"/>
    <n v="4514"/>
    <n v="666.66666666666663"/>
    <n v="666.66666666666663"/>
    <n v="2514"/>
    <n v="0"/>
    <n v="3847.3333333333335"/>
    <n v="1333.3333333333335"/>
    <n v="2514"/>
    <n v="1.2569999999999999"/>
    <n v="0"/>
    <n v="1.8854999999999997"/>
    <n v="0.8523113277211638"/>
    <x v="24"/>
  </r>
  <r>
    <n v="290"/>
    <n v="104"/>
    <x v="4"/>
    <x v="4"/>
    <x v="4"/>
    <n v="2"/>
    <x v="1"/>
    <n v="7000"/>
    <n v="2534"/>
    <n v="2333.3333333333335"/>
    <n v="2033.3333333333335"/>
    <n v="-4466"/>
    <n v="300"/>
    <n v="500.66666666666652"/>
    <n v="4666.6666666666661"/>
    <n v="-4166"/>
    <n v="-0.63800000000000001"/>
    <n v="0.12857142857142856"/>
    <n v="-0.89271428571428579"/>
    <n v="0.19757958431991576"/>
    <x v="24"/>
  </r>
  <r>
    <n v="291"/>
    <n v="104"/>
    <x v="4"/>
    <x v="4"/>
    <x v="4"/>
    <n v="3"/>
    <x v="2"/>
    <n v="5000"/>
    <n v="4546"/>
    <n v="2500"/>
    <n v="2500"/>
    <n v="-454"/>
    <n v="0"/>
    <n v="2046"/>
    <n v="2500"/>
    <n v="-454"/>
    <n v="-9.0800000000000006E-2"/>
    <n v="0"/>
    <n v="-0.18160000000000001"/>
    <n v="0.45006599208095027"/>
    <x v="24"/>
  </r>
  <r>
    <n v="292"/>
    <n v="104"/>
    <x v="4"/>
    <x v="4"/>
    <x v="4"/>
    <n v="4"/>
    <x v="3"/>
    <n v="3000"/>
    <n v="2327"/>
    <n v="600"/>
    <n v="400"/>
    <n v="-673"/>
    <n v="200"/>
    <n v="1927"/>
    <n v="2400"/>
    <n v="-473"/>
    <n v="-0.22433333333333333"/>
    <n v="0.33333333333333331"/>
    <n v="-0.19708333333333333"/>
    <n v="0.82810485603781692"/>
    <x v="24"/>
  </r>
  <r>
    <n v="293"/>
    <n v="104"/>
    <x v="4"/>
    <x v="4"/>
    <x v="4"/>
    <n v="5"/>
    <x v="4"/>
    <n v="4000"/>
    <n v="6523"/>
    <n v="800"/>
    <n v="200"/>
    <n v="2523"/>
    <n v="600"/>
    <n v="6323"/>
    <n v="3200"/>
    <n v="3123"/>
    <n v="0.63075000000000003"/>
    <n v="0.75"/>
    <n v="0.97593750000000001"/>
    <n v="0.96933926107619195"/>
    <x v="24"/>
  </r>
  <r>
    <n v="294"/>
    <n v="104"/>
    <x v="4"/>
    <x v="4"/>
    <x v="4"/>
    <n v="6"/>
    <x v="5"/>
    <n v="1000"/>
    <n v="6162"/>
    <n v="333.33333333333331"/>
    <n v="133.33333333333331"/>
    <n v="5162"/>
    <n v="200"/>
    <n v="6028.666666666667"/>
    <n v="666.66666666666674"/>
    <n v="5362"/>
    <n v="5.1619999999999999"/>
    <n v="0.60000000000000009"/>
    <n v="8.0429999999999993"/>
    <n v="0.97836200367845938"/>
    <x v="24"/>
  </r>
  <r>
    <n v="295"/>
    <n v="104"/>
    <x v="4"/>
    <x v="4"/>
    <x v="4"/>
    <n v="7"/>
    <x v="6"/>
    <n v="2000"/>
    <n v="7572"/>
    <n v="500"/>
    <n v="200"/>
    <n v="5572"/>
    <n v="300"/>
    <n v="7372"/>
    <n v="1500"/>
    <n v="5872"/>
    <n v="2.786"/>
    <n v="0.6"/>
    <n v="3.9146666666666667"/>
    <n v="0.97358689910195462"/>
    <x v="24"/>
  </r>
  <r>
    <n v="296"/>
    <n v="104"/>
    <x v="4"/>
    <x v="4"/>
    <x v="4"/>
    <n v="8"/>
    <x v="7"/>
    <n v="7000"/>
    <n v="4422"/>
    <n v="2333.3333333333335"/>
    <n v="2133.3333333333335"/>
    <n v="-2578"/>
    <n v="200"/>
    <n v="2288.6666666666665"/>
    <n v="4666.6666666666661"/>
    <n v="-2377.9999999999995"/>
    <n v="-0.36828571428571427"/>
    <n v="8.5714285714285715E-2"/>
    <n v="-0.50957142857142856"/>
    <n v="0.51756369666817426"/>
    <x v="24"/>
  </r>
  <r>
    <n v="297"/>
    <n v="104"/>
    <x v="4"/>
    <x v="4"/>
    <x v="4"/>
    <n v="9"/>
    <x v="8"/>
    <n v="6000"/>
    <n v="9663"/>
    <n v="1200"/>
    <n v="800"/>
    <n v="3663"/>
    <n v="400"/>
    <n v="8863"/>
    <n v="4800"/>
    <n v="4063"/>
    <n v="0.61050000000000004"/>
    <n v="0.33333333333333331"/>
    <n v="0.84645833333333331"/>
    <n v="0.91720997619786815"/>
    <x v="24"/>
  </r>
  <r>
    <n v="298"/>
    <n v="104"/>
    <x v="4"/>
    <x v="4"/>
    <x v="4"/>
    <n v="10"/>
    <x v="9"/>
    <n v="4000"/>
    <n v="7238"/>
    <n v="800"/>
    <n v="100"/>
    <n v="3238"/>
    <n v="700"/>
    <n v="7138"/>
    <n v="3200"/>
    <n v="3938"/>
    <n v="0.8095"/>
    <n v="0.875"/>
    <n v="1.2306250000000001"/>
    <n v="0.98618402873722022"/>
    <x v="24"/>
  </r>
  <r>
    <n v="299"/>
    <n v="104"/>
    <x v="4"/>
    <x v="4"/>
    <x v="4"/>
    <n v="11"/>
    <x v="10"/>
    <n v="5000"/>
    <n v="8595"/>
    <n v="2500"/>
    <n v="2400"/>
    <n v="3595"/>
    <n v="100"/>
    <n v="6195"/>
    <n v="2500"/>
    <n v="3695"/>
    <n v="0.71899999999999997"/>
    <n v="0.04"/>
    <n v="1.478"/>
    <n v="0.72076788830715532"/>
    <x v="24"/>
  </r>
  <r>
    <n v="300"/>
    <n v="104"/>
    <x v="4"/>
    <x v="4"/>
    <x v="4"/>
    <n v="12"/>
    <x v="11"/>
    <n v="7000"/>
    <n v="4435"/>
    <n v="1750"/>
    <n v="1550"/>
    <n v="-2565"/>
    <n v="200"/>
    <n v="2885"/>
    <n v="5250"/>
    <n v="-2365"/>
    <n v="-0.36642857142857144"/>
    <n v="0.11428571428571428"/>
    <n v="-0.45047619047619047"/>
    <n v="0.65050732807215328"/>
    <x v="24"/>
  </r>
  <r>
    <n v="301"/>
    <n v="105"/>
    <x v="5"/>
    <x v="0"/>
    <x v="0"/>
    <n v="1"/>
    <x v="0"/>
    <n v="2000"/>
    <n v="2243"/>
    <n v="500"/>
    <n v="400"/>
    <n v="243"/>
    <n v="100"/>
    <n v="1843"/>
    <n v="1500"/>
    <n v="343"/>
    <n v="0.1215"/>
    <n v="0.2"/>
    <n v="0.22866666666666666"/>
    <n v="0.82166740971912622"/>
    <x v="25"/>
  </r>
  <r>
    <n v="302"/>
    <n v="105"/>
    <x v="5"/>
    <x v="0"/>
    <x v="0"/>
    <n v="2"/>
    <x v="1"/>
    <n v="3000"/>
    <n v="5267"/>
    <n v="1500"/>
    <n v="700"/>
    <n v="2267"/>
    <n v="800"/>
    <n v="4567"/>
    <n v="1500"/>
    <n v="3067"/>
    <n v="0.75566666666666671"/>
    <n v="0.53333333333333333"/>
    <n v="2.0446666666666666"/>
    <n v="0.86709701917600157"/>
    <x v="25"/>
  </r>
  <r>
    <n v="303"/>
    <n v="105"/>
    <x v="5"/>
    <x v="0"/>
    <x v="0"/>
    <n v="3"/>
    <x v="2"/>
    <n v="7000"/>
    <n v="4376"/>
    <n v="1400"/>
    <n v="900"/>
    <n v="-2624"/>
    <n v="500"/>
    <n v="3476"/>
    <n v="5600"/>
    <n v="-2124"/>
    <n v="-0.37485714285714283"/>
    <n v="0.35714285714285715"/>
    <n v="-0.37928571428571428"/>
    <n v="0.79433272394881171"/>
    <x v="25"/>
  </r>
  <r>
    <n v="304"/>
    <n v="105"/>
    <x v="5"/>
    <x v="0"/>
    <x v="0"/>
    <n v="4"/>
    <x v="3"/>
    <n v="3000"/>
    <n v="7067"/>
    <n v="1000"/>
    <n v="700"/>
    <n v="4067"/>
    <n v="300"/>
    <n v="6367"/>
    <n v="2000"/>
    <n v="4367"/>
    <n v="1.3556666666666666"/>
    <n v="0.3"/>
    <n v="2.1835"/>
    <n v="0.90094806848733555"/>
    <x v="25"/>
  </r>
  <r>
    <n v="305"/>
    <n v="105"/>
    <x v="5"/>
    <x v="0"/>
    <x v="0"/>
    <n v="5"/>
    <x v="4"/>
    <n v="2000"/>
    <n v="7514"/>
    <n v="400"/>
    <n v="200"/>
    <n v="5514"/>
    <n v="200"/>
    <n v="7314"/>
    <n v="1600"/>
    <n v="5714"/>
    <n v="2.7570000000000001"/>
    <n v="0.5"/>
    <n v="3.57125"/>
    <n v="0.97338301836571728"/>
    <x v="25"/>
  </r>
  <r>
    <n v="306"/>
    <n v="105"/>
    <x v="5"/>
    <x v="0"/>
    <x v="0"/>
    <n v="6"/>
    <x v="5"/>
    <n v="4000"/>
    <n v="6127"/>
    <n v="800"/>
    <n v="200"/>
    <n v="2127"/>
    <n v="600"/>
    <n v="5927"/>
    <n v="3200"/>
    <n v="2727"/>
    <n v="0.53174999999999994"/>
    <n v="0.75"/>
    <n v="0.85218749999999999"/>
    <n v="0.96735759751917738"/>
    <x v="25"/>
  </r>
  <r>
    <n v="307"/>
    <n v="105"/>
    <x v="5"/>
    <x v="0"/>
    <x v="0"/>
    <n v="7"/>
    <x v="6"/>
    <n v="4000"/>
    <n v="4343"/>
    <n v="1333.3333333333333"/>
    <n v="933.33333333333326"/>
    <n v="343"/>
    <n v="400"/>
    <n v="3409.666666666667"/>
    <n v="2666.666666666667"/>
    <n v="743"/>
    <n v="8.5750000000000007E-2"/>
    <n v="0.30000000000000004"/>
    <n v="0.27862499999999996"/>
    <n v="0.78509478854862236"/>
    <x v="25"/>
  </r>
  <r>
    <n v="308"/>
    <n v="105"/>
    <x v="5"/>
    <x v="0"/>
    <x v="0"/>
    <n v="8"/>
    <x v="7"/>
    <n v="4000"/>
    <n v="8721"/>
    <n v="1333.3333333333333"/>
    <n v="1233.3333333333333"/>
    <n v="4721"/>
    <n v="100"/>
    <n v="7487.666666666667"/>
    <n v="2666.666666666667"/>
    <n v="4821"/>
    <n v="1.18025"/>
    <n v="7.5000000000000011E-2"/>
    <n v="1.8078749999999999"/>
    <n v="0.85857890914650459"/>
    <x v="25"/>
  </r>
  <r>
    <n v="309"/>
    <n v="105"/>
    <x v="5"/>
    <x v="0"/>
    <x v="0"/>
    <n v="9"/>
    <x v="8"/>
    <n v="7000"/>
    <n v="8564"/>
    <n v="1750"/>
    <n v="1550"/>
    <n v="1564"/>
    <n v="200"/>
    <n v="7014"/>
    <n v="5250"/>
    <n v="1764"/>
    <n v="0.22342857142857142"/>
    <n v="0.11428571428571428"/>
    <n v="0.33600000000000002"/>
    <n v="0.8190098085007006"/>
    <x v="25"/>
  </r>
  <r>
    <n v="310"/>
    <n v="105"/>
    <x v="5"/>
    <x v="0"/>
    <x v="0"/>
    <n v="10"/>
    <x v="9"/>
    <n v="3000"/>
    <n v="2641"/>
    <n v="1000"/>
    <n v="900"/>
    <n v="-359"/>
    <n v="100"/>
    <n v="1741"/>
    <n v="2000"/>
    <n v="-259"/>
    <n v="-0.11966666666666667"/>
    <n v="0.1"/>
    <n v="-0.1295"/>
    <n v="0.65921999242711093"/>
    <x v="25"/>
  </r>
  <r>
    <n v="311"/>
    <n v="105"/>
    <x v="5"/>
    <x v="0"/>
    <x v="0"/>
    <n v="11"/>
    <x v="10"/>
    <n v="5000"/>
    <n v="7826"/>
    <n v="1666.6666666666667"/>
    <n v="966.66666666666674"/>
    <n v="2826"/>
    <n v="700"/>
    <n v="6859.333333333333"/>
    <n v="3333.333333333333"/>
    <n v="3526"/>
    <n v="0.56520000000000004"/>
    <n v="0.42"/>
    <n v="1.0578000000000001"/>
    <n v="0.87648010903824858"/>
    <x v="25"/>
  </r>
  <r>
    <n v="312"/>
    <n v="105"/>
    <x v="5"/>
    <x v="0"/>
    <x v="0"/>
    <n v="12"/>
    <x v="11"/>
    <n v="4000"/>
    <n v="3583"/>
    <n v="800"/>
    <n v="700"/>
    <n v="-417"/>
    <n v="100"/>
    <n v="2883"/>
    <n v="3200"/>
    <n v="-317"/>
    <n v="-0.10425"/>
    <n v="0.125"/>
    <n v="-9.9062499999999998E-2"/>
    <n v="0.80463298911526648"/>
    <x v="25"/>
  </r>
  <r>
    <n v="313"/>
    <n v="105"/>
    <x v="5"/>
    <x v="1"/>
    <x v="1"/>
    <n v="1"/>
    <x v="0"/>
    <n v="5000"/>
    <n v="7576"/>
    <n v="1250"/>
    <n v="1250"/>
    <n v="2576"/>
    <n v="0"/>
    <n v="6326"/>
    <n v="3750"/>
    <n v="2576"/>
    <n v="0.51519999999999999"/>
    <n v="0"/>
    <n v="0.68693333333333328"/>
    <n v="0.83500527983104544"/>
    <x v="26"/>
  </r>
  <r>
    <n v="314"/>
    <n v="105"/>
    <x v="5"/>
    <x v="1"/>
    <x v="1"/>
    <n v="2"/>
    <x v="1"/>
    <n v="4000"/>
    <n v="5322"/>
    <n v="800"/>
    <n v="800"/>
    <n v="1322"/>
    <n v="0"/>
    <n v="4522"/>
    <n v="3200"/>
    <n v="1322"/>
    <n v="0.33050000000000002"/>
    <n v="0"/>
    <n v="0.41312500000000002"/>
    <n v="0.84968057121382934"/>
    <x v="26"/>
  </r>
  <r>
    <n v="315"/>
    <n v="105"/>
    <x v="5"/>
    <x v="1"/>
    <x v="1"/>
    <n v="3"/>
    <x v="2"/>
    <n v="7000"/>
    <n v="2411"/>
    <n v="2333.3333333333335"/>
    <n v="2233.3333333333335"/>
    <n v="-4589"/>
    <n v="100"/>
    <n v="177.66666666666652"/>
    <n v="4666.6666666666661"/>
    <n v="-4489"/>
    <n v="-0.65557142857142858"/>
    <n v="4.2857142857142858E-2"/>
    <n v="-0.96192857142857158"/>
    <n v="7.3690031798700331E-2"/>
    <x v="26"/>
  </r>
  <r>
    <n v="316"/>
    <n v="105"/>
    <x v="5"/>
    <x v="1"/>
    <x v="1"/>
    <n v="4"/>
    <x v="3"/>
    <n v="5000"/>
    <n v="5151"/>
    <n v="2500"/>
    <n v="1700"/>
    <n v="151"/>
    <n v="800"/>
    <n v="3451"/>
    <n v="2500"/>
    <n v="951"/>
    <n v="3.0200000000000001E-2"/>
    <n v="0.32"/>
    <n v="0.38040000000000002"/>
    <n v="0.66996699669966997"/>
    <x v="26"/>
  </r>
  <r>
    <n v="317"/>
    <n v="105"/>
    <x v="5"/>
    <x v="1"/>
    <x v="1"/>
    <n v="5"/>
    <x v="4"/>
    <n v="4000"/>
    <n v="7272"/>
    <n v="2000"/>
    <n v="1800"/>
    <n v="3272"/>
    <n v="200"/>
    <n v="5472"/>
    <n v="2000"/>
    <n v="3472"/>
    <n v="0.81799999999999995"/>
    <n v="0.1"/>
    <n v="1.736"/>
    <n v="0.75247524752475248"/>
    <x v="26"/>
  </r>
  <r>
    <n v="318"/>
    <n v="105"/>
    <x v="5"/>
    <x v="1"/>
    <x v="1"/>
    <n v="6"/>
    <x v="5"/>
    <n v="1000"/>
    <n v="5268"/>
    <n v="250"/>
    <n v="850"/>
    <n v="4268"/>
    <n v="-600"/>
    <n v="4418"/>
    <n v="750"/>
    <n v="3668"/>
    <n v="4.2679999999999998"/>
    <n v="-2.4"/>
    <n v="4.8906666666666663"/>
    <n v="0.83864844343204248"/>
    <x v="26"/>
  </r>
  <r>
    <n v="319"/>
    <n v="105"/>
    <x v="5"/>
    <x v="1"/>
    <x v="1"/>
    <n v="7"/>
    <x v="6"/>
    <n v="3000"/>
    <n v="5134"/>
    <n v="1500"/>
    <n v="1100"/>
    <n v="2134"/>
    <n v="400"/>
    <n v="4034"/>
    <n v="1500"/>
    <n v="2534"/>
    <n v="0.71133333333333337"/>
    <n v="0.26666666666666666"/>
    <n v="1.6893333333333334"/>
    <n v="0.78574211141410211"/>
    <x v="26"/>
  </r>
  <r>
    <n v="320"/>
    <n v="105"/>
    <x v="5"/>
    <x v="1"/>
    <x v="1"/>
    <n v="8"/>
    <x v="7"/>
    <n v="5000"/>
    <n v="5456"/>
    <n v="1666.6666666666667"/>
    <n v="1266.6666666666667"/>
    <n v="456"/>
    <n v="400"/>
    <n v="4189.333333333333"/>
    <n v="3333.333333333333"/>
    <n v="856"/>
    <n v="9.1200000000000003E-2"/>
    <n v="0.24"/>
    <n v="0.25680000000000003"/>
    <n v="0.76783968719452589"/>
    <x v="26"/>
  </r>
  <r>
    <n v="321"/>
    <n v="105"/>
    <x v="5"/>
    <x v="1"/>
    <x v="1"/>
    <n v="9"/>
    <x v="8"/>
    <n v="2000"/>
    <n v="3114"/>
    <n v="500"/>
    <n v="500"/>
    <n v="1114"/>
    <n v="0"/>
    <n v="2614"/>
    <n v="1500"/>
    <n v="1114"/>
    <n v="0.55700000000000005"/>
    <n v="0"/>
    <n v="0.7426666666666667"/>
    <n v="0.83943481053307645"/>
    <x v="26"/>
  </r>
  <r>
    <n v="322"/>
    <n v="105"/>
    <x v="5"/>
    <x v="1"/>
    <x v="1"/>
    <n v="10"/>
    <x v="9"/>
    <n v="3000"/>
    <n v="4536"/>
    <n v="1000"/>
    <n v="800"/>
    <n v="1536"/>
    <n v="200"/>
    <n v="3736"/>
    <n v="2000"/>
    <n v="1736"/>
    <n v="0.51200000000000001"/>
    <n v="0.2"/>
    <n v="0.86799999999999999"/>
    <n v="0.82363315696649031"/>
    <x v="26"/>
  </r>
  <r>
    <n v="323"/>
    <n v="105"/>
    <x v="5"/>
    <x v="1"/>
    <x v="1"/>
    <n v="11"/>
    <x v="10"/>
    <n v="6000"/>
    <n v="3242"/>
    <n v="1500"/>
    <n v="1100"/>
    <n v="-2758"/>
    <n v="400"/>
    <n v="2142"/>
    <n v="4500"/>
    <n v="-2358"/>
    <n v="-0.45966666666666667"/>
    <n v="0.26666666666666666"/>
    <n v="-0.52400000000000002"/>
    <n v="0.66070326958667491"/>
    <x v="26"/>
  </r>
  <r>
    <n v="324"/>
    <n v="105"/>
    <x v="5"/>
    <x v="1"/>
    <x v="1"/>
    <n v="12"/>
    <x v="11"/>
    <n v="6000"/>
    <n v="6216"/>
    <n v="1500"/>
    <n v="1100"/>
    <n v="216"/>
    <n v="400"/>
    <n v="5116"/>
    <n v="4500"/>
    <n v="616"/>
    <n v="3.5999999999999997E-2"/>
    <n v="0.26666666666666666"/>
    <n v="0.13688888888888889"/>
    <n v="0.82303732303732302"/>
    <x v="26"/>
  </r>
  <r>
    <n v="325"/>
    <n v="105"/>
    <x v="5"/>
    <x v="2"/>
    <x v="2"/>
    <n v="1"/>
    <x v="0"/>
    <n v="5000"/>
    <n v="3554"/>
    <n v="2500"/>
    <n v="2000"/>
    <n v="-1446"/>
    <n v="500"/>
    <n v="1554"/>
    <n v="2500"/>
    <n v="-946"/>
    <n v="-0.28920000000000001"/>
    <n v="0.2"/>
    <n v="-0.37840000000000001"/>
    <n v="0.43725379853685986"/>
    <x v="27"/>
  </r>
  <r>
    <n v="326"/>
    <n v="105"/>
    <x v="5"/>
    <x v="2"/>
    <x v="2"/>
    <n v="2"/>
    <x v="1"/>
    <n v="4000"/>
    <n v="5185"/>
    <n v="2000"/>
    <n v="1500"/>
    <n v="1185"/>
    <n v="500"/>
    <n v="3685"/>
    <n v="2000"/>
    <n v="1685"/>
    <n v="0.29625000000000001"/>
    <n v="0.25"/>
    <n v="0.84250000000000003"/>
    <n v="0.71070395371263262"/>
    <x v="27"/>
  </r>
  <r>
    <n v="327"/>
    <n v="105"/>
    <x v="5"/>
    <x v="2"/>
    <x v="2"/>
    <n v="3"/>
    <x v="2"/>
    <n v="5000"/>
    <n v="8814"/>
    <n v="1000"/>
    <n v="700"/>
    <n v="3814"/>
    <n v="300"/>
    <n v="8114"/>
    <n v="4000"/>
    <n v="4114"/>
    <n v="0.76280000000000003"/>
    <n v="0.3"/>
    <n v="1.0285"/>
    <n v="0.92058089403222143"/>
    <x v="27"/>
  </r>
  <r>
    <n v="328"/>
    <n v="105"/>
    <x v="5"/>
    <x v="2"/>
    <x v="2"/>
    <n v="4"/>
    <x v="3"/>
    <n v="3000"/>
    <n v="6111"/>
    <n v="750"/>
    <n v="350"/>
    <n v="3111"/>
    <n v="400"/>
    <n v="5761"/>
    <n v="2250"/>
    <n v="3511"/>
    <n v="1.0369999999999999"/>
    <n v="0.53333333333333333"/>
    <n v="1.5604444444444445"/>
    <n v="0.94272623138602518"/>
    <x v="27"/>
  </r>
  <r>
    <n v="329"/>
    <n v="105"/>
    <x v="5"/>
    <x v="2"/>
    <x v="2"/>
    <n v="5"/>
    <x v="4"/>
    <n v="4000"/>
    <n v="8811"/>
    <n v="1000"/>
    <n v="900"/>
    <n v="4811"/>
    <n v="100"/>
    <n v="7911"/>
    <n v="3000"/>
    <n v="4911"/>
    <n v="1.20275"/>
    <n v="0.1"/>
    <n v="1.637"/>
    <n v="0.89785495403472937"/>
    <x v="27"/>
  </r>
  <r>
    <n v="330"/>
    <n v="105"/>
    <x v="5"/>
    <x v="2"/>
    <x v="2"/>
    <n v="6"/>
    <x v="5"/>
    <n v="10000"/>
    <n v="3432"/>
    <n v="5000"/>
    <n v="4800"/>
    <n v="-6568"/>
    <n v="200"/>
    <n v="-1368"/>
    <n v="5000"/>
    <n v="-6368"/>
    <n v="-0.65680000000000005"/>
    <n v="0.04"/>
    <n v="-1.2736000000000001"/>
    <n v="-0.39860139860139859"/>
    <x v="27"/>
  </r>
  <r>
    <n v="331"/>
    <n v="105"/>
    <x v="5"/>
    <x v="2"/>
    <x v="2"/>
    <n v="7"/>
    <x v="6"/>
    <n v="3000"/>
    <n v="4266"/>
    <n v="750"/>
    <n v="550"/>
    <n v="1266"/>
    <n v="200"/>
    <n v="3716"/>
    <n v="2250"/>
    <n v="1466"/>
    <n v="0.42199999999999999"/>
    <n v="0.26666666666666666"/>
    <n v="0.65155555555555555"/>
    <n v="0.87107360525082045"/>
    <x v="27"/>
  </r>
  <r>
    <n v="332"/>
    <n v="105"/>
    <x v="5"/>
    <x v="2"/>
    <x v="2"/>
    <n v="8"/>
    <x v="7"/>
    <n v="2000"/>
    <n v="3576"/>
    <n v="1000"/>
    <n v="700"/>
    <n v="1576"/>
    <n v="300"/>
    <n v="2876"/>
    <n v="1000"/>
    <n v="1876"/>
    <n v="0.78800000000000003"/>
    <n v="0.3"/>
    <n v="1.8759999999999999"/>
    <n v="0.80425055928411637"/>
    <x v="27"/>
  </r>
  <r>
    <n v="333"/>
    <n v="105"/>
    <x v="5"/>
    <x v="2"/>
    <x v="2"/>
    <n v="9"/>
    <x v="8"/>
    <n v="2000"/>
    <n v="6678"/>
    <n v="666.66666666666663"/>
    <n v="566.66666666666663"/>
    <n v="4678"/>
    <n v="100"/>
    <n v="6111.333333333333"/>
    <n v="1333.3333333333335"/>
    <n v="4778"/>
    <n v="2.339"/>
    <n v="0.15000000000000002"/>
    <n v="3.5834999999999995"/>
    <n v="0.9151442547668962"/>
    <x v="27"/>
  </r>
  <r>
    <n v="334"/>
    <n v="105"/>
    <x v="5"/>
    <x v="2"/>
    <x v="2"/>
    <n v="10"/>
    <x v="9"/>
    <n v="8000"/>
    <n v="2334"/>
    <n v="2000"/>
    <n v="2000"/>
    <n v="-5666"/>
    <n v="0"/>
    <n v="334"/>
    <n v="6000"/>
    <n v="-5666"/>
    <n v="-0.70825000000000005"/>
    <n v="0"/>
    <n v="-0.94433333333333336"/>
    <n v="0.143101970865467"/>
    <x v="27"/>
  </r>
  <r>
    <n v="335"/>
    <n v="105"/>
    <x v="5"/>
    <x v="2"/>
    <x v="2"/>
    <n v="11"/>
    <x v="10"/>
    <n v="1000"/>
    <n v="3225"/>
    <n v="333.33333333333331"/>
    <n v="166.66666666666669"/>
    <n v="2225"/>
    <n v="166.66666666666663"/>
    <n v="3058.3333333333335"/>
    <n v="666.66666666666674"/>
    <n v="2391.666666666667"/>
    <n v="2.2250000000000001"/>
    <n v="0.49999999999999989"/>
    <n v="3.5874999999999999"/>
    <n v="0.9483204134366926"/>
    <x v="27"/>
  </r>
  <r>
    <n v="336"/>
    <n v="105"/>
    <x v="5"/>
    <x v="2"/>
    <x v="2"/>
    <n v="12"/>
    <x v="11"/>
    <n v="6000"/>
    <n v="5786"/>
    <n v="3000"/>
    <n v="2500"/>
    <n v="-214"/>
    <n v="500"/>
    <n v="3286"/>
    <n v="3000"/>
    <n v="286"/>
    <n v="-3.5666666666666666E-2"/>
    <n v="0.16666666666666666"/>
    <n v="9.5333333333333339E-2"/>
    <n v="0.56792257172485305"/>
    <x v="27"/>
  </r>
  <r>
    <n v="337"/>
    <n v="105"/>
    <x v="5"/>
    <x v="3"/>
    <x v="3"/>
    <n v="1"/>
    <x v="0"/>
    <n v="1000"/>
    <n v="2474"/>
    <n v="333.33333333333331"/>
    <n v="333.33333333333331"/>
    <n v="1474"/>
    <n v="0"/>
    <n v="2140.6666666666665"/>
    <n v="666.66666666666674"/>
    <n v="1473.9999999999998"/>
    <n v="1.474"/>
    <n v="0"/>
    <n v="2.2109999999999994"/>
    <n v="0.865265427108596"/>
    <x v="28"/>
  </r>
  <r>
    <n v="338"/>
    <n v="105"/>
    <x v="5"/>
    <x v="3"/>
    <x v="3"/>
    <n v="2"/>
    <x v="1"/>
    <n v="10000"/>
    <n v="2962"/>
    <n v="3333.3333333333335"/>
    <n v="2933.3333333333335"/>
    <n v="-7038"/>
    <n v="400"/>
    <n v="28.666666666666515"/>
    <n v="6666.6666666666661"/>
    <n v="-6638"/>
    <n v="-0.70379999999999998"/>
    <n v="0.12"/>
    <n v="-0.99570000000000014"/>
    <n v="9.6781453972540569E-3"/>
    <x v="28"/>
  </r>
  <r>
    <n v="339"/>
    <n v="105"/>
    <x v="5"/>
    <x v="3"/>
    <x v="3"/>
    <n v="3"/>
    <x v="2"/>
    <n v="5000"/>
    <n v="5322"/>
    <n v="1000"/>
    <n v="500"/>
    <n v="322"/>
    <n v="500"/>
    <n v="4822"/>
    <n v="4000"/>
    <n v="822"/>
    <n v="6.4399999999999999E-2"/>
    <n v="0.5"/>
    <n v="0.20549999999999999"/>
    <n v="0.90605035700864334"/>
    <x v="28"/>
  </r>
  <r>
    <n v="340"/>
    <n v="105"/>
    <x v="5"/>
    <x v="3"/>
    <x v="3"/>
    <n v="4"/>
    <x v="3"/>
    <n v="5000"/>
    <n v="6264"/>
    <n v="1666.6666666666667"/>
    <n v="1566.6666666666667"/>
    <n v="1264"/>
    <n v="100"/>
    <n v="4697.333333333333"/>
    <n v="3333.333333333333"/>
    <n v="1364"/>
    <n v="0.25280000000000002"/>
    <n v="0.06"/>
    <n v="0.40920000000000006"/>
    <n v="0.74989357173265214"/>
    <x v="28"/>
  </r>
  <r>
    <n v="341"/>
    <n v="105"/>
    <x v="5"/>
    <x v="3"/>
    <x v="3"/>
    <n v="5"/>
    <x v="4"/>
    <n v="4000"/>
    <n v="4595"/>
    <n v="1333.3333333333333"/>
    <n v="933.33333333333326"/>
    <n v="595"/>
    <n v="400"/>
    <n v="3661.666666666667"/>
    <n v="2666.666666666667"/>
    <n v="995"/>
    <n v="0.14874999999999999"/>
    <n v="0.30000000000000004"/>
    <n v="0.37312499999999998"/>
    <n v="0.79688066739209296"/>
    <x v="28"/>
  </r>
  <r>
    <n v="342"/>
    <n v="105"/>
    <x v="5"/>
    <x v="3"/>
    <x v="3"/>
    <n v="6"/>
    <x v="5"/>
    <n v="5000"/>
    <n v="6672"/>
    <n v="1000"/>
    <n v="800"/>
    <n v="1672"/>
    <n v="200"/>
    <n v="5872"/>
    <n v="4000"/>
    <n v="1872"/>
    <n v="0.33439999999999998"/>
    <n v="0.2"/>
    <n v="0.46800000000000003"/>
    <n v="0.88009592326139086"/>
    <x v="28"/>
  </r>
  <r>
    <n v="343"/>
    <n v="105"/>
    <x v="5"/>
    <x v="3"/>
    <x v="3"/>
    <n v="7"/>
    <x v="6"/>
    <n v="3000"/>
    <n v="9576"/>
    <n v="1500"/>
    <n v="1200"/>
    <n v="6576"/>
    <n v="300"/>
    <n v="8376"/>
    <n v="1500"/>
    <n v="6876"/>
    <n v="2.1920000000000002"/>
    <n v="0.2"/>
    <n v="4.5839999999999996"/>
    <n v="0.87468671679197996"/>
    <x v="28"/>
  </r>
  <r>
    <n v="344"/>
    <n v="105"/>
    <x v="5"/>
    <x v="3"/>
    <x v="3"/>
    <n v="8"/>
    <x v="7"/>
    <n v="5000"/>
    <n v="7818"/>
    <n v="1250"/>
    <n v="950"/>
    <n v="2818"/>
    <n v="300"/>
    <n v="6868"/>
    <n v="3750"/>
    <n v="3118"/>
    <n v="0.56359999999999999"/>
    <n v="0.24"/>
    <n v="0.83146666666666669"/>
    <n v="0.87848554617549246"/>
    <x v="28"/>
  </r>
  <r>
    <n v="345"/>
    <n v="105"/>
    <x v="5"/>
    <x v="3"/>
    <x v="3"/>
    <n v="9"/>
    <x v="8"/>
    <n v="3000"/>
    <n v="5341"/>
    <n v="600"/>
    <n v="600"/>
    <n v="2341"/>
    <n v="0"/>
    <n v="4741"/>
    <n v="2400"/>
    <n v="2341"/>
    <n v="0.78033333333333332"/>
    <n v="0"/>
    <n v="0.97541666666666671"/>
    <n v="0.88766148661299382"/>
    <x v="28"/>
  </r>
  <r>
    <n v="346"/>
    <n v="105"/>
    <x v="5"/>
    <x v="3"/>
    <x v="3"/>
    <n v="10"/>
    <x v="9"/>
    <n v="5000"/>
    <n v="7543"/>
    <n v="1250"/>
    <n v="1150"/>
    <n v="2543"/>
    <n v="100"/>
    <n v="6393"/>
    <n v="3750"/>
    <n v="2643"/>
    <n v="0.50860000000000005"/>
    <n v="0.08"/>
    <n v="0.70479999999999998"/>
    <n v="0.84754076627336605"/>
    <x v="28"/>
  </r>
  <r>
    <n v="347"/>
    <n v="105"/>
    <x v="5"/>
    <x v="3"/>
    <x v="3"/>
    <n v="11"/>
    <x v="10"/>
    <n v="4000"/>
    <n v="4524"/>
    <n v="1333.3333333333333"/>
    <n v="633.33333333333326"/>
    <n v="524"/>
    <n v="700"/>
    <n v="3890.666666666667"/>
    <n v="2666.666666666667"/>
    <n v="1224"/>
    <n v="0.13100000000000001"/>
    <n v="0.52500000000000002"/>
    <n v="0.45899999999999996"/>
    <n v="0.86000589448865317"/>
    <x v="28"/>
  </r>
  <r>
    <n v="348"/>
    <n v="105"/>
    <x v="5"/>
    <x v="3"/>
    <x v="3"/>
    <n v="12"/>
    <x v="11"/>
    <n v="4000"/>
    <n v="5654"/>
    <n v="1333.3333333333333"/>
    <n v="633.33333333333326"/>
    <n v="1654"/>
    <n v="700"/>
    <n v="5020.666666666667"/>
    <n v="2666.666666666667"/>
    <n v="2354"/>
    <n v="0.41349999999999998"/>
    <n v="0.52500000000000002"/>
    <n v="0.88274999999999992"/>
    <n v="0.88798490744016045"/>
    <x v="28"/>
  </r>
  <r>
    <n v="349"/>
    <n v="105"/>
    <x v="5"/>
    <x v="4"/>
    <x v="4"/>
    <n v="1"/>
    <x v="0"/>
    <n v="4000"/>
    <n v="3324"/>
    <n v="800"/>
    <n v="600"/>
    <n v="-676"/>
    <n v="200"/>
    <n v="2724"/>
    <n v="3200"/>
    <n v="-476"/>
    <n v="-0.16900000000000001"/>
    <n v="0.25"/>
    <n v="-0.14874999999999999"/>
    <n v="0.81949458483754511"/>
    <x v="29"/>
  </r>
  <r>
    <n v="350"/>
    <n v="105"/>
    <x v="5"/>
    <x v="4"/>
    <x v="4"/>
    <n v="2"/>
    <x v="1"/>
    <n v="3000"/>
    <n v="4624"/>
    <n v="750"/>
    <n v="250"/>
    <n v="1624"/>
    <n v="500"/>
    <n v="4374"/>
    <n v="2250"/>
    <n v="2124"/>
    <n v="0.54133333333333333"/>
    <n v="0.66666666666666663"/>
    <n v="0.94399999999999995"/>
    <n v="0.9459342560553633"/>
    <x v="29"/>
  </r>
  <r>
    <n v="351"/>
    <n v="105"/>
    <x v="5"/>
    <x v="4"/>
    <x v="4"/>
    <n v="3"/>
    <x v="2"/>
    <n v="6000"/>
    <n v="3558"/>
    <n v="2000"/>
    <n v="1900"/>
    <n v="-2442"/>
    <n v="100"/>
    <n v="1658"/>
    <n v="4000"/>
    <n v="-2342"/>
    <n v="-0.40699999999999997"/>
    <n v="0.05"/>
    <n v="-0.58550000000000002"/>
    <n v="0.46599213041034288"/>
    <x v="29"/>
  </r>
  <r>
    <n v="352"/>
    <n v="105"/>
    <x v="5"/>
    <x v="4"/>
    <x v="4"/>
    <n v="4"/>
    <x v="3"/>
    <n v="3000"/>
    <n v="4915"/>
    <n v="750"/>
    <n v="450"/>
    <n v="1915"/>
    <n v="300"/>
    <n v="4465"/>
    <n v="2250"/>
    <n v="2215"/>
    <n v="0.63833333333333331"/>
    <n v="0.4"/>
    <n v="0.98444444444444446"/>
    <n v="0.90844354018311291"/>
    <x v="29"/>
  </r>
  <r>
    <n v="353"/>
    <n v="105"/>
    <x v="5"/>
    <x v="4"/>
    <x v="4"/>
    <n v="5"/>
    <x v="4"/>
    <n v="5000"/>
    <n v="2142"/>
    <n v="1250"/>
    <n v="850"/>
    <n v="-2858"/>
    <n v="400"/>
    <n v="1292"/>
    <n v="3750"/>
    <n v="-2458"/>
    <n v="-0.5716"/>
    <n v="0.32"/>
    <n v="-0.65546666666666664"/>
    <n v="0.60317460317460314"/>
    <x v="29"/>
  </r>
  <r>
    <n v="354"/>
    <n v="105"/>
    <x v="5"/>
    <x v="4"/>
    <x v="4"/>
    <n v="6"/>
    <x v="5"/>
    <n v="4000"/>
    <n v="4415"/>
    <n v="1000"/>
    <n v="700"/>
    <n v="415"/>
    <n v="300"/>
    <n v="3715"/>
    <n v="3000"/>
    <n v="715"/>
    <n v="0.10375"/>
    <n v="0.3"/>
    <n v="0.23833333333333334"/>
    <n v="0.84144960362400911"/>
    <x v="29"/>
  </r>
  <r>
    <n v="355"/>
    <n v="105"/>
    <x v="5"/>
    <x v="4"/>
    <x v="4"/>
    <n v="7"/>
    <x v="6"/>
    <n v="2000"/>
    <n v="3342"/>
    <n v="500"/>
    <n v="200"/>
    <n v="1342"/>
    <n v="300"/>
    <n v="3142"/>
    <n v="1500"/>
    <n v="1642"/>
    <n v="0.67100000000000004"/>
    <n v="0.6"/>
    <n v="1.0946666666666667"/>
    <n v="0.94015559545182525"/>
    <x v="29"/>
  </r>
  <r>
    <n v="356"/>
    <n v="105"/>
    <x v="5"/>
    <x v="4"/>
    <x v="4"/>
    <n v="8"/>
    <x v="7"/>
    <n v="1000"/>
    <n v="7161"/>
    <n v="500"/>
    <n v="500"/>
    <n v="6161"/>
    <n v="0"/>
    <n v="6661"/>
    <n v="500"/>
    <n v="6161"/>
    <n v="6.1609999999999996"/>
    <n v="0"/>
    <n v="12.321999999999999"/>
    <n v="0.93017734953218822"/>
    <x v="29"/>
  </r>
  <r>
    <n v="357"/>
    <n v="105"/>
    <x v="5"/>
    <x v="4"/>
    <x v="4"/>
    <n v="9"/>
    <x v="8"/>
    <n v="7000"/>
    <n v="4461"/>
    <n v="3500"/>
    <n v="3200"/>
    <n v="-2539"/>
    <n v="300"/>
    <n v="1261"/>
    <n v="3500"/>
    <n v="-2239"/>
    <n v="-0.36271428571428571"/>
    <n v="8.5714285714285715E-2"/>
    <n v="-0.63971428571428568"/>
    <n v="0.28267204662631695"/>
    <x v="29"/>
  </r>
  <r>
    <n v="358"/>
    <n v="105"/>
    <x v="5"/>
    <x v="4"/>
    <x v="4"/>
    <n v="10"/>
    <x v="9"/>
    <n v="5000"/>
    <n v="3424"/>
    <n v="1666.6666666666667"/>
    <n v="1366.6666666666667"/>
    <n v="-1576"/>
    <n v="300"/>
    <n v="2057.333333333333"/>
    <n v="3333.333333333333"/>
    <n v="-1276"/>
    <n v="-0.31519999999999998"/>
    <n v="0.18"/>
    <n v="-0.38280000000000003"/>
    <n v="0.6008566978193145"/>
    <x v="29"/>
  </r>
  <r>
    <n v="359"/>
    <n v="105"/>
    <x v="5"/>
    <x v="4"/>
    <x v="4"/>
    <n v="11"/>
    <x v="10"/>
    <n v="5000"/>
    <n v="2543"/>
    <n v="1000"/>
    <n v="1000"/>
    <n v="-2457"/>
    <n v="0"/>
    <n v="1543"/>
    <n v="4000"/>
    <n v="-2457"/>
    <n v="-0.4914"/>
    <n v="0"/>
    <n v="-0.61424999999999996"/>
    <n v="0.60676366496264256"/>
    <x v="29"/>
  </r>
  <r>
    <n v="360"/>
    <n v="105"/>
    <x v="5"/>
    <x v="4"/>
    <x v="4"/>
    <n v="12"/>
    <x v="11"/>
    <n v="1000"/>
    <n v="4355"/>
    <n v="500"/>
    <n v="300"/>
    <n v="3355"/>
    <n v="200"/>
    <n v="4055"/>
    <n v="500"/>
    <n v="3555"/>
    <n v="3.355"/>
    <n v="0.4"/>
    <n v="7.11"/>
    <n v="0.93111366245694605"/>
    <x v="29"/>
  </r>
  <r>
    <n v="361"/>
    <n v="106"/>
    <x v="6"/>
    <x v="0"/>
    <x v="0"/>
    <n v="1"/>
    <x v="0"/>
    <n v="4000"/>
    <n v="2933"/>
    <n v="2000"/>
    <n v="1900"/>
    <n v="-1067"/>
    <n v="100"/>
    <n v="1033"/>
    <n v="2000"/>
    <n v="-967"/>
    <n v="-0.26674999999999999"/>
    <n v="0.05"/>
    <n v="-0.48349999999999999"/>
    <n v="0.35219911353562905"/>
    <x v="30"/>
  </r>
  <r>
    <n v="362"/>
    <n v="106"/>
    <x v="6"/>
    <x v="0"/>
    <x v="0"/>
    <n v="2"/>
    <x v="1"/>
    <n v="2000"/>
    <n v="8311"/>
    <n v="500"/>
    <n v="400"/>
    <n v="6311"/>
    <n v="100"/>
    <n v="7911"/>
    <n v="1500"/>
    <n v="6411"/>
    <n v="3.1555"/>
    <n v="0.2"/>
    <n v="4.274"/>
    <n v="0.95187101431837329"/>
    <x v="30"/>
  </r>
  <r>
    <n v="363"/>
    <n v="106"/>
    <x v="6"/>
    <x v="0"/>
    <x v="0"/>
    <n v="3"/>
    <x v="2"/>
    <n v="5000"/>
    <n v="4436"/>
    <n v="1250"/>
    <n v="950"/>
    <n v="-564"/>
    <n v="300"/>
    <n v="3486"/>
    <n v="3750"/>
    <n v="-264"/>
    <n v="-0.1128"/>
    <n v="0.24"/>
    <n v="-7.0400000000000004E-2"/>
    <n v="0.78584310189359785"/>
    <x v="30"/>
  </r>
  <r>
    <n v="364"/>
    <n v="106"/>
    <x v="6"/>
    <x v="0"/>
    <x v="0"/>
    <n v="4"/>
    <x v="3"/>
    <n v="6000"/>
    <n v="2536"/>
    <n v="3000"/>
    <n v="2500"/>
    <n v="-3464"/>
    <n v="500"/>
    <n v="36"/>
    <n v="3000"/>
    <n v="-2964"/>
    <n v="-0.57733333333333337"/>
    <n v="0.16666666666666666"/>
    <n v="-0.98799999999999999"/>
    <n v="1.4195583596214511E-2"/>
    <x v="30"/>
  </r>
  <r>
    <n v="365"/>
    <n v="106"/>
    <x v="6"/>
    <x v="0"/>
    <x v="0"/>
    <n v="5"/>
    <x v="4"/>
    <n v="8000"/>
    <n v="3133"/>
    <n v="2666.6666666666665"/>
    <n v="2066.6666666666665"/>
    <n v="-4867"/>
    <n v="600"/>
    <n v="1066.3333333333335"/>
    <n v="5333.3333333333339"/>
    <n v="-4267"/>
    <n v="-0.608375"/>
    <n v="0.22500000000000001"/>
    <n v="-0.8000624999999999"/>
    <n v="0.34035535695286739"/>
    <x v="30"/>
  </r>
  <r>
    <n v="366"/>
    <n v="106"/>
    <x v="6"/>
    <x v="0"/>
    <x v="0"/>
    <n v="6"/>
    <x v="5"/>
    <n v="3000"/>
    <n v="9316"/>
    <n v="750"/>
    <n v="450"/>
    <n v="6316"/>
    <n v="300"/>
    <n v="8866"/>
    <n v="2250"/>
    <n v="6616"/>
    <n v="2.1053333333333333"/>
    <n v="0.4"/>
    <n v="2.9404444444444446"/>
    <n v="0.95169600686990119"/>
    <x v="30"/>
  </r>
  <r>
    <n v="367"/>
    <n v="106"/>
    <x v="6"/>
    <x v="0"/>
    <x v="0"/>
    <n v="7"/>
    <x v="6"/>
    <n v="8000"/>
    <n v="3056"/>
    <n v="2000"/>
    <n v="1600"/>
    <n v="-4944"/>
    <n v="400"/>
    <n v="1456"/>
    <n v="6000"/>
    <n v="-4544"/>
    <n v="-0.61799999999999999"/>
    <n v="0.2"/>
    <n v="-0.7573333333333333"/>
    <n v="0.47643979057591623"/>
    <x v="30"/>
  </r>
  <r>
    <n v="368"/>
    <n v="106"/>
    <x v="6"/>
    <x v="0"/>
    <x v="0"/>
    <n v="8"/>
    <x v="7"/>
    <n v="1000"/>
    <n v="2433"/>
    <n v="200"/>
    <n v="100"/>
    <n v="1433"/>
    <n v="100"/>
    <n v="2333"/>
    <n v="800"/>
    <n v="1533"/>
    <n v="1.4330000000000001"/>
    <n v="0.5"/>
    <n v="1.91625"/>
    <n v="0.95889847924373206"/>
    <x v="30"/>
  </r>
  <r>
    <n v="369"/>
    <n v="106"/>
    <x v="6"/>
    <x v="0"/>
    <x v="0"/>
    <n v="9"/>
    <x v="8"/>
    <n v="8000"/>
    <n v="7468"/>
    <n v="1600"/>
    <n v="900"/>
    <n v="-532"/>
    <n v="700"/>
    <n v="6568"/>
    <n v="6400"/>
    <n v="168"/>
    <n v="-6.6500000000000004E-2"/>
    <n v="0.4375"/>
    <n v="2.6249999999999999E-2"/>
    <n v="0.87948580610605254"/>
    <x v="30"/>
  </r>
  <r>
    <n v="370"/>
    <n v="106"/>
    <x v="6"/>
    <x v="0"/>
    <x v="0"/>
    <n v="10"/>
    <x v="9"/>
    <n v="7000"/>
    <n v="2122"/>
    <n v="2333.3333333333335"/>
    <n v="2233.3333333333335"/>
    <n v="-4878"/>
    <n v="100"/>
    <n v="-111.33333333333348"/>
    <n v="4666.6666666666661"/>
    <n v="-4778"/>
    <n v="-0.69685714285714284"/>
    <n v="4.2857142857142858E-2"/>
    <n v="-1.023857142857143"/>
    <n v="-5.2466226830034629E-2"/>
    <x v="30"/>
  </r>
  <r>
    <n v="371"/>
    <n v="106"/>
    <x v="6"/>
    <x v="0"/>
    <x v="0"/>
    <n v="11"/>
    <x v="10"/>
    <n v="5000"/>
    <n v="6225"/>
    <n v="1000"/>
    <n v="300"/>
    <n v="1225"/>
    <n v="700"/>
    <n v="5925"/>
    <n v="4000"/>
    <n v="1925"/>
    <n v="0.245"/>
    <n v="0.7"/>
    <n v="0.48125000000000001"/>
    <n v="0.95180722891566261"/>
    <x v="30"/>
  </r>
  <r>
    <n v="372"/>
    <n v="106"/>
    <x v="6"/>
    <x v="0"/>
    <x v="0"/>
    <n v="12"/>
    <x v="11"/>
    <n v="1000"/>
    <n v="8771"/>
    <n v="250"/>
    <n v="250"/>
    <n v="7771"/>
    <n v="0"/>
    <n v="8521"/>
    <n v="750"/>
    <n v="7771"/>
    <n v="7.7709999999999999"/>
    <n v="0"/>
    <n v="10.361333333333333"/>
    <n v="0.97149697867974005"/>
    <x v="30"/>
  </r>
  <r>
    <n v="373"/>
    <n v="106"/>
    <x v="6"/>
    <x v="1"/>
    <x v="1"/>
    <n v="1"/>
    <x v="0"/>
    <n v="3000"/>
    <n v="6713"/>
    <n v="750"/>
    <n v="450"/>
    <n v="3713"/>
    <n v="300"/>
    <n v="6263"/>
    <n v="2250"/>
    <n v="4013"/>
    <n v="1.2376666666666667"/>
    <n v="0.4"/>
    <n v="1.7835555555555556"/>
    <n v="0.93296588708476091"/>
    <x v="31"/>
  </r>
  <r>
    <n v="374"/>
    <n v="106"/>
    <x v="6"/>
    <x v="1"/>
    <x v="1"/>
    <n v="2"/>
    <x v="1"/>
    <n v="2000"/>
    <n v="5761"/>
    <n v="666.66666666666663"/>
    <n v="566.66666666666663"/>
    <n v="3761"/>
    <n v="100"/>
    <n v="5194.333333333333"/>
    <n v="1333.3333333333335"/>
    <n v="3860.9999999999995"/>
    <n v="1.8805000000000001"/>
    <n v="0.15000000000000002"/>
    <n v="2.8957499999999992"/>
    <n v="0.9016374472024532"/>
    <x v="31"/>
  </r>
  <r>
    <n v="375"/>
    <n v="106"/>
    <x v="6"/>
    <x v="1"/>
    <x v="1"/>
    <n v="3"/>
    <x v="2"/>
    <n v="2000"/>
    <n v="2436"/>
    <n v="1000"/>
    <n v="800"/>
    <n v="436"/>
    <n v="200"/>
    <n v="1636"/>
    <n v="1000"/>
    <n v="636"/>
    <n v="0.218"/>
    <n v="0.2"/>
    <n v="0.63600000000000001"/>
    <n v="0.67159277504105086"/>
    <x v="31"/>
  </r>
  <r>
    <n v="376"/>
    <n v="106"/>
    <x v="6"/>
    <x v="1"/>
    <x v="1"/>
    <n v="4"/>
    <x v="3"/>
    <n v="6000"/>
    <n v="4521"/>
    <n v="3000"/>
    <n v="2900"/>
    <n v="-1479"/>
    <n v="100"/>
    <n v="1621"/>
    <n v="3000"/>
    <n v="-1379"/>
    <n v="-0.2465"/>
    <n v="3.3333333333333333E-2"/>
    <n v="-0.45966666666666667"/>
    <n v="0.35854899358548992"/>
    <x v="31"/>
  </r>
  <r>
    <n v="377"/>
    <n v="106"/>
    <x v="6"/>
    <x v="1"/>
    <x v="1"/>
    <n v="5"/>
    <x v="4"/>
    <n v="2000"/>
    <n v="3182"/>
    <n v="666.66666666666663"/>
    <n v="166.66666666666663"/>
    <n v="1182"/>
    <n v="500"/>
    <n v="3015.3333333333335"/>
    <n v="1333.3333333333335"/>
    <n v="1682"/>
    <n v="0.59099999999999997"/>
    <n v="0.75"/>
    <n v="1.2614999999999998"/>
    <n v="0.94762204064529654"/>
    <x v="31"/>
  </r>
  <r>
    <n v="378"/>
    <n v="106"/>
    <x v="6"/>
    <x v="1"/>
    <x v="1"/>
    <n v="6"/>
    <x v="5"/>
    <n v="6000"/>
    <n v="4422"/>
    <n v="3000"/>
    <n v="2200"/>
    <n v="-1578"/>
    <n v="800"/>
    <n v="2222"/>
    <n v="3000"/>
    <n v="-778"/>
    <n v="-0.26300000000000001"/>
    <n v="0.26666666666666666"/>
    <n v="-0.25933333333333336"/>
    <n v="0.50248756218905477"/>
    <x v="31"/>
  </r>
  <r>
    <n v="379"/>
    <n v="106"/>
    <x v="6"/>
    <x v="1"/>
    <x v="1"/>
    <n v="7"/>
    <x v="6"/>
    <n v="4000"/>
    <n v="5949"/>
    <n v="1000"/>
    <n v="300"/>
    <n v="1949"/>
    <n v="700"/>
    <n v="5649"/>
    <n v="3000"/>
    <n v="2649"/>
    <n v="0.48725000000000002"/>
    <n v="0.7"/>
    <n v="0.88300000000000001"/>
    <n v="0.94957135653050928"/>
    <x v="31"/>
  </r>
  <r>
    <n v="380"/>
    <n v="106"/>
    <x v="6"/>
    <x v="1"/>
    <x v="1"/>
    <n v="8"/>
    <x v="7"/>
    <n v="2000"/>
    <n v="2432"/>
    <n v="500"/>
    <n v="200"/>
    <n v="432"/>
    <n v="300"/>
    <n v="2232"/>
    <n v="1500"/>
    <n v="732"/>
    <n v="0.216"/>
    <n v="0.6"/>
    <n v="0.48799999999999999"/>
    <n v="0.91776315789473684"/>
    <x v="31"/>
  </r>
  <r>
    <n v="381"/>
    <n v="106"/>
    <x v="6"/>
    <x v="1"/>
    <x v="1"/>
    <n v="9"/>
    <x v="8"/>
    <n v="5000"/>
    <n v="2843"/>
    <n v="1000"/>
    <n v="800"/>
    <n v="-2157"/>
    <n v="200"/>
    <n v="2043"/>
    <n v="4000"/>
    <n v="-1957"/>
    <n v="-0.43140000000000001"/>
    <n v="0.2"/>
    <n v="-0.48925000000000002"/>
    <n v="0.71860710517059445"/>
    <x v="31"/>
  </r>
  <r>
    <n v="382"/>
    <n v="106"/>
    <x v="6"/>
    <x v="1"/>
    <x v="1"/>
    <n v="10"/>
    <x v="9"/>
    <n v="4000"/>
    <n v="2542"/>
    <n v="800"/>
    <n v="200"/>
    <n v="-1458"/>
    <n v="600"/>
    <n v="2342"/>
    <n v="3200"/>
    <n v="-858"/>
    <n v="-0.36449999999999999"/>
    <n v="0.75"/>
    <n v="-0.268125"/>
    <n v="0.92132179386309987"/>
    <x v="31"/>
  </r>
  <r>
    <n v="383"/>
    <n v="106"/>
    <x v="6"/>
    <x v="1"/>
    <x v="1"/>
    <n v="11"/>
    <x v="10"/>
    <n v="2000"/>
    <n v="8494"/>
    <n v="400"/>
    <n v="300"/>
    <n v="6494"/>
    <n v="100"/>
    <n v="8194"/>
    <n v="1600"/>
    <n v="6594"/>
    <n v="3.2469999999999999"/>
    <n v="0.25"/>
    <n v="4.1212499999999999"/>
    <n v="0.96468095125971276"/>
    <x v="31"/>
  </r>
  <r>
    <n v="384"/>
    <n v="106"/>
    <x v="6"/>
    <x v="1"/>
    <x v="1"/>
    <n v="12"/>
    <x v="11"/>
    <n v="5000"/>
    <n v="2116"/>
    <n v="2500"/>
    <n v="2200"/>
    <n v="-2884"/>
    <n v="300"/>
    <n v="-84"/>
    <n v="2500"/>
    <n v="-2584"/>
    <n v="-0.57679999999999998"/>
    <n v="0.12"/>
    <n v="-1.0336000000000001"/>
    <n v="-3.9697542533081283E-2"/>
    <x v="31"/>
  </r>
  <r>
    <n v="385"/>
    <n v="106"/>
    <x v="6"/>
    <x v="2"/>
    <x v="2"/>
    <n v="1"/>
    <x v="0"/>
    <n v="9000"/>
    <n v="7371"/>
    <n v="4500"/>
    <n v="3900"/>
    <n v="-1629"/>
    <n v="600"/>
    <n v="3471"/>
    <n v="4500"/>
    <n v="-1029"/>
    <n v="-0.18099999999999999"/>
    <n v="0.13333333333333333"/>
    <n v="-0.22866666666666666"/>
    <n v="0.47089947089947087"/>
    <x v="32"/>
  </r>
  <r>
    <n v="386"/>
    <n v="106"/>
    <x v="6"/>
    <x v="2"/>
    <x v="2"/>
    <n v="2"/>
    <x v="1"/>
    <n v="8000"/>
    <n v="3631"/>
    <n v="1600"/>
    <n v="1300"/>
    <n v="-4369"/>
    <n v="300"/>
    <n v="2331"/>
    <n v="6400"/>
    <n v="-4069"/>
    <n v="-0.54612499999999997"/>
    <n v="0.1875"/>
    <n v="-0.63578124999999996"/>
    <n v="0.64197190856513353"/>
    <x v="32"/>
  </r>
  <r>
    <n v="387"/>
    <n v="106"/>
    <x v="6"/>
    <x v="2"/>
    <x v="2"/>
    <n v="3"/>
    <x v="2"/>
    <n v="2000"/>
    <n v="2866"/>
    <n v="500"/>
    <n v="500"/>
    <n v="866"/>
    <n v="0"/>
    <n v="2366"/>
    <n v="1500"/>
    <n v="866"/>
    <n v="0.433"/>
    <n v="0"/>
    <n v="0.57733333333333337"/>
    <n v="0.82554082344731328"/>
    <x v="32"/>
  </r>
  <r>
    <n v="388"/>
    <n v="106"/>
    <x v="6"/>
    <x v="2"/>
    <x v="2"/>
    <n v="4"/>
    <x v="3"/>
    <n v="3000"/>
    <n v="7475"/>
    <n v="750"/>
    <n v="150"/>
    <n v="4475"/>
    <n v="600"/>
    <n v="7325"/>
    <n v="2250"/>
    <n v="5075"/>
    <n v="1.4916666666666667"/>
    <n v="0.8"/>
    <n v="2.2555555555555555"/>
    <n v="0.97993311036789299"/>
    <x v="32"/>
  </r>
  <r>
    <n v="389"/>
    <n v="106"/>
    <x v="6"/>
    <x v="2"/>
    <x v="2"/>
    <n v="5"/>
    <x v="4"/>
    <n v="6000"/>
    <n v="5524"/>
    <n v="1200"/>
    <n v="900"/>
    <n v="-476"/>
    <n v="300"/>
    <n v="4624"/>
    <n v="4800"/>
    <n v="-176"/>
    <n v="-7.9333333333333339E-2"/>
    <n v="0.25"/>
    <n v="-3.6666666666666667E-2"/>
    <n v="0.83707458363504705"/>
    <x v="32"/>
  </r>
  <r>
    <n v="390"/>
    <n v="106"/>
    <x v="6"/>
    <x v="2"/>
    <x v="2"/>
    <n v="6"/>
    <x v="5"/>
    <n v="3000"/>
    <n v="7551"/>
    <n v="600"/>
    <n v="500"/>
    <n v="4551"/>
    <n v="100"/>
    <n v="7051"/>
    <n v="2400"/>
    <n v="4651"/>
    <n v="1.5169999999999999"/>
    <n v="0.16666666666666666"/>
    <n v="1.9379166666666667"/>
    <n v="0.93378360482055356"/>
    <x v="32"/>
  </r>
  <r>
    <n v="391"/>
    <n v="106"/>
    <x v="6"/>
    <x v="2"/>
    <x v="2"/>
    <n v="7"/>
    <x v="6"/>
    <n v="6000"/>
    <n v="6126"/>
    <n v="2000"/>
    <n v="1900"/>
    <n v="126"/>
    <n v="100"/>
    <n v="4226"/>
    <n v="4000"/>
    <n v="226"/>
    <n v="2.1000000000000001E-2"/>
    <n v="0.05"/>
    <n v="5.6500000000000002E-2"/>
    <n v="0.68984655566438136"/>
    <x v="32"/>
  </r>
  <r>
    <n v="392"/>
    <n v="106"/>
    <x v="6"/>
    <x v="2"/>
    <x v="2"/>
    <n v="8"/>
    <x v="7"/>
    <n v="6000"/>
    <n v="3411"/>
    <n v="1500"/>
    <n v="1200"/>
    <n v="-2589"/>
    <n v="300"/>
    <n v="2211"/>
    <n v="4500"/>
    <n v="-2289"/>
    <n v="-0.43149999999999999"/>
    <n v="0.2"/>
    <n v="-0.50866666666666671"/>
    <n v="0.64819700967458227"/>
    <x v="32"/>
  </r>
  <r>
    <n v="393"/>
    <n v="106"/>
    <x v="6"/>
    <x v="2"/>
    <x v="2"/>
    <n v="9"/>
    <x v="8"/>
    <n v="3000"/>
    <n v="7564"/>
    <n v="750"/>
    <n v="750"/>
    <n v="4564"/>
    <n v="0"/>
    <n v="6814"/>
    <n v="2250"/>
    <n v="4564"/>
    <n v="1.5213333333333334"/>
    <n v="0"/>
    <n v="2.0284444444444443"/>
    <n v="0.90084611316763619"/>
    <x v="32"/>
  </r>
  <r>
    <n v="394"/>
    <n v="106"/>
    <x v="6"/>
    <x v="2"/>
    <x v="2"/>
    <n v="10"/>
    <x v="9"/>
    <n v="1000"/>
    <n v="5425"/>
    <n v="500"/>
    <n v="100"/>
    <n v="4425"/>
    <n v="400"/>
    <n v="5325"/>
    <n v="500"/>
    <n v="4825"/>
    <n v="4.4249999999999998"/>
    <n v="0.8"/>
    <n v="9.65"/>
    <n v="0.98156682027649766"/>
    <x v="32"/>
  </r>
  <r>
    <n v="395"/>
    <n v="106"/>
    <x v="6"/>
    <x v="2"/>
    <x v="2"/>
    <n v="11"/>
    <x v="10"/>
    <n v="2000"/>
    <n v="4672"/>
    <n v="400"/>
    <n v="200"/>
    <n v="2672"/>
    <n v="200"/>
    <n v="4472"/>
    <n v="1600"/>
    <n v="2872"/>
    <n v="1.3360000000000001"/>
    <n v="0.5"/>
    <n v="1.7949999999999999"/>
    <n v="0.9571917808219178"/>
    <x v="32"/>
  </r>
  <r>
    <n v="396"/>
    <n v="106"/>
    <x v="6"/>
    <x v="2"/>
    <x v="2"/>
    <n v="12"/>
    <x v="11"/>
    <n v="1000"/>
    <n v="3968"/>
    <n v="333.33333333333331"/>
    <n v="266.66666666666669"/>
    <n v="2968"/>
    <n v="66.666666666666629"/>
    <n v="3701.3333333333335"/>
    <n v="666.66666666666674"/>
    <n v="3034.666666666667"/>
    <n v="2.968"/>
    <n v="0.1999999999999999"/>
    <n v="4.5519999999999996"/>
    <n v="0.93279569892473124"/>
    <x v="32"/>
  </r>
  <r>
    <n v="397"/>
    <n v="106"/>
    <x v="6"/>
    <x v="3"/>
    <x v="3"/>
    <n v="1"/>
    <x v="0"/>
    <n v="4000"/>
    <n v="5312"/>
    <n v="1333.3333333333333"/>
    <n v="1033.3333333333333"/>
    <n v="1312"/>
    <n v="300"/>
    <n v="4278.666666666667"/>
    <n v="2666.666666666667"/>
    <n v="1612"/>
    <n v="0.32800000000000001"/>
    <n v="0.22500000000000001"/>
    <n v="0.60449999999999993"/>
    <n v="0.80547188755020083"/>
    <x v="33"/>
  </r>
  <r>
    <n v="398"/>
    <n v="106"/>
    <x v="6"/>
    <x v="3"/>
    <x v="3"/>
    <n v="2"/>
    <x v="1"/>
    <n v="9000"/>
    <n v="5435"/>
    <n v="1800"/>
    <n v="1800"/>
    <n v="-3565"/>
    <n v="0"/>
    <n v="3635"/>
    <n v="7200"/>
    <n v="-3565"/>
    <n v="-0.39611111111111114"/>
    <n v="0"/>
    <n v="-0.49513888888888891"/>
    <n v="0.66881324747010118"/>
    <x v="33"/>
  </r>
  <r>
    <n v="399"/>
    <n v="106"/>
    <x v="6"/>
    <x v="3"/>
    <x v="3"/>
    <n v="3"/>
    <x v="2"/>
    <n v="9000"/>
    <n v="2135"/>
    <n v="4500"/>
    <n v="3800"/>
    <n v="-6865"/>
    <n v="700"/>
    <n v="-1665"/>
    <n v="4500"/>
    <n v="-6165"/>
    <n v="-0.76277777777777778"/>
    <n v="0.15555555555555556"/>
    <n v="-1.37"/>
    <n v="-0.77985948477751754"/>
    <x v="33"/>
  </r>
  <r>
    <n v="400"/>
    <n v="106"/>
    <x v="6"/>
    <x v="3"/>
    <x v="3"/>
    <n v="4"/>
    <x v="3"/>
    <n v="3000"/>
    <n v="4849"/>
    <n v="1500"/>
    <n v="1100"/>
    <n v="1849"/>
    <n v="400"/>
    <n v="3749"/>
    <n v="1500"/>
    <n v="2249"/>
    <n v="0.61633333333333329"/>
    <n v="0.26666666666666666"/>
    <n v="1.4993333333333334"/>
    <n v="0.77314910290781602"/>
    <x v="33"/>
  </r>
  <r>
    <n v="401"/>
    <n v="106"/>
    <x v="6"/>
    <x v="3"/>
    <x v="3"/>
    <n v="5"/>
    <x v="4"/>
    <n v="1000"/>
    <n v="4212"/>
    <n v="333.33333333333331"/>
    <n v="266.66666666666669"/>
    <n v="3212"/>
    <n v="66.666666666666629"/>
    <n v="3945.3333333333335"/>
    <n v="666.66666666666674"/>
    <n v="3278.666666666667"/>
    <n v="3.2120000000000002"/>
    <n v="0.1999999999999999"/>
    <n v="4.9180000000000001"/>
    <n v="0.93668882557771449"/>
    <x v="33"/>
  </r>
  <r>
    <n v="402"/>
    <n v="106"/>
    <x v="6"/>
    <x v="3"/>
    <x v="3"/>
    <n v="6"/>
    <x v="5"/>
    <n v="1000"/>
    <n v="3545"/>
    <n v="500"/>
    <n v="200"/>
    <n v="2545"/>
    <n v="300"/>
    <n v="3345"/>
    <n v="500"/>
    <n v="2845"/>
    <n v="2.5449999999999999"/>
    <n v="0.6"/>
    <n v="5.69"/>
    <n v="0.94358251057827924"/>
    <x v="33"/>
  </r>
  <r>
    <n v="403"/>
    <n v="106"/>
    <x v="6"/>
    <x v="3"/>
    <x v="3"/>
    <n v="7"/>
    <x v="6"/>
    <n v="3000"/>
    <n v="4177"/>
    <n v="1000"/>
    <n v="700"/>
    <n v="1177"/>
    <n v="300"/>
    <n v="3477"/>
    <n v="2000"/>
    <n v="1477"/>
    <n v="0.39233333333333331"/>
    <n v="0.3"/>
    <n v="0.73850000000000005"/>
    <n v="0.83241560928896341"/>
    <x v="33"/>
  </r>
  <r>
    <n v="404"/>
    <n v="106"/>
    <x v="6"/>
    <x v="3"/>
    <x v="3"/>
    <n v="8"/>
    <x v="7"/>
    <n v="7000"/>
    <n v="4334"/>
    <n v="2333.3333333333335"/>
    <n v="1933.3333333333335"/>
    <n v="-2666"/>
    <n v="400"/>
    <n v="2400.6666666666665"/>
    <n v="4666.6666666666661"/>
    <n v="-2265.9999999999995"/>
    <n v="-0.38085714285714284"/>
    <n v="0.17142857142857143"/>
    <n v="-0.48557142857142854"/>
    <n v="0.55391478234117819"/>
    <x v="33"/>
  </r>
  <r>
    <n v="405"/>
    <n v="106"/>
    <x v="6"/>
    <x v="3"/>
    <x v="3"/>
    <n v="9"/>
    <x v="8"/>
    <n v="4000"/>
    <n v="11110"/>
    <n v="800"/>
    <n v="500"/>
    <n v="7110"/>
    <n v="300"/>
    <n v="10610"/>
    <n v="3200"/>
    <n v="7410"/>
    <n v="1.7775000000000001"/>
    <n v="0.375"/>
    <n v="2.3156249999999998"/>
    <n v="0.954995499549955"/>
    <x v="33"/>
  </r>
  <r>
    <n v="406"/>
    <n v="106"/>
    <x v="6"/>
    <x v="3"/>
    <x v="3"/>
    <n v="10"/>
    <x v="9"/>
    <n v="5000"/>
    <n v="6476"/>
    <n v="2500"/>
    <n v="2000"/>
    <n v="1476"/>
    <n v="500"/>
    <n v="4476"/>
    <n v="2500"/>
    <n v="1976"/>
    <n v="0.29520000000000002"/>
    <n v="0.2"/>
    <n v="0.79039999999999999"/>
    <n v="0.69116738727609639"/>
    <x v="33"/>
  </r>
  <r>
    <n v="407"/>
    <n v="106"/>
    <x v="6"/>
    <x v="3"/>
    <x v="3"/>
    <n v="11"/>
    <x v="10"/>
    <n v="8000"/>
    <n v="8553"/>
    <n v="4000"/>
    <n v="3500"/>
    <n v="553"/>
    <n v="500"/>
    <n v="5053"/>
    <n v="4000"/>
    <n v="1053"/>
    <n v="6.9125000000000006E-2"/>
    <n v="0.125"/>
    <n v="0.26324999999999998"/>
    <n v="0.59078685841225298"/>
    <x v="33"/>
  </r>
  <r>
    <n v="408"/>
    <n v="106"/>
    <x v="6"/>
    <x v="3"/>
    <x v="3"/>
    <n v="12"/>
    <x v="11"/>
    <n v="1000"/>
    <n v="2432"/>
    <n v="333.33333333333331"/>
    <n v="566.66666666666674"/>
    <n v="1432"/>
    <n v="-233.33333333333343"/>
    <n v="1865.3333333333333"/>
    <n v="666.66666666666674"/>
    <n v="1198.6666666666665"/>
    <n v="1.4319999999999999"/>
    <n v="-0.70000000000000029"/>
    <n v="1.7979999999999996"/>
    <n v="0.76699561403508765"/>
    <x v="33"/>
  </r>
  <r>
    <n v="409"/>
    <n v="106"/>
    <x v="6"/>
    <x v="4"/>
    <x v="4"/>
    <n v="1"/>
    <x v="0"/>
    <n v="4000"/>
    <n v="6537"/>
    <n v="800"/>
    <n v="700"/>
    <n v="2537"/>
    <n v="100"/>
    <n v="5837"/>
    <n v="3200"/>
    <n v="2637"/>
    <n v="0.63424999999999998"/>
    <n v="0.125"/>
    <n v="0.82406250000000003"/>
    <n v="0.89291724032430775"/>
    <x v="34"/>
  </r>
  <r>
    <n v="410"/>
    <n v="106"/>
    <x v="6"/>
    <x v="4"/>
    <x v="4"/>
    <n v="2"/>
    <x v="1"/>
    <n v="1000"/>
    <n v="2570"/>
    <n v="200"/>
    <n v="500"/>
    <n v="1570"/>
    <n v="-300"/>
    <n v="2070"/>
    <n v="800"/>
    <n v="1270"/>
    <n v="1.57"/>
    <n v="-1.5"/>
    <n v="1.5874999999999999"/>
    <n v="0.80544747081712065"/>
    <x v="34"/>
  </r>
  <r>
    <n v="411"/>
    <n v="106"/>
    <x v="6"/>
    <x v="4"/>
    <x v="4"/>
    <n v="3"/>
    <x v="2"/>
    <n v="4000"/>
    <n v="3182"/>
    <n v="1333.3333333333333"/>
    <n v="1333.3333333333333"/>
    <n v="-818"/>
    <n v="0"/>
    <n v="1848.6666666666667"/>
    <n v="2666.666666666667"/>
    <n v="-818.00000000000023"/>
    <n v="-0.20449999999999999"/>
    <n v="0"/>
    <n v="-0.30675000000000008"/>
    <n v="0.58097632516237174"/>
    <x v="34"/>
  </r>
  <r>
    <n v="412"/>
    <n v="106"/>
    <x v="6"/>
    <x v="4"/>
    <x v="4"/>
    <n v="4"/>
    <x v="3"/>
    <n v="1000"/>
    <n v="4414"/>
    <n v="200"/>
    <n v="300"/>
    <n v="3414"/>
    <n v="-100"/>
    <n v="4114"/>
    <n v="800"/>
    <n v="3314"/>
    <n v="3.4140000000000001"/>
    <n v="-0.5"/>
    <n v="4.1425000000000001"/>
    <n v="0.9320344358858178"/>
    <x v="34"/>
  </r>
  <r>
    <n v="413"/>
    <n v="106"/>
    <x v="6"/>
    <x v="4"/>
    <x v="4"/>
    <n v="5"/>
    <x v="4"/>
    <n v="2000"/>
    <n v="3066"/>
    <n v="400"/>
    <n v="200"/>
    <n v="1066"/>
    <n v="200"/>
    <n v="2866"/>
    <n v="1600"/>
    <n v="1266"/>
    <n v="0.53300000000000003"/>
    <n v="0.5"/>
    <n v="0.79125000000000001"/>
    <n v="0.93476842791911285"/>
    <x v="34"/>
  </r>
  <r>
    <n v="414"/>
    <n v="106"/>
    <x v="6"/>
    <x v="4"/>
    <x v="4"/>
    <n v="6"/>
    <x v="5"/>
    <n v="7000"/>
    <n v="4347"/>
    <n v="1400"/>
    <n v="1100"/>
    <n v="-2653"/>
    <n v="300"/>
    <n v="3247"/>
    <n v="5600"/>
    <n v="-2353"/>
    <n v="-0.379"/>
    <n v="0.21428571428571427"/>
    <n v="-0.4201785714285714"/>
    <n v="0.74695192086496431"/>
    <x v="34"/>
  </r>
  <r>
    <n v="415"/>
    <n v="106"/>
    <x v="6"/>
    <x v="4"/>
    <x v="4"/>
    <n v="7"/>
    <x v="6"/>
    <n v="7000"/>
    <n v="2233"/>
    <n v="3500"/>
    <n v="3500"/>
    <n v="-4767"/>
    <n v="0"/>
    <n v="-1267"/>
    <n v="3500"/>
    <n v="-4767"/>
    <n v="-0.68100000000000005"/>
    <n v="0"/>
    <n v="-1.3620000000000001"/>
    <n v="-0.56739811912225702"/>
    <x v="34"/>
  </r>
  <r>
    <n v="416"/>
    <n v="106"/>
    <x v="6"/>
    <x v="4"/>
    <x v="4"/>
    <n v="8"/>
    <x v="7"/>
    <n v="6000"/>
    <n v="7268"/>
    <n v="2000"/>
    <n v="2000"/>
    <n v="1268"/>
    <n v="0"/>
    <n v="5268"/>
    <n v="4000"/>
    <n v="1268"/>
    <n v="0.21133333333333335"/>
    <n v="0"/>
    <n v="0.317"/>
    <n v="0.72482113373692902"/>
    <x v="34"/>
  </r>
  <r>
    <n v="417"/>
    <n v="106"/>
    <x v="6"/>
    <x v="4"/>
    <x v="4"/>
    <n v="9"/>
    <x v="8"/>
    <n v="5000"/>
    <n v="2879"/>
    <n v="1666.6666666666667"/>
    <n v="1266.6666666666667"/>
    <n v="-2121"/>
    <n v="400"/>
    <n v="1612.3333333333333"/>
    <n v="3333.333333333333"/>
    <n v="-1720.9999999999998"/>
    <n v="-0.42420000000000002"/>
    <n v="0.24"/>
    <n v="-0.51629999999999998"/>
    <n v="0.56003241866388787"/>
    <x v="34"/>
  </r>
  <r>
    <n v="418"/>
    <n v="106"/>
    <x v="6"/>
    <x v="4"/>
    <x v="4"/>
    <n v="10"/>
    <x v="9"/>
    <n v="3000"/>
    <n v="6644"/>
    <n v="750"/>
    <n v="550"/>
    <n v="3644"/>
    <n v="200"/>
    <n v="6094"/>
    <n v="2250"/>
    <n v="3844"/>
    <n v="1.2146666666666666"/>
    <n v="0.26666666666666666"/>
    <n v="1.7084444444444444"/>
    <n v="0.91721854304635764"/>
    <x v="34"/>
  </r>
  <r>
    <n v="419"/>
    <n v="106"/>
    <x v="6"/>
    <x v="4"/>
    <x v="4"/>
    <n v="11"/>
    <x v="10"/>
    <n v="5000"/>
    <n v="7347"/>
    <n v="2500"/>
    <n v="2100"/>
    <n v="2347"/>
    <n v="400"/>
    <n v="5247"/>
    <n v="2500"/>
    <n v="2747"/>
    <n v="0.46939999999999998"/>
    <n v="0.16"/>
    <n v="1.0988"/>
    <n v="0.71416904859126173"/>
    <x v="34"/>
  </r>
  <r>
    <n v="420"/>
    <n v="106"/>
    <x v="6"/>
    <x v="4"/>
    <x v="4"/>
    <n v="12"/>
    <x v="11"/>
    <n v="7000"/>
    <n v="2145"/>
    <n v="1400"/>
    <n v="1200"/>
    <n v="-4855"/>
    <n v="200"/>
    <n v="945"/>
    <n v="5600"/>
    <n v="-4655"/>
    <n v="-0.69357142857142862"/>
    <n v="0.14285714285714285"/>
    <n v="-0.83125000000000004"/>
    <n v="0.44055944055944057"/>
    <x v="34"/>
  </r>
  <r>
    <n v="421"/>
    <n v="107"/>
    <x v="7"/>
    <x v="0"/>
    <x v="0"/>
    <n v="1"/>
    <x v="0"/>
    <n v="5000"/>
    <n v="4513"/>
    <n v="1666.6666666666667"/>
    <n v="1266.6666666666667"/>
    <n v="-487"/>
    <n v="400"/>
    <n v="3246.333333333333"/>
    <n v="3333.333333333333"/>
    <n v="-87"/>
    <n v="-9.74E-2"/>
    <n v="0.24"/>
    <n v="-2.6100000000000002E-2"/>
    <n v="0.71932934485560229"/>
    <x v="35"/>
  </r>
  <r>
    <n v="422"/>
    <n v="107"/>
    <x v="7"/>
    <x v="0"/>
    <x v="0"/>
    <n v="2"/>
    <x v="1"/>
    <n v="1000"/>
    <n v="7035"/>
    <n v="333.33333333333331"/>
    <n v="366.66666666666669"/>
    <n v="6035"/>
    <n v="-33.333333333333371"/>
    <n v="6668.333333333333"/>
    <n v="666.66666666666674"/>
    <n v="6001.6666666666661"/>
    <n v="6.0350000000000001"/>
    <n v="-0.10000000000000012"/>
    <n v="9.0024999999999977"/>
    <n v="0.94787964937218661"/>
    <x v="35"/>
  </r>
  <r>
    <n v="423"/>
    <n v="107"/>
    <x v="7"/>
    <x v="0"/>
    <x v="0"/>
    <n v="3"/>
    <x v="2"/>
    <n v="4000"/>
    <n v="4422"/>
    <n v="1000"/>
    <n v="400"/>
    <n v="422"/>
    <n v="600"/>
    <n v="4022"/>
    <n v="3000"/>
    <n v="1022"/>
    <n v="0.1055"/>
    <n v="0.6"/>
    <n v="0.34066666666666667"/>
    <n v="0.90954319312528265"/>
    <x v="35"/>
  </r>
  <r>
    <n v="424"/>
    <n v="107"/>
    <x v="7"/>
    <x v="0"/>
    <x v="0"/>
    <n v="4"/>
    <x v="3"/>
    <n v="4000"/>
    <n v="2145"/>
    <n v="1000"/>
    <n v="500"/>
    <n v="-1855"/>
    <n v="500"/>
    <n v="1645"/>
    <n v="3000"/>
    <n v="-1355"/>
    <n v="-0.46375"/>
    <n v="0.5"/>
    <n v="-0.45166666666666666"/>
    <n v="0.76689976689976691"/>
    <x v="35"/>
  </r>
  <r>
    <n v="425"/>
    <n v="107"/>
    <x v="7"/>
    <x v="0"/>
    <x v="0"/>
    <n v="5"/>
    <x v="4"/>
    <n v="5000"/>
    <n v="4335"/>
    <n v="1666.6666666666667"/>
    <n v="966.66666666666674"/>
    <n v="-665"/>
    <n v="700"/>
    <n v="3368.333333333333"/>
    <n v="3333.333333333333"/>
    <n v="35"/>
    <n v="-0.13300000000000001"/>
    <n v="0.42"/>
    <n v="1.0500000000000001E-2"/>
    <n v="0.77700884275278737"/>
    <x v="35"/>
  </r>
  <r>
    <n v="426"/>
    <n v="107"/>
    <x v="7"/>
    <x v="0"/>
    <x v="0"/>
    <n v="6"/>
    <x v="5"/>
    <n v="5000"/>
    <n v="7528"/>
    <n v="2500"/>
    <n v="1800"/>
    <n v="2528"/>
    <n v="700"/>
    <n v="5728"/>
    <n v="2500"/>
    <n v="3228"/>
    <n v="0.50560000000000005"/>
    <n v="0.28000000000000003"/>
    <n v="1.2911999999999999"/>
    <n v="0.76089266737513284"/>
    <x v="35"/>
  </r>
  <r>
    <n v="427"/>
    <n v="107"/>
    <x v="7"/>
    <x v="0"/>
    <x v="0"/>
    <n v="7"/>
    <x v="6"/>
    <n v="1000"/>
    <n v="10390"/>
    <n v="500"/>
    <n v="400"/>
    <n v="9390"/>
    <n v="100"/>
    <n v="9990"/>
    <n v="500"/>
    <n v="9490"/>
    <n v="9.39"/>
    <n v="0.2"/>
    <n v="18.98"/>
    <n v="0.96150144369586144"/>
    <x v="35"/>
  </r>
  <r>
    <n v="428"/>
    <n v="107"/>
    <x v="7"/>
    <x v="0"/>
    <x v="0"/>
    <n v="8"/>
    <x v="7"/>
    <n v="3000"/>
    <n v="7916"/>
    <n v="750"/>
    <n v="450"/>
    <n v="4916"/>
    <n v="300"/>
    <n v="7466"/>
    <n v="2250"/>
    <n v="5216"/>
    <n v="1.6386666666666667"/>
    <n v="0.4"/>
    <n v="2.3182222222222224"/>
    <n v="0.94315310763011617"/>
    <x v="35"/>
  </r>
  <r>
    <n v="429"/>
    <n v="107"/>
    <x v="7"/>
    <x v="0"/>
    <x v="0"/>
    <n v="9"/>
    <x v="8"/>
    <n v="9000"/>
    <n v="4725"/>
    <n v="3000"/>
    <n v="3000"/>
    <n v="-4275"/>
    <n v="0"/>
    <n v="1725"/>
    <n v="6000"/>
    <n v="-4275"/>
    <n v="-0.47499999999999998"/>
    <n v="0"/>
    <n v="-0.71250000000000002"/>
    <n v="0.36507936507936506"/>
    <x v="35"/>
  </r>
  <r>
    <n v="430"/>
    <n v="107"/>
    <x v="7"/>
    <x v="0"/>
    <x v="0"/>
    <n v="10"/>
    <x v="9"/>
    <n v="5000"/>
    <n v="2211"/>
    <n v="2500"/>
    <n v="2300"/>
    <n v="-2789"/>
    <n v="200"/>
    <n v="-89"/>
    <n v="2500"/>
    <n v="-2589"/>
    <n v="-0.55779999999999996"/>
    <n v="0.08"/>
    <n v="-1.0356000000000001"/>
    <n v="-4.0253279059249206E-2"/>
    <x v="35"/>
  </r>
  <r>
    <n v="431"/>
    <n v="107"/>
    <x v="7"/>
    <x v="0"/>
    <x v="0"/>
    <n v="11"/>
    <x v="10"/>
    <n v="5000"/>
    <n v="4896"/>
    <n v="1250"/>
    <n v="1050"/>
    <n v="-104"/>
    <n v="200"/>
    <n v="3846"/>
    <n v="3750"/>
    <n v="96"/>
    <n v="-2.0799999999999999E-2"/>
    <n v="0.16"/>
    <n v="2.5600000000000001E-2"/>
    <n v="0.78553921568627449"/>
    <x v="35"/>
  </r>
  <r>
    <n v="432"/>
    <n v="107"/>
    <x v="7"/>
    <x v="0"/>
    <x v="0"/>
    <n v="12"/>
    <x v="11"/>
    <n v="4000"/>
    <n v="5215"/>
    <n v="1333.3333333333333"/>
    <n v="833.33333333333326"/>
    <n v="1215"/>
    <n v="500"/>
    <n v="4381.666666666667"/>
    <n v="2666.666666666667"/>
    <n v="1715"/>
    <n v="0.30375000000000002"/>
    <n v="0.375"/>
    <n v="0.64312499999999995"/>
    <n v="0.8402045381911154"/>
    <x v="35"/>
  </r>
  <r>
    <n v="433"/>
    <n v="107"/>
    <x v="7"/>
    <x v="1"/>
    <x v="1"/>
    <n v="1"/>
    <x v="0"/>
    <n v="3000"/>
    <n v="6454"/>
    <n v="1000"/>
    <n v="900"/>
    <n v="3454"/>
    <n v="100"/>
    <n v="5554"/>
    <n v="2000"/>
    <n v="3554"/>
    <n v="1.1513333333333333"/>
    <n v="0.1"/>
    <n v="1.7769999999999999"/>
    <n v="0.86055159590951347"/>
    <x v="36"/>
  </r>
  <r>
    <n v="434"/>
    <n v="107"/>
    <x v="7"/>
    <x v="1"/>
    <x v="1"/>
    <n v="2"/>
    <x v="1"/>
    <n v="5000"/>
    <n v="3418"/>
    <n v="1666.6666666666667"/>
    <n v="1466.6666666666667"/>
    <n v="-1582"/>
    <n v="200"/>
    <n v="1951.3333333333333"/>
    <n v="3333.333333333333"/>
    <n v="-1381.9999999999998"/>
    <n v="-0.31640000000000001"/>
    <n v="0.12"/>
    <n v="-0.41459999999999997"/>
    <n v="0.57089916130290619"/>
    <x v="36"/>
  </r>
  <r>
    <n v="435"/>
    <n v="107"/>
    <x v="7"/>
    <x v="1"/>
    <x v="1"/>
    <n v="3"/>
    <x v="2"/>
    <n v="5000"/>
    <n v="8150"/>
    <n v="1666.6666666666667"/>
    <n v="1566.6666666666667"/>
    <n v="3150"/>
    <n v="100"/>
    <n v="6583.333333333333"/>
    <n v="3333.333333333333"/>
    <n v="3250"/>
    <n v="0.63"/>
    <n v="0.06"/>
    <n v="0.97500000000000009"/>
    <n v="0.8077709611451942"/>
    <x v="36"/>
  </r>
  <r>
    <n v="436"/>
    <n v="107"/>
    <x v="7"/>
    <x v="1"/>
    <x v="1"/>
    <n v="4"/>
    <x v="3"/>
    <n v="1000"/>
    <n v="9655"/>
    <n v="200"/>
    <n v="800"/>
    <n v="8655"/>
    <n v="-600"/>
    <n v="8855"/>
    <n v="800"/>
    <n v="8055"/>
    <n v="8.6549999999999994"/>
    <n v="-3"/>
    <n v="10.06875"/>
    <n v="0.91714137752459868"/>
    <x v="36"/>
  </r>
  <r>
    <n v="437"/>
    <n v="107"/>
    <x v="7"/>
    <x v="1"/>
    <x v="1"/>
    <n v="5"/>
    <x v="4"/>
    <n v="1000"/>
    <n v="8140"/>
    <n v="333.33333333333331"/>
    <n v="233.33333333333331"/>
    <n v="7140"/>
    <n v="100"/>
    <n v="7906.666666666667"/>
    <n v="666.66666666666674"/>
    <n v="7240"/>
    <n v="7.14"/>
    <n v="0.30000000000000004"/>
    <n v="10.86"/>
    <n v="0.97133497133497138"/>
    <x v="36"/>
  </r>
  <r>
    <n v="438"/>
    <n v="107"/>
    <x v="7"/>
    <x v="1"/>
    <x v="1"/>
    <n v="6"/>
    <x v="5"/>
    <n v="5000"/>
    <n v="5513"/>
    <n v="1666.6666666666667"/>
    <n v="1666.6666666666667"/>
    <n v="513"/>
    <n v="0"/>
    <n v="3846.333333333333"/>
    <n v="3333.333333333333"/>
    <n v="513"/>
    <n v="0.1026"/>
    <n v="0"/>
    <n v="0.15390000000000001"/>
    <n v="0.69768426144265061"/>
    <x v="36"/>
  </r>
  <r>
    <n v="439"/>
    <n v="107"/>
    <x v="7"/>
    <x v="1"/>
    <x v="1"/>
    <n v="7"/>
    <x v="6"/>
    <n v="9000"/>
    <n v="2596"/>
    <n v="4500"/>
    <n v="4100"/>
    <n v="-6404"/>
    <n v="400"/>
    <n v="-1504"/>
    <n v="4500"/>
    <n v="-6004"/>
    <n v="-0.71155555555555561"/>
    <n v="8.8888888888888892E-2"/>
    <n v="-1.3342222222222222"/>
    <n v="-0.5793528505392912"/>
    <x v="36"/>
  </r>
  <r>
    <n v="440"/>
    <n v="107"/>
    <x v="7"/>
    <x v="1"/>
    <x v="1"/>
    <n v="8"/>
    <x v="7"/>
    <n v="5000"/>
    <n v="10438"/>
    <n v="1666.6666666666667"/>
    <n v="1566.6666666666667"/>
    <n v="5438"/>
    <n v="100"/>
    <n v="8871.3333333333339"/>
    <n v="3333.333333333333"/>
    <n v="5538.0000000000009"/>
    <n v="1.0875999999999999"/>
    <n v="0.06"/>
    <n v="1.6614000000000004"/>
    <n v="0.84990738966596413"/>
    <x v="36"/>
  </r>
  <r>
    <n v="441"/>
    <n v="107"/>
    <x v="7"/>
    <x v="1"/>
    <x v="1"/>
    <n v="9"/>
    <x v="8"/>
    <n v="3000"/>
    <n v="7251"/>
    <n v="750"/>
    <n v="350"/>
    <n v="4251"/>
    <n v="400"/>
    <n v="6901"/>
    <n v="2250"/>
    <n v="4651"/>
    <n v="1.417"/>
    <n v="0.53333333333333333"/>
    <n v="2.0671111111111111"/>
    <n v="0.95173079575231001"/>
    <x v="36"/>
  </r>
  <r>
    <n v="442"/>
    <n v="107"/>
    <x v="7"/>
    <x v="1"/>
    <x v="1"/>
    <n v="10"/>
    <x v="9"/>
    <n v="2000"/>
    <n v="6522"/>
    <n v="500"/>
    <n v="400"/>
    <n v="4522"/>
    <n v="100"/>
    <n v="6122"/>
    <n v="1500"/>
    <n v="4622"/>
    <n v="2.2610000000000001"/>
    <n v="0.2"/>
    <n v="3.0813333333333333"/>
    <n v="0.93866911990187063"/>
    <x v="36"/>
  </r>
  <r>
    <n v="443"/>
    <n v="107"/>
    <x v="7"/>
    <x v="1"/>
    <x v="1"/>
    <n v="11"/>
    <x v="10"/>
    <n v="3000"/>
    <n v="7794"/>
    <n v="1500"/>
    <n v="1500"/>
    <n v="4794"/>
    <n v="0"/>
    <n v="6294"/>
    <n v="1500"/>
    <n v="4794"/>
    <n v="1.5980000000000001"/>
    <n v="0"/>
    <n v="3.1960000000000002"/>
    <n v="0.80754426481909158"/>
    <x v="36"/>
  </r>
  <r>
    <n v="444"/>
    <n v="107"/>
    <x v="7"/>
    <x v="1"/>
    <x v="1"/>
    <n v="12"/>
    <x v="11"/>
    <n v="5000"/>
    <n v="5554"/>
    <n v="1666.6666666666667"/>
    <n v="1066.6666666666667"/>
    <n v="554"/>
    <n v="600"/>
    <n v="4487.333333333333"/>
    <n v="3333.333333333333"/>
    <n v="1154"/>
    <n v="0.1108"/>
    <n v="0.36"/>
    <n v="0.34620000000000001"/>
    <n v="0.80794622494298396"/>
    <x v="36"/>
  </r>
  <r>
    <n v="445"/>
    <n v="107"/>
    <x v="7"/>
    <x v="2"/>
    <x v="2"/>
    <n v="1"/>
    <x v="0"/>
    <n v="3000"/>
    <n v="3226"/>
    <n v="1000"/>
    <n v="400"/>
    <n v="226"/>
    <n v="600"/>
    <n v="2826"/>
    <n v="2000"/>
    <n v="826"/>
    <n v="7.5333333333333335E-2"/>
    <n v="0.6"/>
    <n v="0.41299999999999998"/>
    <n v="0.87600743955362681"/>
    <x v="37"/>
  </r>
  <r>
    <n v="446"/>
    <n v="107"/>
    <x v="7"/>
    <x v="2"/>
    <x v="2"/>
    <n v="2"/>
    <x v="1"/>
    <n v="10000"/>
    <n v="5253"/>
    <n v="3333.3333333333335"/>
    <n v="3133.3333333333335"/>
    <n v="-4747"/>
    <n v="200"/>
    <n v="2119.6666666666665"/>
    <n v="6666.6666666666661"/>
    <n v="-4547"/>
    <n v="-0.47470000000000001"/>
    <n v="0.06"/>
    <n v="-0.68205000000000005"/>
    <n v="0.40351545148803858"/>
    <x v="37"/>
  </r>
  <r>
    <n v="447"/>
    <n v="107"/>
    <x v="7"/>
    <x v="2"/>
    <x v="2"/>
    <n v="3"/>
    <x v="2"/>
    <n v="3000"/>
    <n v="5211"/>
    <n v="1500"/>
    <n v="1400"/>
    <n v="2211"/>
    <n v="100"/>
    <n v="3811"/>
    <n v="1500"/>
    <n v="2311"/>
    <n v="0.73699999999999999"/>
    <n v="6.6666666666666666E-2"/>
    <n v="1.5406666666666666"/>
    <n v="0.73133755517175203"/>
    <x v="37"/>
  </r>
  <r>
    <n v="448"/>
    <n v="107"/>
    <x v="7"/>
    <x v="2"/>
    <x v="2"/>
    <n v="4"/>
    <x v="3"/>
    <n v="5000"/>
    <n v="2297"/>
    <n v="1250"/>
    <n v="1150"/>
    <n v="-2703"/>
    <n v="100"/>
    <n v="1147"/>
    <n v="3750"/>
    <n v="-2603"/>
    <n v="-0.54059999999999997"/>
    <n v="0.08"/>
    <n v="-0.69413333333333338"/>
    <n v="0.49934697431432301"/>
    <x v="37"/>
  </r>
  <r>
    <n v="449"/>
    <n v="107"/>
    <x v="7"/>
    <x v="2"/>
    <x v="2"/>
    <n v="5"/>
    <x v="4"/>
    <n v="4000"/>
    <n v="5385"/>
    <n v="800"/>
    <n v="400"/>
    <n v="1385"/>
    <n v="400"/>
    <n v="4985"/>
    <n v="3200"/>
    <n v="1785"/>
    <n v="0.34625"/>
    <n v="0.5"/>
    <n v="0.55781250000000004"/>
    <n v="0.92571959145775307"/>
    <x v="37"/>
  </r>
  <r>
    <n v="450"/>
    <n v="107"/>
    <x v="7"/>
    <x v="2"/>
    <x v="2"/>
    <n v="6"/>
    <x v="5"/>
    <n v="7000"/>
    <n v="6451"/>
    <n v="3500"/>
    <n v="3100"/>
    <n v="-549"/>
    <n v="400"/>
    <n v="3351"/>
    <n v="3500"/>
    <n v="-149"/>
    <n v="-7.8428571428571431E-2"/>
    <n v="0.11428571428571428"/>
    <n v="-4.2571428571428573E-2"/>
    <n v="0.51945434816307545"/>
    <x v="37"/>
  </r>
  <r>
    <n v="451"/>
    <n v="107"/>
    <x v="7"/>
    <x v="2"/>
    <x v="2"/>
    <n v="7"/>
    <x v="6"/>
    <n v="10000"/>
    <n v="5518"/>
    <n v="2500"/>
    <n v="2200"/>
    <n v="-4482"/>
    <n v="300"/>
    <n v="3318"/>
    <n v="7500"/>
    <n v="-4182"/>
    <n v="-0.44819999999999999"/>
    <n v="0.12"/>
    <n v="-0.55759999999999998"/>
    <n v="0.60130482058716928"/>
    <x v="37"/>
  </r>
  <r>
    <n v="452"/>
    <n v="107"/>
    <x v="7"/>
    <x v="2"/>
    <x v="2"/>
    <n v="8"/>
    <x v="7"/>
    <n v="10000"/>
    <n v="2166"/>
    <n v="3333.3333333333335"/>
    <n v="3033.3333333333335"/>
    <n v="-7834"/>
    <n v="300"/>
    <n v="-867.33333333333348"/>
    <n v="6666.6666666666661"/>
    <n v="-7534"/>
    <n v="-0.78339999999999999"/>
    <n v="0.09"/>
    <n v="-1.1301000000000001"/>
    <n v="-0.40043090181594343"/>
    <x v="37"/>
  </r>
  <r>
    <n v="453"/>
    <n v="107"/>
    <x v="7"/>
    <x v="2"/>
    <x v="2"/>
    <n v="9"/>
    <x v="8"/>
    <n v="1000"/>
    <n v="4211"/>
    <n v="333.33333333333331"/>
    <n v="233.33333333333331"/>
    <n v="3211"/>
    <n v="100"/>
    <n v="3977.6666666666665"/>
    <n v="666.66666666666674"/>
    <n v="3311"/>
    <n v="3.2109999999999999"/>
    <n v="0.30000000000000004"/>
    <n v="4.966499999999999"/>
    <n v="0.94458956700704499"/>
    <x v="37"/>
  </r>
  <r>
    <n v="454"/>
    <n v="107"/>
    <x v="7"/>
    <x v="2"/>
    <x v="2"/>
    <n v="10"/>
    <x v="9"/>
    <n v="2000"/>
    <n v="7643"/>
    <n v="500"/>
    <n v="500"/>
    <n v="5643"/>
    <n v="0"/>
    <n v="7143"/>
    <n v="1500"/>
    <n v="5643"/>
    <n v="2.8214999999999999"/>
    <n v="0"/>
    <n v="3.762"/>
    <n v="0.93458066204370016"/>
    <x v="37"/>
  </r>
  <r>
    <n v="455"/>
    <n v="107"/>
    <x v="7"/>
    <x v="2"/>
    <x v="2"/>
    <n v="11"/>
    <x v="10"/>
    <n v="5000"/>
    <n v="4697"/>
    <n v="1000"/>
    <n v="600"/>
    <n v="-303"/>
    <n v="400"/>
    <n v="4097"/>
    <n v="4000"/>
    <n v="97"/>
    <n v="-6.0600000000000001E-2"/>
    <n v="0.4"/>
    <n v="2.4250000000000001E-2"/>
    <n v="0.87225888865233125"/>
    <x v="37"/>
  </r>
  <r>
    <n v="456"/>
    <n v="107"/>
    <x v="7"/>
    <x v="2"/>
    <x v="2"/>
    <n v="12"/>
    <x v="11"/>
    <n v="1000"/>
    <n v="2512"/>
    <n v="500"/>
    <n v="400"/>
    <n v="1512"/>
    <n v="100"/>
    <n v="2112"/>
    <n v="500"/>
    <n v="1612"/>
    <n v="1.512"/>
    <n v="0.2"/>
    <n v="3.2240000000000002"/>
    <n v="0.84076433121019112"/>
    <x v="37"/>
  </r>
  <r>
    <n v="457"/>
    <n v="107"/>
    <x v="7"/>
    <x v="3"/>
    <x v="3"/>
    <n v="1"/>
    <x v="0"/>
    <n v="4000"/>
    <n v="4945"/>
    <n v="800"/>
    <n v="700"/>
    <n v="945"/>
    <n v="100"/>
    <n v="4245"/>
    <n v="3200"/>
    <n v="1045"/>
    <n v="0.23624999999999999"/>
    <n v="0.125"/>
    <n v="0.32656249999999998"/>
    <n v="0.85844287158746213"/>
    <x v="38"/>
  </r>
  <r>
    <n v="458"/>
    <n v="107"/>
    <x v="7"/>
    <x v="3"/>
    <x v="3"/>
    <n v="2"/>
    <x v="1"/>
    <n v="5000"/>
    <n v="9221"/>
    <n v="1666.6666666666667"/>
    <n v="1166.6666666666667"/>
    <n v="4221"/>
    <n v="500"/>
    <n v="8054.333333333333"/>
    <n v="3333.333333333333"/>
    <n v="4721"/>
    <n v="0.84419999999999995"/>
    <n v="0.3"/>
    <n v="1.4163000000000001"/>
    <n v="0.87347720782272342"/>
    <x v="38"/>
  </r>
  <r>
    <n v="459"/>
    <n v="107"/>
    <x v="7"/>
    <x v="3"/>
    <x v="3"/>
    <n v="3"/>
    <x v="2"/>
    <n v="4000"/>
    <n v="4154"/>
    <n v="1333.3333333333333"/>
    <n v="1333.3333333333333"/>
    <n v="154"/>
    <n v="0"/>
    <n v="2820.666666666667"/>
    <n v="2666.666666666667"/>
    <n v="154"/>
    <n v="3.85E-2"/>
    <n v="0"/>
    <n v="5.7749999999999996E-2"/>
    <n v="0.67902423367035791"/>
    <x v="38"/>
  </r>
  <r>
    <n v="460"/>
    <n v="107"/>
    <x v="7"/>
    <x v="3"/>
    <x v="3"/>
    <n v="4"/>
    <x v="3"/>
    <n v="9000"/>
    <n v="3497"/>
    <n v="3000"/>
    <n v="3000"/>
    <n v="-5503"/>
    <n v="0"/>
    <n v="497"/>
    <n v="6000"/>
    <n v="-5503"/>
    <n v="-0.61144444444444446"/>
    <n v="0"/>
    <n v="-0.91716666666666669"/>
    <n v="0.14212181870174434"/>
    <x v="38"/>
  </r>
  <r>
    <n v="461"/>
    <n v="107"/>
    <x v="7"/>
    <x v="3"/>
    <x v="3"/>
    <n v="5"/>
    <x v="4"/>
    <n v="1000"/>
    <n v="5644"/>
    <n v="500"/>
    <n v="200"/>
    <n v="4644"/>
    <n v="300"/>
    <n v="5444"/>
    <n v="500"/>
    <n v="4944"/>
    <n v="4.6440000000000001"/>
    <n v="0.6"/>
    <n v="9.8879999999999999"/>
    <n v="0.96456413890857551"/>
    <x v="38"/>
  </r>
  <r>
    <n v="462"/>
    <n v="107"/>
    <x v="7"/>
    <x v="3"/>
    <x v="3"/>
    <n v="6"/>
    <x v="5"/>
    <n v="5000"/>
    <n v="4453"/>
    <n v="2500"/>
    <n v="2500"/>
    <n v="-547"/>
    <n v="0"/>
    <n v="1953"/>
    <n v="2500"/>
    <n v="-547"/>
    <n v="-0.1094"/>
    <n v="0"/>
    <n v="-0.21879999999999999"/>
    <n v="0.43858073209072534"/>
    <x v="38"/>
  </r>
  <r>
    <n v="463"/>
    <n v="107"/>
    <x v="7"/>
    <x v="3"/>
    <x v="3"/>
    <n v="7"/>
    <x v="6"/>
    <n v="7000"/>
    <n v="5243"/>
    <n v="1400"/>
    <n v="600"/>
    <n v="-1757"/>
    <n v="800"/>
    <n v="4643"/>
    <n v="5600"/>
    <n v="-957"/>
    <n v="-0.251"/>
    <n v="0.5714285714285714"/>
    <n v="-0.17089285714285715"/>
    <n v="0.88556170131604039"/>
    <x v="38"/>
  </r>
  <r>
    <n v="464"/>
    <n v="107"/>
    <x v="7"/>
    <x v="3"/>
    <x v="3"/>
    <n v="8"/>
    <x v="7"/>
    <n v="2000"/>
    <n v="4512"/>
    <n v="1000"/>
    <n v="900"/>
    <n v="2512"/>
    <n v="100"/>
    <n v="3612"/>
    <n v="1000"/>
    <n v="2612"/>
    <n v="1.256"/>
    <n v="0.1"/>
    <n v="2.6120000000000001"/>
    <n v="0.80053191489361697"/>
    <x v="38"/>
  </r>
  <r>
    <n v="465"/>
    <n v="107"/>
    <x v="7"/>
    <x v="3"/>
    <x v="3"/>
    <n v="9"/>
    <x v="8"/>
    <n v="5000"/>
    <n v="3413"/>
    <n v="1666.6666666666667"/>
    <n v="1066.6666666666667"/>
    <n v="-1587"/>
    <n v="600"/>
    <n v="2346.333333333333"/>
    <n v="3333.333333333333"/>
    <n v="-987"/>
    <n v="-0.31740000000000002"/>
    <n v="0.36"/>
    <n v="-0.29610000000000003"/>
    <n v="0.68746947944135162"/>
    <x v="38"/>
  </r>
  <r>
    <n v="466"/>
    <n v="107"/>
    <x v="7"/>
    <x v="3"/>
    <x v="3"/>
    <n v="10"/>
    <x v="9"/>
    <n v="4000"/>
    <n v="3895"/>
    <n v="1000"/>
    <n v="600"/>
    <n v="-105"/>
    <n v="400"/>
    <n v="3295"/>
    <n v="3000"/>
    <n v="295"/>
    <n v="-2.6249999999999999E-2"/>
    <n v="0.4"/>
    <n v="9.8333333333333328E-2"/>
    <n v="0.84595635430038507"/>
    <x v="38"/>
  </r>
  <r>
    <n v="467"/>
    <n v="107"/>
    <x v="7"/>
    <x v="3"/>
    <x v="3"/>
    <n v="11"/>
    <x v="10"/>
    <n v="7000"/>
    <n v="3255"/>
    <n v="1750"/>
    <n v="1050"/>
    <n v="-3745"/>
    <n v="700"/>
    <n v="2205"/>
    <n v="5250"/>
    <n v="-3045"/>
    <n v="-0.53500000000000003"/>
    <n v="0.4"/>
    <n v="-0.57999999999999996"/>
    <n v="0.67741935483870963"/>
    <x v="38"/>
  </r>
  <r>
    <n v="468"/>
    <n v="107"/>
    <x v="7"/>
    <x v="3"/>
    <x v="3"/>
    <n v="12"/>
    <x v="11"/>
    <n v="3000"/>
    <n v="2241"/>
    <n v="600"/>
    <n v="600"/>
    <n v="-759"/>
    <n v="0"/>
    <n v="1641"/>
    <n v="2400"/>
    <n v="-759"/>
    <n v="-0.253"/>
    <n v="0"/>
    <n v="-0.31624999999999998"/>
    <n v="0.7322623828647925"/>
    <x v="38"/>
  </r>
  <r>
    <n v="469"/>
    <n v="107"/>
    <x v="7"/>
    <x v="4"/>
    <x v="4"/>
    <n v="1"/>
    <x v="0"/>
    <n v="8000"/>
    <n v="4427"/>
    <n v="4000"/>
    <n v="3200"/>
    <n v="-3573"/>
    <n v="800"/>
    <n v="1227"/>
    <n v="4000"/>
    <n v="-2773"/>
    <n v="-0.44662499999999999"/>
    <n v="0.2"/>
    <n v="-0.69325000000000003"/>
    <n v="0.27716286424215042"/>
    <x v="39"/>
  </r>
  <r>
    <n v="470"/>
    <n v="107"/>
    <x v="7"/>
    <x v="4"/>
    <x v="4"/>
    <n v="2"/>
    <x v="1"/>
    <n v="4000"/>
    <n v="7138"/>
    <n v="1333.3333333333333"/>
    <n v="833.33333333333326"/>
    <n v="3138"/>
    <n v="500"/>
    <n v="6304.666666666667"/>
    <n v="2666.666666666667"/>
    <n v="3638"/>
    <n v="0.78449999999999998"/>
    <n v="0.375"/>
    <n v="1.3642499999999997"/>
    <n v="0.88325394601662466"/>
    <x v="39"/>
  </r>
  <r>
    <n v="471"/>
    <n v="107"/>
    <x v="7"/>
    <x v="4"/>
    <x v="4"/>
    <n v="3"/>
    <x v="2"/>
    <n v="8000"/>
    <n v="2165"/>
    <n v="4000"/>
    <n v="3800"/>
    <n v="-5835"/>
    <n v="200"/>
    <n v="-1635"/>
    <n v="4000"/>
    <n v="-5635"/>
    <n v="-0.729375"/>
    <n v="0.05"/>
    <n v="-1.4087499999999999"/>
    <n v="-0.75519630484988454"/>
    <x v="39"/>
  </r>
  <r>
    <n v="472"/>
    <n v="107"/>
    <x v="7"/>
    <x v="4"/>
    <x v="4"/>
    <n v="4"/>
    <x v="3"/>
    <n v="8000"/>
    <n v="5125"/>
    <n v="4000"/>
    <n v="3500"/>
    <n v="-2875"/>
    <n v="500"/>
    <n v="1625"/>
    <n v="4000"/>
    <n v="-2375"/>
    <n v="-0.359375"/>
    <n v="0.125"/>
    <n v="-0.59375"/>
    <n v="0.31707317073170732"/>
    <x v="39"/>
  </r>
  <r>
    <n v="473"/>
    <n v="107"/>
    <x v="7"/>
    <x v="4"/>
    <x v="4"/>
    <n v="5"/>
    <x v="4"/>
    <n v="1000"/>
    <n v="7873"/>
    <n v="500"/>
    <n v="200"/>
    <n v="6873"/>
    <n v="300"/>
    <n v="7673"/>
    <n v="500"/>
    <n v="7173"/>
    <n v="6.8730000000000002"/>
    <n v="0.6"/>
    <n v="14.346"/>
    <n v="0.97459672297726407"/>
    <x v="39"/>
  </r>
  <r>
    <n v="474"/>
    <n v="107"/>
    <x v="7"/>
    <x v="4"/>
    <x v="4"/>
    <n v="6"/>
    <x v="5"/>
    <n v="2000"/>
    <n v="4141"/>
    <n v="1000"/>
    <n v="800"/>
    <n v="2141"/>
    <n v="200"/>
    <n v="3341"/>
    <n v="1000"/>
    <n v="2341"/>
    <n v="1.0705"/>
    <n v="0.2"/>
    <n v="2.3410000000000002"/>
    <n v="0.80680994928761174"/>
    <x v="39"/>
  </r>
  <r>
    <n v="475"/>
    <n v="107"/>
    <x v="7"/>
    <x v="4"/>
    <x v="4"/>
    <n v="7"/>
    <x v="6"/>
    <n v="1000"/>
    <n v="6634"/>
    <n v="200"/>
    <n v="200"/>
    <n v="5634"/>
    <n v="0"/>
    <n v="6434"/>
    <n v="800"/>
    <n v="5634"/>
    <n v="5.6340000000000003"/>
    <n v="0"/>
    <n v="7.0425000000000004"/>
    <n v="0.96985227615315039"/>
    <x v="39"/>
  </r>
  <r>
    <n v="476"/>
    <n v="107"/>
    <x v="7"/>
    <x v="4"/>
    <x v="4"/>
    <n v="8"/>
    <x v="7"/>
    <n v="6000"/>
    <n v="8171"/>
    <n v="2000"/>
    <n v="2000"/>
    <n v="2171"/>
    <n v="0"/>
    <n v="6171"/>
    <n v="4000"/>
    <n v="2171"/>
    <n v="0.36183333333333334"/>
    <n v="0"/>
    <n v="0.54274999999999995"/>
    <n v="0.75523191775792442"/>
    <x v="39"/>
  </r>
  <r>
    <n v="477"/>
    <n v="107"/>
    <x v="7"/>
    <x v="4"/>
    <x v="4"/>
    <n v="9"/>
    <x v="8"/>
    <n v="3000"/>
    <n v="6986"/>
    <n v="1000"/>
    <n v="800"/>
    <n v="3986"/>
    <n v="200"/>
    <n v="6186"/>
    <n v="2000"/>
    <n v="4186"/>
    <n v="1.3286666666666667"/>
    <n v="0.2"/>
    <n v="2.093"/>
    <n v="0.88548525622673924"/>
    <x v="39"/>
  </r>
  <r>
    <n v="478"/>
    <n v="107"/>
    <x v="7"/>
    <x v="4"/>
    <x v="4"/>
    <n v="10"/>
    <x v="9"/>
    <n v="8000"/>
    <n v="8187"/>
    <n v="4000"/>
    <n v="3400"/>
    <n v="187"/>
    <n v="600"/>
    <n v="4787"/>
    <n v="4000"/>
    <n v="787"/>
    <n v="2.3375E-2"/>
    <n v="0.15"/>
    <n v="0.19675000000000001"/>
    <n v="0.58470746305117871"/>
    <x v="39"/>
  </r>
  <r>
    <n v="479"/>
    <n v="107"/>
    <x v="7"/>
    <x v="4"/>
    <x v="4"/>
    <n v="11"/>
    <x v="10"/>
    <n v="4000"/>
    <n v="7324"/>
    <n v="800"/>
    <n v="400"/>
    <n v="3324"/>
    <n v="400"/>
    <n v="6924"/>
    <n v="3200"/>
    <n v="3724"/>
    <n v="0.83099999999999996"/>
    <n v="0.5"/>
    <n v="1.1637500000000001"/>
    <n v="0.94538503549972697"/>
    <x v="39"/>
  </r>
  <r>
    <n v="480"/>
    <n v="107"/>
    <x v="7"/>
    <x v="4"/>
    <x v="4"/>
    <n v="12"/>
    <x v="11"/>
    <n v="3000"/>
    <n v="6413"/>
    <n v="1500"/>
    <n v="1500"/>
    <n v="3413"/>
    <n v="0"/>
    <n v="4913"/>
    <n v="1500"/>
    <n v="3413"/>
    <n v="1.1376666666666666"/>
    <n v="0"/>
    <n v="2.2753333333333332"/>
    <n v="0.76610010915328242"/>
    <x v="39"/>
  </r>
  <r>
    <n v="481"/>
    <n v="108"/>
    <x v="8"/>
    <x v="0"/>
    <x v="0"/>
    <n v="1"/>
    <x v="0"/>
    <n v="3000"/>
    <n v="2311"/>
    <n v="750"/>
    <n v="650"/>
    <n v="-689"/>
    <n v="100"/>
    <n v="1661"/>
    <n v="2250"/>
    <n v="-589"/>
    <n v="-0.22966666666666666"/>
    <n v="0.13333333333333333"/>
    <n v="-0.26177777777777778"/>
    <n v="0.71873647771527482"/>
    <x v="40"/>
  </r>
  <r>
    <n v="482"/>
    <n v="108"/>
    <x v="8"/>
    <x v="0"/>
    <x v="0"/>
    <n v="2"/>
    <x v="1"/>
    <n v="2000"/>
    <n v="5934"/>
    <n v="666.66666666666663"/>
    <n v="466.66666666666663"/>
    <n v="3934"/>
    <n v="200"/>
    <n v="5467.333333333333"/>
    <n v="1333.3333333333335"/>
    <n v="4134"/>
    <n v="1.9670000000000001"/>
    <n v="0.30000000000000004"/>
    <n v="3.1004999999999998"/>
    <n v="0.92135715088192338"/>
    <x v="40"/>
  </r>
  <r>
    <n v="483"/>
    <n v="108"/>
    <x v="8"/>
    <x v="0"/>
    <x v="0"/>
    <n v="3"/>
    <x v="2"/>
    <n v="8000"/>
    <n v="4424"/>
    <n v="4000"/>
    <n v="3600"/>
    <n v="-3576"/>
    <n v="400"/>
    <n v="824"/>
    <n v="4000"/>
    <n v="-3176"/>
    <n v="-0.44700000000000001"/>
    <n v="0.1"/>
    <n v="-0.79400000000000004"/>
    <n v="0.18625678119349007"/>
    <x v="40"/>
  </r>
  <r>
    <n v="484"/>
    <n v="108"/>
    <x v="8"/>
    <x v="0"/>
    <x v="0"/>
    <n v="4"/>
    <x v="3"/>
    <n v="7000"/>
    <n v="3362"/>
    <n v="1400"/>
    <n v="1400"/>
    <n v="-3638"/>
    <n v="0"/>
    <n v="1962"/>
    <n v="5600"/>
    <n v="-3638"/>
    <n v="-0.51971428571428568"/>
    <n v="0"/>
    <n v="-0.64964285714285719"/>
    <n v="0.58358120166567518"/>
    <x v="40"/>
  </r>
  <r>
    <n v="485"/>
    <n v="108"/>
    <x v="8"/>
    <x v="0"/>
    <x v="0"/>
    <n v="5"/>
    <x v="4"/>
    <n v="4000"/>
    <n v="6732"/>
    <n v="1000"/>
    <n v="800"/>
    <n v="2732"/>
    <n v="200"/>
    <n v="5932"/>
    <n v="3000"/>
    <n v="2932"/>
    <n v="0.68300000000000005"/>
    <n v="0.2"/>
    <n v="0.97733333333333339"/>
    <n v="0.88116458704694001"/>
    <x v="40"/>
  </r>
  <r>
    <n v="486"/>
    <n v="108"/>
    <x v="8"/>
    <x v="0"/>
    <x v="0"/>
    <n v="6"/>
    <x v="5"/>
    <n v="2000"/>
    <n v="3144"/>
    <n v="500"/>
    <n v="200"/>
    <n v="1144"/>
    <n v="300"/>
    <n v="2944"/>
    <n v="1500"/>
    <n v="1444"/>
    <n v="0.57199999999999995"/>
    <n v="0.6"/>
    <n v="0.96266666666666667"/>
    <n v="0.93638676844783719"/>
    <x v="40"/>
  </r>
  <r>
    <n v="487"/>
    <n v="108"/>
    <x v="8"/>
    <x v="0"/>
    <x v="0"/>
    <n v="7"/>
    <x v="6"/>
    <n v="8000"/>
    <n v="3324"/>
    <n v="2000"/>
    <n v="1600"/>
    <n v="-4676"/>
    <n v="400"/>
    <n v="1724"/>
    <n v="6000"/>
    <n v="-4276"/>
    <n v="-0.58450000000000002"/>
    <n v="0.2"/>
    <n v="-0.71266666666666667"/>
    <n v="0.51865222623345364"/>
    <x v="40"/>
  </r>
  <r>
    <n v="488"/>
    <n v="108"/>
    <x v="8"/>
    <x v="0"/>
    <x v="0"/>
    <n v="8"/>
    <x v="7"/>
    <n v="4000"/>
    <n v="5667"/>
    <n v="800"/>
    <n v="800"/>
    <n v="1667"/>
    <n v="0"/>
    <n v="4867"/>
    <n v="3200"/>
    <n v="1667"/>
    <n v="0.41675000000000001"/>
    <n v="0"/>
    <n v="0.52093750000000005"/>
    <n v="0.85883183342156344"/>
    <x v="40"/>
  </r>
  <r>
    <n v="489"/>
    <n v="108"/>
    <x v="8"/>
    <x v="0"/>
    <x v="0"/>
    <n v="9"/>
    <x v="8"/>
    <n v="1000"/>
    <n v="3872"/>
    <n v="200"/>
    <n v="300"/>
    <n v="2872"/>
    <n v="-100"/>
    <n v="3572"/>
    <n v="800"/>
    <n v="2772"/>
    <n v="2.8719999999999999"/>
    <n v="-0.5"/>
    <n v="3.4649999999999999"/>
    <n v="0.9225206611570248"/>
    <x v="40"/>
  </r>
  <r>
    <n v="490"/>
    <n v="108"/>
    <x v="8"/>
    <x v="0"/>
    <x v="0"/>
    <n v="10"/>
    <x v="9"/>
    <n v="4000"/>
    <n v="5424"/>
    <n v="800"/>
    <n v="400"/>
    <n v="1424"/>
    <n v="400"/>
    <n v="5024"/>
    <n v="3200"/>
    <n v="1824"/>
    <n v="0.35599999999999998"/>
    <n v="0.5"/>
    <n v="0.56999999999999995"/>
    <n v="0.92625368731563418"/>
    <x v="40"/>
  </r>
  <r>
    <n v="491"/>
    <n v="108"/>
    <x v="8"/>
    <x v="0"/>
    <x v="0"/>
    <n v="11"/>
    <x v="10"/>
    <n v="1000"/>
    <n v="2116"/>
    <n v="200"/>
    <n v="400"/>
    <n v="1116"/>
    <n v="-200"/>
    <n v="1716"/>
    <n v="800"/>
    <n v="916"/>
    <n v="1.1160000000000001"/>
    <n v="-1"/>
    <n v="1.145"/>
    <n v="0.81096408317580337"/>
    <x v="40"/>
  </r>
  <r>
    <n v="492"/>
    <n v="108"/>
    <x v="8"/>
    <x v="0"/>
    <x v="0"/>
    <n v="12"/>
    <x v="11"/>
    <n v="8000"/>
    <n v="4654"/>
    <n v="4000"/>
    <n v="3700"/>
    <n v="-3346"/>
    <n v="300"/>
    <n v="954"/>
    <n v="4000"/>
    <n v="-3046"/>
    <n v="-0.41825000000000001"/>
    <n v="7.4999999999999997E-2"/>
    <n v="-0.76149999999999995"/>
    <n v="0.20498495917490331"/>
    <x v="40"/>
  </r>
  <r>
    <n v="493"/>
    <n v="108"/>
    <x v="8"/>
    <x v="1"/>
    <x v="1"/>
    <n v="1"/>
    <x v="0"/>
    <n v="5000"/>
    <n v="4324"/>
    <n v="1666.6666666666667"/>
    <n v="1666.6666666666667"/>
    <n v="-676"/>
    <n v="0"/>
    <n v="2657.333333333333"/>
    <n v="3333.333333333333"/>
    <n v="-676"/>
    <n v="-0.13519999999999999"/>
    <n v="0"/>
    <n v="-0.20280000000000001"/>
    <n v="0.61455442491520196"/>
    <x v="41"/>
  </r>
  <r>
    <n v="494"/>
    <n v="108"/>
    <x v="8"/>
    <x v="1"/>
    <x v="1"/>
    <n v="2"/>
    <x v="1"/>
    <n v="2000"/>
    <n v="8568"/>
    <n v="400"/>
    <n v="300"/>
    <n v="6568"/>
    <n v="100"/>
    <n v="8268"/>
    <n v="1600"/>
    <n v="6668"/>
    <n v="3.2839999999999998"/>
    <n v="0.25"/>
    <n v="4.1675000000000004"/>
    <n v="0.96498599439775912"/>
    <x v="41"/>
  </r>
  <r>
    <n v="495"/>
    <n v="108"/>
    <x v="8"/>
    <x v="1"/>
    <x v="1"/>
    <n v="3"/>
    <x v="2"/>
    <n v="6000"/>
    <n v="3637"/>
    <n v="1500"/>
    <n v="1300"/>
    <n v="-2363"/>
    <n v="200"/>
    <n v="2337"/>
    <n v="4500"/>
    <n v="-2163"/>
    <n v="-0.39383333333333331"/>
    <n v="0.13333333333333333"/>
    <n v="-0.48066666666666669"/>
    <n v="0.64256255155347819"/>
    <x v="41"/>
  </r>
  <r>
    <n v="496"/>
    <n v="108"/>
    <x v="8"/>
    <x v="1"/>
    <x v="1"/>
    <n v="4"/>
    <x v="3"/>
    <n v="2000"/>
    <n v="7743"/>
    <n v="400"/>
    <n v="100"/>
    <n v="5743"/>
    <n v="300"/>
    <n v="7643"/>
    <n v="1600"/>
    <n v="6043"/>
    <n v="2.8715000000000002"/>
    <n v="0.75"/>
    <n v="3.776875"/>
    <n v="0.98708510913082781"/>
    <x v="41"/>
  </r>
  <r>
    <n v="497"/>
    <n v="108"/>
    <x v="8"/>
    <x v="1"/>
    <x v="1"/>
    <n v="5"/>
    <x v="4"/>
    <n v="2000"/>
    <n v="5047"/>
    <n v="1000"/>
    <n v="700"/>
    <n v="3047"/>
    <n v="300"/>
    <n v="4347"/>
    <n v="1000"/>
    <n v="3347"/>
    <n v="1.5235000000000001"/>
    <n v="0.3"/>
    <n v="3.347"/>
    <n v="0.86130374479889038"/>
    <x v="41"/>
  </r>
  <r>
    <n v="498"/>
    <n v="108"/>
    <x v="8"/>
    <x v="1"/>
    <x v="1"/>
    <n v="6"/>
    <x v="5"/>
    <n v="2000"/>
    <n v="8939"/>
    <n v="666.66666666666663"/>
    <n v="566.66666666666663"/>
    <n v="6939"/>
    <n v="100"/>
    <n v="8372.3333333333339"/>
    <n v="1333.3333333333335"/>
    <n v="7039"/>
    <n v="3.4695"/>
    <n v="0.15000000000000002"/>
    <n v="5.2792499999999993"/>
    <n v="0.93660737591826082"/>
    <x v="41"/>
  </r>
  <r>
    <n v="499"/>
    <n v="108"/>
    <x v="8"/>
    <x v="1"/>
    <x v="1"/>
    <n v="7"/>
    <x v="6"/>
    <n v="5000"/>
    <n v="7541"/>
    <n v="2500"/>
    <n v="2100"/>
    <n v="2541"/>
    <n v="400"/>
    <n v="5441"/>
    <n v="2500"/>
    <n v="2941"/>
    <n v="0.50819999999999999"/>
    <n v="0.16"/>
    <n v="1.1763999999999999"/>
    <n v="0.72152234451664232"/>
    <x v="41"/>
  </r>
  <r>
    <n v="500"/>
    <n v="108"/>
    <x v="8"/>
    <x v="1"/>
    <x v="1"/>
    <n v="8"/>
    <x v="7"/>
    <n v="1000"/>
    <n v="2461"/>
    <n v="500"/>
    <n v="100"/>
    <n v="1461"/>
    <n v="400"/>
    <n v="2361"/>
    <n v="500"/>
    <n v="1861"/>
    <n v="1.4610000000000001"/>
    <n v="0.8"/>
    <n v="3.722"/>
    <n v="0.9593661113368549"/>
    <x v="41"/>
  </r>
  <r>
    <n v="501"/>
    <n v="108"/>
    <x v="8"/>
    <x v="1"/>
    <x v="1"/>
    <n v="9"/>
    <x v="8"/>
    <n v="2000"/>
    <n v="2511"/>
    <n v="400"/>
    <n v="200"/>
    <n v="511"/>
    <n v="200"/>
    <n v="2311"/>
    <n v="1600"/>
    <n v="711"/>
    <n v="0.2555"/>
    <n v="0.5"/>
    <n v="0.44437500000000002"/>
    <n v="0.92035045798486659"/>
    <x v="41"/>
  </r>
  <r>
    <n v="502"/>
    <n v="108"/>
    <x v="8"/>
    <x v="1"/>
    <x v="1"/>
    <n v="10"/>
    <x v="9"/>
    <n v="6000"/>
    <n v="10248"/>
    <n v="2000"/>
    <n v="1400"/>
    <n v="4248"/>
    <n v="600"/>
    <n v="8848"/>
    <n v="4000"/>
    <n v="4848"/>
    <n v="0.70799999999999996"/>
    <n v="0.3"/>
    <n v="1.212"/>
    <n v="0.86338797814207646"/>
    <x v="41"/>
  </r>
  <r>
    <n v="503"/>
    <n v="108"/>
    <x v="8"/>
    <x v="1"/>
    <x v="1"/>
    <n v="11"/>
    <x v="10"/>
    <n v="7000"/>
    <n v="6755"/>
    <n v="2333.3333333333335"/>
    <n v="2033.3333333333335"/>
    <n v="-245"/>
    <n v="300"/>
    <n v="4721.6666666666661"/>
    <n v="4666.6666666666661"/>
    <n v="55"/>
    <n v="-3.5000000000000003E-2"/>
    <n v="0.12857142857142856"/>
    <n v="1.1785714285714287E-2"/>
    <n v="0.69898840365161596"/>
    <x v="41"/>
  </r>
  <r>
    <n v="504"/>
    <n v="108"/>
    <x v="8"/>
    <x v="1"/>
    <x v="1"/>
    <n v="12"/>
    <x v="11"/>
    <n v="1000"/>
    <n v="3725"/>
    <n v="250"/>
    <n v="650"/>
    <n v="2725"/>
    <n v="-400"/>
    <n v="3075"/>
    <n v="750"/>
    <n v="2325"/>
    <n v="2.7250000000000001"/>
    <n v="-1.6"/>
    <n v="3.1"/>
    <n v="0.82550335570469802"/>
    <x v="41"/>
  </r>
  <r>
    <n v="505"/>
    <n v="108"/>
    <x v="8"/>
    <x v="2"/>
    <x v="2"/>
    <n v="1"/>
    <x v="0"/>
    <n v="5000"/>
    <n v="3255"/>
    <n v="1000"/>
    <n v="1000"/>
    <n v="-1745"/>
    <n v="0"/>
    <n v="2255"/>
    <n v="4000"/>
    <n v="-1745"/>
    <n v="-0.34899999999999998"/>
    <n v="0"/>
    <n v="-0.43625000000000003"/>
    <n v="0.6927803379416283"/>
    <x v="42"/>
  </r>
  <r>
    <n v="506"/>
    <n v="108"/>
    <x v="8"/>
    <x v="2"/>
    <x v="2"/>
    <n v="2"/>
    <x v="1"/>
    <n v="8000"/>
    <n v="5515"/>
    <n v="2000"/>
    <n v="2000"/>
    <n v="-2485"/>
    <n v="0"/>
    <n v="3515"/>
    <n v="6000"/>
    <n v="-2485"/>
    <n v="-0.31062499999999998"/>
    <n v="0"/>
    <n v="-0.41416666666666668"/>
    <n v="0.63735267452402533"/>
    <x v="42"/>
  </r>
  <r>
    <n v="507"/>
    <n v="108"/>
    <x v="8"/>
    <x v="2"/>
    <x v="2"/>
    <n v="3"/>
    <x v="2"/>
    <n v="2000"/>
    <n v="7183"/>
    <n v="400"/>
    <n v="300"/>
    <n v="5183"/>
    <n v="100"/>
    <n v="6883"/>
    <n v="1600"/>
    <n v="5283"/>
    <n v="2.5914999999999999"/>
    <n v="0.25"/>
    <n v="3.3018749999999999"/>
    <n v="0.95823472086871786"/>
    <x v="42"/>
  </r>
  <r>
    <n v="508"/>
    <n v="108"/>
    <x v="8"/>
    <x v="2"/>
    <x v="2"/>
    <n v="4"/>
    <x v="3"/>
    <n v="9000"/>
    <n v="3776"/>
    <n v="3000"/>
    <n v="2400"/>
    <n v="-5224"/>
    <n v="600"/>
    <n v="1376"/>
    <n v="6000"/>
    <n v="-4624"/>
    <n v="-0.58044444444444443"/>
    <n v="0.2"/>
    <n v="-0.77066666666666672"/>
    <n v="0.36440677966101692"/>
    <x v="42"/>
  </r>
  <r>
    <n v="509"/>
    <n v="108"/>
    <x v="8"/>
    <x v="2"/>
    <x v="2"/>
    <n v="5"/>
    <x v="4"/>
    <n v="4000"/>
    <n v="5111"/>
    <n v="1333.3333333333333"/>
    <n v="933.33333333333326"/>
    <n v="1111"/>
    <n v="400"/>
    <n v="4177.666666666667"/>
    <n v="2666.666666666667"/>
    <n v="1511"/>
    <n v="0.27775"/>
    <n v="0.30000000000000004"/>
    <n v="0.56662499999999993"/>
    <n v="0.81738733450727197"/>
    <x v="42"/>
  </r>
  <r>
    <n v="510"/>
    <n v="108"/>
    <x v="8"/>
    <x v="2"/>
    <x v="2"/>
    <n v="6"/>
    <x v="5"/>
    <n v="1000"/>
    <n v="6123"/>
    <n v="333.33333333333331"/>
    <n v="166.66666666666669"/>
    <n v="5123"/>
    <n v="166.66666666666663"/>
    <n v="5956.333333333333"/>
    <n v="666.66666666666674"/>
    <n v="5289.6666666666661"/>
    <n v="5.1230000000000002"/>
    <n v="0.49999999999999989"/>
    <n v="7.9344999999999981"/>
    <n v="0.97278022755729754"/>
    <x v="42"/>
  </r>
  <r>
    <n v="511"/>
    <n v="108"/>
    <x v="8"/>
    <x v="2"/>
    <x v="2"/>
    <n v="7"/>
    <x v="6"/>
    <n v="3000"/>
    <n v="7214"/>
    <n v="600"/>
    <n v="400"/>
    <n v="4214"/>
    <n v="200"/>
    <n v="6814"/>
    <n v="2400"/>
    <n v="4414"/>
    <n v="1.4046666666666667"/>
    <n v="0.33333333333333331"/>
    <n v="1.8391666666666666"/>
    <n v="0.94455225949542554"/>
    <x v="42"/>
  </r>
  <r>
    <n v="512"/>
    <n v="108"/>
    <x v="8"/>
    <x v="2"/>
    <x v="2"/>
    <n v="8"/>
    <x v="7"/>
    <n v="5000"/>
    <n v="4213"/>
    <n v="1000"/>
    <n v="1000"/>
    <n v="-787"/>
    <n v="0"/>
    <n v="3213"/>
    <n v="4000"/>
    <n v="-787"/>
    <n v="-0.15740000000000001"/>
    <n v="0"/>
    <n v="-0.19675000000000001"/>
    <n v="0.76263944932352246"/>
    <x v="42"/>
  </r>
  <r>
    <n v="513"/>
    <n v="108"/>
    <x v="8"/>
    <x v="2"/>
    <x v="2"/>
    <n v="9"/>
    <x v="8"/>
    <n v="4000"/>
    <n v="5521"/>
    <n v="2000"/>
    <n v="1700"/>
    <n v="1521"/>
    <n v="300"/>
    <n v="3821"/>
    <n v="2000"/>
    <n v="1821"/>
    <n v="0.38024999999999998"/>
    <n v="0.15"/>
    <n v="0.91049999999999998"/>
    <n v="0.69208476725230939"/>
    <x v="42"/>
  </r>
  <r>
    <n v="514"/>
    <n v="108"/>
    <x v="8"/>
    <x v="2"/>
    <x v="2"/>
    <n v="10"/>
    <x v="9"/>
    <n v="1000"/>
    <n v="7366"/>
    <n v="250"/>
    <n v="150"/>
    <n v="6366"/>
    <n v="100"/>
    <n v="7216"/>
    <n v="750"/>
    <n v="6466"/>
    <n v="6.3659999999999997"/>
    <n v="0.4"/>
    <n v="8.6213333333333342"/>
    <n v="0.97963616616888405"/>
    <x v="42"/>
  </r>
  <r>
    <n v="515"/>
    <n v="108"/>
    <x v="8"/>
    <x v="2"/>
    <x v="2"/>
    <n v="11"/>
    <x v="10"/>
    <n v="6000"/>
    <n v="5536"/>
    <n v="1500"/>
    <n v="1400"/>
    <n v="-464"/>
    <n v="100"/>
    <n v="4136"/>
    <n v="4500"/>
    <n v="-364"/>
    <n v="-7.7333333333333337E-2"/>
    <n v="6.6666666666666666E-2"/>
    <n v="-8.0888888888888885E-2"/>
    <n v="0.74710982658959535"/>
    <x v="42"/>
  </r>
  <r>
    <n v="516"/>
    <n v="108"/>
    <x v="8"/>
    <x v="2"/>
    <x v="2"/>
    <n v="12"/>
    <x v="11"/>
    <n v="9000"/>
    <n v="6222"/>
    <n v="3000"/>
    <n v="3000"/>
    <n v="-2778"/>
    <n v="0"/>
    <n v="3222"/>
    <n v="6000"/>
    <n v="-2778"/>
    <n v="-0.30866666666666664"/>
    <n v="0"/>
    <n v="-0.46300000000000002"/>
    <n v="0.51783992285438762"/>
    <x v="42"/>
  </r>
  <r>
    <n v="517"/>
    <n v="108"/>
    <x v="8"/>
    <x v="3"/>
    <x v="3"/>
    <n v="1"/>
    <x v="0"/>
    <n v="7000"/>
    <n v="4544"/>
    <n v="3500"/>
    <n v="2900"/>
    <n v="-2456"/>
    <n v="600"/>
    <n v="1644"/>
    <n v="3500"/>
    <n v="-1856"/>
    <n v="-0.35085714285714287"/>
    <n v="0.17142857142857143"/>
    <n v="-0.53028571428571425"/>
    <n v="0.36179577464788731"/>
    <x v="43"/>
  </r>
  <r>
    <n v="518"/>
    <n v="108"/>
    <x v="8"/>
    <x v="3"/>
    <x v="3"/>
    <n v="2"/>
    <x v="1"/>
    <n v="4000"/>
    <n v="2563"/>
    <n v="2000"/>
    <n v="1800"/>
    <n v="-1437"/>
    <n v="200"/>
    <n v="763"/>
    <n v="2000"/>
    <n v="-1237"/>
    <n v="-0.35925000000000001"/>
    <n v="0.1"/>
    <n v="-0.61850000000000005"/>
    <n v="0.29769801014436209"/>
    <x v="43"/>
  </r>
  <r>
    <n v="519"/>
    <n v="108"/>
    <x v="8"/>
    <x v="3"/>
    <x v="3"/>
    <n v="3"/>
    <x v="2"/>
    <n v="2000"/>
    <n v="8645"/>
    <n v="400"/>
    <n v="300"/>
    <n v="6645"/>
    <n v="100"/>
    <n v="8345"/>
    <n v="1600"/>
    <n v="6745"/>
    <n v="3.3224999999999998"/>
    <n v="0.25"/>
    <n v="4.2156250000000002"/>
    <n v="0.96529786003470219"/>
    <x v="43"/>
  </r>
  <r>
    <n v="520"/>
    <n v="108"/>
    <x v="8"/>
    <x v="3"/>
    <x v="3"/>
    <n v="4"/>
    <x v="3"/>
    <n v="6000"/>
    <n v="7633"/>
    <n v="3000"/>
    <n v="2500"/>
    <n v="1633"/>
    <n v="500"/>
    <n v="5133"/>
    <n v="3000"/>
    <n v="2133"/>
    <n v="0.27216666666666667"/>
    <n v="0.16666666666666666"/>
    <n v="0.71099999999999997"/>
    <n v="0.67247478055810295"/>
    <x v="43"/>
  </r>
  <r>
    <n v="521"/>
    <n v="108"/>
    <x v="8"/>
    <x v="3"/>
    <x v="3"/>
    <n v="5"/>
    <x v="4"/>
    <n v="5000"/>
    <n v="8126"/>
    <n v="1000"/>
    <n v="800"/>
    <n v="3126"/>
    <n v="200"/>
    <n v="7326"/>
    <n v="4000"/>
    <n v="3326"/>
    <n v="0.62519999999999998"/>
    <n v="0.2"/>
    <n v="0.83150000000000002"/>
    <n v="0.90155057839035191"/>
    <x v="43"/>
  </r>
  <r>
    <n v="522"/>
    <n v="108"/>
    <x v="8"/>
    <x v="3"/>
    <x v="3"/>
    <n v="6"/>
    <x v="5"/>
    <n v="1000"/>
    <n v="5346"/>
    <n v="333.33333333333331"/>
    <n v="166.66666666666669"/>
    <n v="4346"/>
    <n v="166.66666666666663"/>
    <n v="5179.333333333333"/>
    <n v="666.66666666666674"/>
    <n v="4512.6666666666661"/>
    <n v="4.3460000000000001"/>
    <n v="0.49999999999999989"/>
    <n v="6.7689999999999984"/>
    <n v="0.96882404289811697"/>
    <x v="43"/>
  </r>
  <r>
    <n v="523"/>
    <n v="108"/>
    <x v="8"/>
    <x v="3"/>
    <x v="3"/>
    <n v="7"/>
    <x v="6"/>
    <n v="1000"/>
    <n v="4274"/>
    <n v="200"/>
    <n v="400"/>
    <n v="3274"/>
    <n v="-200"/>
    <n v="3874"/>
    <n v="800"/>
    <n v="3074"/>
    <n v="3.274"/>
    <n v="-1"/>
    <n v="3.8424999999999998"/>
    <n v="0.90641085634066443"/>
    <x v="43"/>
  </r>
  <r>
    <n v="524"/>
    <n v="108"/>
    <x v="8"/>
    <x v="3"/>
    <x v="3"/>
    <n v="8"/>
    <x v="7"/>
    <n v="3000"/>
    <n v="3957"/>
    <n v="600"/>
    <n v="600"/>
    <n v="957"/>
    <n v="0"/>
    <n v="3357"/>
    <n v="2400"/>
    <n v="957"/>
    <n v="0.31900000000000001"/>
    <n v="0"/>
    <n v="0.39874999999999999"/>
    <n v="0.84836997725549657"/>
    <x v="43"/>
  </r>
  <r>
    <n v="525"/>
    <n v="108"/>
    <x v="8"/>
    <x v="3"/>
    <x v="3"/>
    <n v="9"/>
    <x v="8"/>
    <n v="6000"/>
    <n v="5436"/>
    <n v="3000"/>
    <n v="2700"/>
    <n v="-564"/>
    <n v="300"/>
    <n v="2736"/>
    <n v="3000"/>
    <n v="-264"/>
    <n v="-9.4E-2"/>
    <n v="0.1"/>
    <n v="-8.7999999999999995E-2"/>
    <n v="0.50331125827814571"/>
    <x v="43"/>
  </r>
  <r>
    <n v="526"/>
    <n v="108"/>
    <x v="8"/>
    <x v="3"/>
    <x v="3"/>
    <n v="10"/>
    <x v="9"/>
    <n v="5000"/>
    <n v="9187"/>
    <n v="1666.6666666666667"/>
    <n v="866.66666666666674"/>
    <n v="4187"/>
    <n v="800"/>
    <n v="8320.3333333333339"/>
    <n v="3333.333333333333"/>
    <n v="4987.0000000000009"/>
    <n v="0.83740000000000003"/>
    <n v="0.48"/>
    <n v="1.4961000000000004"/>
    <n v="0.90566380029752191"/>
    <x v="43"/>
  </r>
  <r>
    <n v="527"/>
    <n v="108"/>
    <x v="8"/>
    <x v="3"/>
    <x v="3"/>
    <n v="11"/>
    <x v="10"/>
    <n v="5000"/>
    <n v="2412"/>
    <n v="1000"/>
    <n v="400"/>
    <n v="-2588"/>
    <n v="600"/>
    <n v="2012"/>
    <n v="4000"/>
    <n v="-1988"/>
    <n v="-0.51759999999999995"/>
    <n v="0.6"/>
    <n v="-0.497"/>
    <n v="0.83416252072968489"/>
    <x v="43"/>
  </r>
  <r>
    <n v="528"/>
    <n v="108"/>
    <x v="8"/>
    <x v="3"/>
    <x v="3"/>
    <n v="12"/>
    <x v="11"/>
    <n v="4000"/>
    <n v="2635"/>
    <n v="1333.3333333333333"/>
    <n v="833.33333333333326"/>
    <n v="-1365"/>
    <n v="500"/>
    <n v="1801.6666666666667"/>
    <n v="2666.666666666667"/>
    <n v="-865.00000000000023"/>
    <n v="-0.34125"/>
    <n v="0.375"/>
    <n v="-0.32437500000000002"/>
    <n v="0.68374446552814672"/>
    <x v="43"/>
  </r>
  <r>
    <n v="529"/>
    <n v="108"/>
    <x v="8"/>
    <x v="4"/>
    <x v="4"/>
    <n v="1"/>
    <x v="0"/>
    <n v="5000"/>
    <n v="5171"/>
    <n v="1666.6666666666667"/>
    <n v="1366.6666666666667"/>
    <n v="171"/>
    <n v="300"/>
    <n v="3804.333333333333"/>
    <n v="3333.333333333333"/>
    <n v="471"/>
    <n v="3.4200000000000001E-2"/>
    <n v="0.18"/>
    <n v="0.14130000000000001"/>
    <n v="0.73570553729130406"/>
    <x v="44"/>
  </r>
  <r>
    <n v="530"/>
    <n v="108"/>
    <x v="8"/>
    <x v="4"/>
    <x v="4"/>
    <n v="2"/>
    <x v="1"/>
    <n v="1000"/>
    <n v="7381"/>
    <n v="333.33333333333331"/>
    <n v="166.66666666666669"/>
    <n v="6381"/>
    <n v="166.66666666666663"/>
    <n v="7214.333333333333"/>
    <n v="666.66666666666674"/>
    <n v="6547.6666666666661"/>
    <n v="6.3810000000000002"/>
    <n v="0.49999999999999989"/>
    <n v="9.8214999999999986"/>
    <n v="0.97741950051935145"/>
    <x v="44"/>
  </r>
  <r>
    <n v="531"/>
    <n v="108"/>
    <x v="8"/>
    <x v="4"/>
    <x v="4"/>
    <n v="3"/>
    <x v="2"/>
    <n v="4000"/>
    <n v="6255"/>
    <n v="1000"/>
    <n v="900"/>
    <n v="2255"/>
    <n v="100"/>
    <n v="5355"/>
    <n v="3000"/>
    <n v="2355"/>
    <n v="0.56374999999999997"/>
    <n v="0.1"/>
    <n v="0.78500000000000003"/>
    <n v="0.85611510791366907"/>
    <x v="44"/>
  </r>
  <r>
    <n v="532"/>
    <n v="108"/>
    <x v="8"/>
    <x v="4"/>
    <x v="4"/>
    <n v="4"/>
    <x v="3"/>
    <n v="6000"/>
    <n v="3425"/>
    <n v="2000"/>
    <n v="2000"/>
    <n v="-2575"/>
    <n v="0"/>
    <n v="1425"/>
    <n v="4000"/>
    <n v="-2575"/>
    <n v="-0.42916666666666664"/>
    <n v="0"/>
    <n v="-0.64375000000000004"/>
    <n v="0.41605839416058393"/>
    <x v="44"/>
  </r>
  <r>
    <n v="533"/>
    <n v="108"/>
    <x v="8"/>
    <x v="4"/>
    <x v="4"/>
    <n v="5"/>
    <x v="4"/>
    <n v="4000"/>
    <n v="5656"/>
    <n v="1333.3333333333333"/>
    <n v="1333.3333333333333"/>
    <n v="1656"/>
    <n v="0"/>
    <n v="4322.666666666667"/>
    <n v="2666.666666666667"/>
    <n v="1656"/>
    <n v="0.41399999999999998"/>
    <n v="0"/>
    <n v="0.62099999999999989"/>
    <n v="0.76426214049976426"/>
    <x v="44"/>
  </r>
  <r>
    <n v="534"/>
    <n v="108"/>
    <x v="8"/>
    <x v="4"/>
    <x v="4"/>
    <n v="6"/>
    <x v="5"/>
    <n v="7000"/>
    <n v="5232"/>
    <n v="1750"/>
    <n v="1050"/>
    <n v="-1768"/>
    <n v="700"/>
    <n v="4182"/>
    <n v="5250"/>
    <n v="-1068"/>
    <n v="-0.25257142857142856"/>
    <n v="0.4"/>
    <n v="-0.20342857142857143"/>
    <n v="0.79931192660550454"/>
    <x v="44"/>
  </r>
  <r>
    <n v="535"/>
    <n v="108"/>
    <x v="8"/>
    <x v="4"/>
    <x v="4"/>
    <n v="7"/>
    <x v="6"/>
    <n v="5000"/>
    <n v="2126"/>
    <n v="1666.6666666666667"/>
    <n v="966.66666666666674"/>
    <n v="-2874"/>
    <n v="700"/>
    <n v="1159.3333333333333"/>
    <n v="3333.333333333333"/>
    <n v="-2174"/>
    <n v="-0.57479999999999998"/>
    <n v="0.42"/>
    <n v="-0.65220000000000011"/>
    <n v="0.54531201003449359"/>
    <x v="44"/>
  </r>
  <r>
    <n v="536"/>
    <n v="108"/>
    <x v="8"/>
    <x v="4"/>
    <x v="4"/>
    <n v="8"/>
    <x v="7"/>
    <n v="2000"/>
    <n v="4772"/>
    <n v="400"/>
    <n v="400"/>
    <n v="2772"/>
    <n v="0"/>
    <n v="4372"/>
    <n v="1600"/>
    <n v="2772"/>
    <n v="1.3859999999999999"/>
    <n v="0"/>
    <n v="1.7324999999999999"/>
    <n v="0.91617770326906955"/>
    <x v="44"/>
  </r>
  <r>
    <n v="537"/>
    <n v="108"/>
    <x v="8"/>
    <x v="4"/>
    <x v="4"/>
    <n v="9"/>
    <x v="8"/>
    <n v="5000"/>
    <n v="8744"/>
    <n v="1666.6666666666667"/>
    <n v="1366.6666666666667"/>
    <n v="3744"/>
    <n v="300"/>
    <n v="7377.333333333333"/>
    <n v="3333.333333333333"/>
    <n v="4044"/>
    <n v="0.74880000000000002"/>
    <n v="0.18"/>
    <n v="1.2132000000000001"/>
    <n v="0.84370234827691371"/>
    <x v="44"/>
  </r>
  <r>
    <n v="538"/>
    <n v="108"/>
    <x v="8"/>
    <x v="4"/>
    <x v="4"/>
    <n v="10"/>
    <x v="9"/>
    <n v="5000"/>
    <n v="2624"/>
    <n v="1250"/>
    <n v="850"/>
    <n v="-2376"/>
    <n v="400"/>
    <n v="1774"/>
    <n v="3750"/>
    <n v="-1976"/>
    <n v="-0.47520000000000001"/>
    <n v="0.32"/>
    <n v="-0.52693333333333336"/>
    <n v="0.67606707317073167"/>
    <x v="44"/>
  </r>
  <r>
    <n v="539"/>
    <n v="108"/>
    <x v="8"/>
    <x v="4"/>
    <x v="4"/>
    <n v="11"/>
    <x v="10"/>
    <n v="4000"/>
    <n v="6163"/>
    <n v="800"/>
    <n v="400"/>
    <n v="2163"/>
    <n v="400"/>
    <n v="5763"/>
    <n v="3200"/>
    <n v="2563"/>
    <n v="0.54074999999999995"/>
    <n v="0.5"/>
    <n v="0.80093749999999997"/>
    <n v="0.9350965438909622"/>
    <x v="44"/>
  </r>
  <r>
    <n v="540"/>
    <n v="108"/>
    <x v="8"/>
    <x v="4"/>
    <x v="4"/>
    <n v="12"/>
    <x v="11"/>
    <n v="3000"/>
    <n v="8172"/>
    <n v="1000"/>
    <n v="700"/>
    <n v="5172"/>
    <n v="300"/>
    <n v="7472"/>
    <n v="2000"/>
    <n v="5472"/>
    <n v="1.724"/>
    <n v="0.3"/>
    <n v="2.7360000000000002"/>
    <n v="0.91434165442976012"/>
    <x v="44"/>
  </r>
  <r>
    <n v="541"/>
    <n v="109"/>
    <x v="9"/>
    <x v="0"/>
    <x v="0"/>
    <n v="1"/>
    <x v="0"/>
    <n v="3000"/>
    <n v="3271"/>
    <n v="750"/>
    <n v="250"/>
    <n v="271"/>
    <n v="500"/>
    <n v="3021"/>
    <n v="2250"/>
    <n v="771"/>
    <n v="9.0333333333333335E-2"/>
    <n v="0.66666666666666663"/>
    <n v="0.34266666666666667"/>
    <n v="0.92357077346377259"/>
    <x v="45"/>
  </r>
  <r>
    <n v="542"/>
    <n v="109"/>
    <x v="9"/>
    <x v="0"/>
    <x v="0"/>
    <n v="2"/>
    <x v="1"/>
    <n v="3000"/>
    <n v="2335"/>
    <n v="750"/>
    <n v="750"/>
    <n v="-665"/>
    <n v="0"/>
    <n v="1585"/>
    <n v="2250"/>
    <n v="-665"/>
    <n v="-0.22166666666666668"/>
    <n v="0"/>
    <n v="-0.29555555555555557"/>
    <n v="0.67880085653104927"/>
    <x v="45"/>
  </r>
  <r>
    <n v="543"/>
    <n v="109"/>
    <x v="9"/>
    <x v="0"/>
    <x v="0"/>
    <n v="3"/>
    <x v="2"/>
    <n v="2000"/>
    <n v="5226"/>
    <n v="1000"/>
    <n v="700"/>
    <n v="3226"/>
    <n v="300"/>
    <n v="4526"/>
    <n v="1000"/>
    <n v="3526"/>
    <n v="1.613"/>
    <n v="0.3"/>
    <n v="3.5259999999999998"/>
    <n v="0.86605434366628398"/>
    <x v="45"/>
  </r>
  <r>
    <n v="544"/>
    <n v="109"/>
    <x v="9"/>
    <x v="0"/>
    <x v="0"/>
    <n v="4"/>
    <x v="3"/>
    <n v="2000"/>
    <n v="4324"/>
    <n v="500"/>
    <n v="400"/>
    <n v="2324"/>
    <n v="100"/>
    <n v="3924"/>
    <n v="1500"/>
    <n v="2424"/>
    <n v="1.1619999999999999"/>
    <n v="0.2"/>
    <n v="1.6160000000000001"/>
    <n v="0.90749306197964852"/>
    <x v="45"/>
  </r>
  <r>
    <n v="545"/>
    <n v="109"/>
    <x v="9"/>
    <x v="0"/>
    <x v="0"/>
    <n v="5"/>
    <x v="4"/>
    <n v="5000"/>
    <n v="5454"/>
    <n v="1000"/>
    <n v="600"/>
    <n v="454"/>
    <n v="400"/>
    <n v="4854"/>
    <n v="4000"/>
    <n v="854"/>
    <n v="9.0800000000000006E-2"/>
    <n v="0.4"/>
    <n v="0.2135"/>
    <n v="0.88998899889989003"/>
    <x v="45"/>
  </r>
  <r>
    <n v="546"/>
    <n v="109"/>
    <x v="9"/>
    <x v="0"/>
    <x v="0"/>
    <n v="6"/>
    <x v="5"/>
    <n v="5000"/>
    <n v="5253"/>
    <n v="1000"/>
    <n v="700"/>
    <n v="253"/>
    <n v="300"/>
    <n v="4553"/>
    <n v="4000"/>
    <n v="553"/>
    <n v="5.0599999999999999E-2"/>
    <n v="0.3"/>
    <n v="0.13825000000000001"/>
    <n v="0.86674281363030647"/>
    <x v="45"/>
  </r>
  <r>
    <n v="547"/>
    <n v="109"/>
    <x v="9"/>
    <x v="0"/>
    <x v="0"/>
    <n v="7"/>
    <x v="6"/>
    <n v="1000"/>
    <n v="5342"/>
    <n v="250"/>
    <n v="150"/>
    <n v="4342"/>
    <n v="100"/>
    <n v="5192"/>
    <n v="750"/>
    <n v="4442"/>
    <n v="4.3419999999999996"/>
    <n v="0.4"/>
    <n v="5.9226666666666663"/>
    <n v="0.97192062897791087"/>
    <x v="45"/>
  </r>
  <r>
    <n v="548"/>
    <n v="109"/>
    <x v="9"/>
    <x v="0"/>
    <x v="0"/>
    <n v="8"/>
    <x v="7"/>
    <n v="2000"/>
    <n v="6616"/>
    <n v="500"/>
    <n v="100"/>
    <n v="4616"/>
    <n v="400"/>
    <n v="6516"/>
    <n v="1500"/>
    <n v="5016"/>
    <n v="2.3079999999999998"/>
    <n v="0.8"/>
    <n v="3.3439999999999999"/>
    <n v="0.98488512696493347"/>
    <x v="45"/>
  </r>
  <r>
    <n v="549"/>
    <n v="109"/>
    <x v="9"/>
    <x v="0"/>
    <x v="0"/>
    <n v="9"/>
    <x v="8"/>
    <n v="1000"/>
    <n v="2777"/>
    <n v="250"/>
    <n v="350"/>
    <n v="1777"/>
    <n v="-100"/>
    <n v="2427"/>
    <n v="750"/>
    <n v="1677"/>
    <n v="1.7769999999999999"/>
    <n v="-0.4"/>
    <n v="2.2360000000000002"/>
    <n v="0.87396471011883325"/>
    <x v="45"/>
  </r>
  <r>
    <n v="550"/>
    <n v="109"/>
    <x v="9"/>
    <x v="0"/>
    <x v="0"/>
    <n v="10"/>
    <x v="9"/>
    <n v="7000"/>
    <n v="8668"/>
    <n v="3500"/>
    <n v="3400"/>
    <n v="1668"/>
    <n v="100"/>
    <n v="5268"/>
    <n v="3500"/>
    <n v="1768"/>
    <n v="0.2382857142857143"/>
    <n v="2.8571428571428571E-2"/>
    <n v="0.50514285714285712"/>
    <n v="0.60775265343793261"/>
    <x v="45"/>
  </r>
  <r>
    <n v="551"/>
    <n v="109"/>
    <x v="9"/>
    <x v="0"/>
    <x v="0"/>
    <n v="11"/>
    <x v="10"/>
    <n v="1000"/>
    <n v="2451"/>
    <n v="333.33333333333331"/>
    <n v="166.66666666666669"/>
    <n v="1451"/>
    <n v="166.66666666666663"/>
    <n v="2284.3333333333335"/>
    <n v="666.66666666666674"/>
    <n v="1617.6666666666667"/>
    <n v="1.4510000000000001"/>
    <n v="0.49999999999999989"/>
    <n v="2.4264999999999999"/>
    <n v="0.93200054399564813"/>
    <x v="45"/>
  </r>
  <r>
    <n v="552"/>
    <n v="109"/>
    <x v="9"/>
    <x v="0"/>
    <x v="0"/>
    <n v="12"/>
    <x v="11"/>
    <n v="8000"/>
    <n v="2545"/>
    <n v="2000"/>
    <n v="1800"/>
    <n v="-5455"/>
    <n v="200"/>
    <n v="745"/>
    <n v="6000"/>
    <n v="-5255"/>
    <n v="-0.68187500000000001"/>
    <n v="0.1"/>
    <n v="-0.87583333333333335"/>
    <n v="0.29273084479371314"/>
    <x v="45"/>
  </r>
  <r>
    <n v="553"/>
    <n v="109"/>
    <x v="9"/>
    <x v="1"/>
    <x v="1"/>
    <n v="1"/>
    <x v="0"/>
    <n v="2000"/>
    <n v="10264"/>
    <n v="400"/>
    <n v="200"/>
    <n v="8264"/>
    <n v="200"/>
    <n v="10064"/>
    <n v="1600"/>
    <n v="8464"/>
    <n v="4.1319999999999997"/>
    <n v="0.5"/>
    <n v="5.29"/>
    <n v="0.98051441932969607"/>
    <x v="46"/>
  </r>
  <r>
    <n v="554"/>
    <n v="109"/>
    <x v="9"/>
    <x v="1"/>
    <x v="1"/>
    <n v="2"/>
    <x v="1"/>
    <n v="8000"/>
    <n v="3415"/>
    <n v="4000"/>
    <n v="3800"/>
    <n v="-4585"/>
    <n v="200"/>
    <n v="-385"/>
    <n v="4000"/>
    <n v="-4385"/>
    <n v="-0.573125"/>
    <n v="0.05"/>
    <n v="-1.0962499999999999"/>
    <n v="-0.11273792093704246"/>
    <x v="46"/>
  </r>
  <r>
    <n v="555"/>
    <n v="109"/>
    <x v="9"/>
    <x v="1"/>
    <x v="1"/>
    <n v="3"/>
    <x v="2"/>
    <n v="9000"/>
    <n v="8549"/>
    <n v="4500"/>
    <n v="3800"/>
    <n v="-451"/>
    <n v="700"/>
    <n v="4749"/>
    <n v="4500"/>
    <n v="249"/>
    <n v="-5.0111111111111113E-2"/>
    <n v="0.15555555555555556"/>
    <n v="5.5333333333333332E-2"/>
    <n v="0.55550356766873321"/>
    <x v="46"/>
  </r>
  <r>
    <n v="556"/>
    <n v="109"/>
    <x v="9"/>
    <x v="1"/>
    <x v="1"/>
    <n v="4"/>
    <x v="3"/>
    <n v="9000"/>
    <n v="2598"/>
    <n v="1800"/>
    <n v="1700"/>
    <n v="-6402"/>
    <n v="100"/>
    <n v="898"/>
    <n v="7200"/>
    <n v="-6302"/>
    <n v="-0.71133333333333337"/>
    <n v="5.5555555555555552E-2"/>
    <n v="-0.87527777777777782"/>
    <n v="0.34565050038491146"/>
    <x v="46"/>
  </r>
  <r>
    <n v="557"/>
    <n v="109"/>
    <x v="9"/>
    <x v="1"/>
    <x v="1"/>
    <n v="5"/>
    <x v="4"/>
    <n v="4000"/>
    <n v="10587"/>
    <n v="800"/>
    <n v="500"/>
    <n v="6587"/>
    <n v="300"/>
    <n v="10087"/>
    <n v="3200"/>
    <n v="6887"/>
    <n v="1.6467499999999999"/>
    <n v="0.375"/>
    <n v="2.1521875000000001"/>
    <n v="0.95277226787569658"/>
    <x v="46"/>
  </r>
  <r>
    <n v="558"/>
    <n v="109"/>
    <x v="9"/>
    <x v="1"/>
    <x v="1"/>
    <n v="6"/>
    <x v="5"/>
    <n v="7000"/>
    <n v="7226"/>
    <n v="2333.3333333333335"/>
    <n v="2033.3333333333335"/>
    <n v="226"/>
    <n v="300"/>
    <n v="5192.6666666666661"/>
    <n v="4666.6666666666661"/>
    <n v="526"/>
    <n v="3.2285714285714286E-2"/>
    <n v="0.12857142857142856"/>
    <n v="0.11271428571428573"/>
    <n v="0.71860872774241158"/>
    <x v="46"/>
  </r>
  <r>
    <n v="559"/>
    <n v="109"/>
    <x v="9"/>
    <x v="1"/>
    <x v="1"/>
    <n v="7"/>
    <x v="6"/>
    <n v="5000"/>
    <n v="3243"/>
    <n v="1000"/>
    <n v="500"/>
    <n v="-1757"/>
    <n v="500"/>
    <n v="2743"/>
    <n v="4000"/>
    <n v="-1257"/>
    <n v="-0.35139999999999999"/>
    <n v="0.5"/>
    <n v="-0.31424999999999997"/>
    <n v="0.84582176996608083"/>
    <x v="46"/>
  </r>
  <r>
    <n v="560"/>
    <n v="109"/>
    <x v="9"/>
    <x v="1"/>
    <x v="1"/>
    <n v="8"/>
    <x v="7"/>
    <n v="7000"/>
    <n v="6123"/>
    <n v="1750"/>
    <n v="1750"/>
    <n v="-877"/>
    <n v="0"/>
    <n v="4373"/>
    <n v="5250"/>
    <n v="-877"/>
    <n v="-0.12528571428571428"/>
    <n v="0"/>
    <n v="-0.16704761904761906"/>
    <n v="0.71419238935162499"/>
    <x v="46"/>
  </r>
  <r>
    <n v="561"/>
    <n v="109"/>
    <x v="9"/>
    <x v="1"/>
    <x v="1"/>
    <n v="9"/>
    <x v="8"/>
    <n v="3000"/>
    <n v="4244"/>
    <n v="750"/>
    <n v="250"/>
    <n v="1244"/>
    <n v="500"/>
    <n v="3994"/>
    <n v="2250"/>
    <n v="1744"/>
    <n v="0.41466666666666668"/>
    <n v="0.66666666666666663"/>
    <n v="0.77511111111111108"/>
    <n v="0.94109330819981152"/>
    <x v="46"/>
  </r>
  <r>
    <n v="562"/>
    <n v="109"/>
    <x v="9"/>
    <x v="1"/>
    <x v="1"/>
    <n v="10"/>
    <x v="9"/>
    <n v="5000"/>
    <n v="4747"/>
    <n v="1000"/>
    <n v="700"/>
    <n v="-253"/>
    <n v="300"/>
    <n v="4047"/>
    <n v="4000"/>
    <n v="47"/>
    <n v="-5.0599999999999999E-2"/>
    <n v="0.3"/>
    <n v="1.175E-2"/>
    <n v="0.85253844533389511"/>
    <x v="46"/>
  </r>
  <r>
    <n v="563"/>
    <n v="109"/>
    <x v="9"/>
    <x v="1"/>
    <x v="1"/>
    <n v="11"/>
    <x v="10"/>
    <n v="5000"/>
    <n v="6655"/>
    <n v="1000"/>
    <n v="800"/>
    <n v="1655"/>
    <n v="200"/>
    <n v="5855"/>
    <n v="4000"/>
    <n v="1855"/>
    <n v="0.33100000000000002"/>
    <n v="0.2"/>
    <n v="0.46375"/>
    <n v="0.87978963185574754"/>
    <x v="46"/>
  </r>
  <r>
    <n v="564"/>
    <n v="109"/>
    <x v="9"/>
    <x v="1"/>
    <x v="1"/>
    <n v="12"/>
    <x v="11"/>
    <n v="2000"/>
    <n v="5296"/>
    <n v="500"/>
    <n v="400"/>
    <n v="3296"/>
    <n v="100"/>
    <n v="4896"/>
    <n v="1500"/>
    <n v="3396"/>
    <n v="1.6479999999999999"/>
    <n v="0.2"/>
    <n v="2.2639999999999998"/>
    <n v="0.92447129909365555"/>
    <x v="46"/>
  </r>
  <r>
    <n v="565"/>
    <n v="109"/>
    <x v="9"/>
    <x v="2"/>
    <x v="2"/>
    <n v="1"/>
    <x v="0"/>
    <n v="2000"/>
    <n v="5566"/>
    <n v="1000"/>
    <n v="600"/>
    <n v="3566"/>
    <n v="400"/>
    <n v="4966"/>
    <n v="1000"/>
    <n v="3966"/>
    <n v="1.7829999999999999"/>
    <n v="0.4"/>
    <n v="3.9660000000000002"/>
    <n v="0.89220265900107798"/>
    <x v="47"/>
  </r>
  <r>
    <n v="566"/>
    <n v="109"/>
    <x v="9"/>
    <x v="2"/>
    <x v="2"/>
    <n v="2"/>
    <x v="1"/>
    <n v="6000"/>
    <n v="8647"/>
    <n v="1500"/>
    <n v="1400"/>
    <n v="2647"/>
    <n v="100"/>
    <n v="7247"/>
    <n v="4500"/>
    <n v="2747"/>
    <n v="0.44116666666666665"/>
    <n v="6.6666666666666666E-2"/>
    <n v="0.61044444444444446"/>
    <n v="0.83809413669480748"/>
    <x v="47"/>
  </r>
  <r>
    <n v="567"/>
    <n v="109"/>
    <x v="9"/>
    <x v="2"/>
    <x v="2"/>
    <n v="3"/>
    <x v="2"/>
    <n v="2000"/>
    <n v="4156"/>
    <n v="666.66666666666663"/>
    <n v="466.66666666666663"/>
    <n v="2156"/>
    <n v="200"/>
    <n v="3689.3333333333335"/>
    <n v="1333.3333333333335"/>
    <n v="2356"/>
    <n v="1.0780000000000001"/>
    <n v="0.30000000000000004"/>
    <n v="1.7669999999999999"/>
    <n v="0.8877125441129291"/>
    <x v="47"/>
  </r>
  <r>
    <n v="568"/>
    <n v="109"/>
    <x v="9"/>
    <x v="2"/>
    <x v="2"/>
    <n v="4"/>
    <x v="3"/>
    <n v="1000"/>
    <n v="3122"/>
    <n v="500"/>
    <n v="200"/>
    <n v="2122"/>
    <n v="300"/>
    <n v="2922"/>
    <n v="500"/>
    <n v="2422"/>
    <n v="2.1219999999999999"/>
    <n v="0.6"/>
    <n v="4.8440000000000003"/>
    <n v="0.93593850096092246"/>
    <x v="47"/>
  </r>
  <r>
    <n v="569"/>
    <n v="109"/>
    <x v="9"/>
    <x v="2"/>
    <x v="2"/>
    <n v="5"/>
    <x v="4"/>
    <n v="6000"/>
    <n v="4157"/>
    <n v="1500"/>
    <n v="1200"/>
    <n v="-1843"/>
    <n v="300"/>
    <n v="2957"/>
    <n v="4500"/>
    <n v="-1543"/>
    <n v="-0.30716666666666664"/>
    <n v="0.2"/>
    <n v="-0.34288888888888891"/>
    <n v="0.71133028626413275"/>
    <x v="47"/>
  </r>
  <r>
    <n v="570"/>
    <n v="109"/>
    <x v="9"/>
    <x v="2"/>
    <x v="2"/>
    <n v="6"/>
    <x v="5"/>
    <n v="1000"/>
    <n v="5142"/>
    <n v="250"/>
    <n v="450"/>
    <n v="4142"/>
    <n v="-200"/>
    <n v="4692"/>
    <n v="750"/>
    <n v="3942"/>
    <n v="4.1420000000000003"/>
    <n v="-0.8"/>
    <n v="5.2560000000000002"/>
    <n v="0.91248541423570595"/>
    <x v="47"/>
  </r>
  <r>
    <n v="571"/>
    <n v="109"/>
    <x v="9"/>
    <x v="2"/>
    <x v="2"/>
    <n v="7"/>
    <x v="6"/>
    <n v="7000"/>
    <n v="3726"/>
    <n v="1750"/>
    <n v="1450"/>
    <n v="-3274"/>
    <n v="300"/>
    <n v="2276"/>
    <n v="5250"/>
    <n v="-2974"/>
    <n v="-0.46771428571428569"/>
    <n v="0.17142857142857143"/>
    <n v="-0.56647619047619047"/>
    <n v="0.61084272678475582"/>
    <x v="47"/>
  </r>
  <r>
    <n v="572"/>
    <n v="109"/>
    <x v="9"/>
    <x v="2"/>
    <x v="2"/>
    <n v="8"/>
    <x v="7"/>
    <n v="8000"/>
    <n v="10455"/>
    <n v="1600"/>
    <n v="1000"/>
    <n v="2455"/>
    <n v="600"/>
    <n v="9455"/>
    <n v="6400"/>
    <n v="3055"/>
    <n v="0.30687500000000001"/>
    <n v="0.375"/>
    <n v="0.47734375000000001"/>
    <n v="0.9043519846963175"/>
    <x v="47"/>
  </r>
  <r>
    <n v="573"/>
    <n v="109"/>
    <x v="9"/>
    <x v="2"/>
    <x v="2"/>
    <n v="9"/>
    <x v="8"/>
    <n v="1000"/>
    <n v="5233"/>
    <n v="250"/>
    <n v="150"/>
    <n v="4233"/>
    <n v="100"/>
    <n v="5083"/>
    <n v="750"/>
    <n v="4333"/>
    <n v="4.2329999999999997"/>
    <n v="0.4"/>
    <n v="5.777333333333333"/>
    <n v="0.97133575386967319"/>
    <x v="47"/>
  </r>
  <r>
    <n v="574"/>
    <n v="109"/>
    <x v="9"/>
    <x v="2"/>
    <x v="2"/>
    <n v="10"/>
    <x v="9"/>
    <n v="5000"/>
    <n v="4444"/>
    <n v="1666.6666666666667"/>
    <n v="966.66666666666674"/>
    <n v="-556"/>
    <n v="700"/>
    <n v="3477.333333333333"/>
    <n v="3333.333333333333"/>
    <n v="144"/>
    <n v="-0.11119999999999999"/>
    <n v="0.42"/>
    <n v="4.3200000000000002E-2"/>
    <n v="0.78247824782478237"/>
    <x v="47"/>
  </r>
  <r>
    <n v="575"/>
    <n v="109"/>
    <x v="9"/>
    <x v="2"/>
    <x v="2"/>
    <n v="11"/>
    <x v="10"/>
    <n v="1000"/>
    <n v="10642"/>
    <n v="333.33333333333331"/>
    <n v="233.33333333333331"/>
    <n v="9642"/>
    <n v="100"/>
    <n v="10408.666666666666"/>
    <n v="666.66666666666674"/>
    <n v="9742"/>
    <n v="9.6419999999999995"/>
    <n v="0.30000000000000004"/>
    <n v="14.612999999999998"/>
    <n v="0.97807429681137625"/>
    <x v="47"/>
  </r>
  <r>
    <n v="576"/>
    <n v="109"/>
    <x v="9"/>
    <x v="2"/>
    <x v="2"/>
    <n v="12"/>
    <x v="11"/>
    <n v="3000"/>
    <n v="4615"/>
    <n v="750"/>
    <n v="750"/>
    <n v="1615"/>
    <n v="0"/>
    <n v="3865"/>
    <n v="2250"/>
    <n v="1615"/>
    <n v="0.53833333333333333"/>
    <n v="0"/>
    <n v="0.71777777777777774"/>
    <n v="0.83748645720476711"/>
    <x v="47"/>
  </r>
  <r>
    <n v="577"/>
    <n v="109"/>
    <x v="9"/>
    <x v="3"/>
    <x v="3"/>
    <n v="1"/>
    <x v="0"/>
    <n v="4000"/>
    <n v="7291"/>
    <n v="2000"/>
    <n v="1600"/>
    <n v="3291"/>
    <n v="400"/>
    <n v="5691"/>
    <n v="2000"/>
    <n v="3691"/>
    <n v="0.82274999999999998"/>
    <n v="0.2"/>
    <n v="1.8454999999999999"/>
    <n v="0.78055136469620079"/>
    <x v="48"/>
  </r>
  <r>
    <n v="578"/>
    <n v="109"/>
    <x v="9"/>
    <x v="3"/>
    <x v="3"/>
    <n v="2"/>
    <x v="1"/>
    <n v="6000"/>
    <n v="2313"/>
    <n v="1500"/>
    <n v="1400"/>
    <n v="-3687"/>
    <n v="100"/>
    <n v="913"/>
    <n v="4500"/>
    <n v="-3587"/>
    <n v="-0.61450000000000005"/>
    <n v="6.6666666666666666E-2"/>
    <n v="-0.7971111111111111"/>
    <n v="0.39472546476437526"/>
    <x v="48"/>
  </r>
  <r>
    <n v="579"/>
    <n v="109"/>
    <x v="9"/>
    <x v="3"/>
    <x v="3"/>
    <n v="3"/>
    <x v="2"/>
    <n v="5000"/>
    <n v="7384"/>
    <n v="1250"/>
    <n v="450"/>
    <n v="2384"/>
    <n v="800"/>
    <n v="6934"/>
    <n v="3750"/>
    <n v="3184"/>
    <n v="0.4768"/>
    <n v="0.64"/>
    <n v="0.84906666666666664"/>
    <n v="0.93905742145178761"/>
    <x v="48"/>
  </r>
  <r>
    <n v="580"/>
    <n v="109"/>
    <x v="9"/>
    <x v="3"/>
    <x v="3"/>
    <n v="4"/>
    <x v="3"/>
    <n v="2000"/>
    <n v="2662"/>
    <n v="400"/>
    <n v="400"/>
    <n v="662"/>
    <n v="0"/>
    <n v="2262"/>
    <n v="1600"/>
    <n v="662"/>
    <n v="0.33100000000000002"/>
    <n v="0"/>
    <n v="0.41375000000000001"/>
    <n v="0.8497370398196844"/>
    <x v="48"/>
  </r>
  <r>
    <n v="581"/>
    <n v="109"/>
    <x v="9"/>
    <x v="3"/>
    <x v="3"/>
    <n v="5"/>
    <x v="4"/>
    <n v="5000"/>
    <n v="2273"/>
    <n v="1250"/>
    <n v="750"/>
    <n v="-2727"/>
    <n v="500"/>
    <n v="1523"/>
    <n v="3750"/>
    <n v="-2227"/>
    <n v="-0.5454"/>
    <n v="0.4"/>
    <n v="-0.59386666666666665"/>
    <n v="0.67003959524857015"/>
    <x v="48"/>
  </r>
  <r>
    <n v="582"/>
    <n v="109"/>
    <x v="9"/>
    <x v="3"/>
    <x v="3"/>
    <n v="6"/>
    <x v="5"/>
    <n v="3000"/>
    <n v="5315"/>
    <n v="1000"/>
    <n v="1000"/>
    <n v="2315"/>
    <n v="0"/>
    <n v="4315"/>
    <n v="2000"/>
    <n v="2315"/>
    <n v="0.77166666666666661"/>
    <n v="0"/>
    <n v="1.1575"/>
    <n v="0.81185324553151461"/>
    <x v="48"/>
  </r>
  <r>
    <n v="583"/>
    <n v="109"/>
    <x v="9"/>
    <x v="3"/>
    <x v="3"/>
    <n v="7"/>
    <x v="6"/>
    <n v="3000"/>
    <n v="2665"/>
    <n v="750"/>
    <n v="450"/>
    <n v="-335"/>
    <n v="300"/>
    <n v="2215"/>
    <n v="2250"/>
    <n v="-35"/>
    <n v="-0.11166666666666666"/>
    <n v="0.4"/>
    <n v="-1.5555555555555555E-2"/>
    <n v="0.83114446529080677"/>
    <x v="48"/>
  </r>
  <r>
    <n v="584"/>
    <n v="109"/>
    <x v="9"/>
    <x v="3"/>
    <x v="3"/>
    <n v="8"/>
    <x v="7"/>
    <n v="4000"/>
    <n v="7457"/>
    <n v="1333.3333333333333"/>
    <n v="1333.3333333333333"/>
    <n v="3457"/>
    <n v="0"/>
    <n v="6123.666666666667"/>
    <n v="2666.666666666667"/>
    <n v="3457"/>
    <n v="0.86424999999999996"/>
    <n v="0"/>
    <n v="1.2963749999999998"/>
    <n v="0.82119708551249393"/>
    <x v="48"/>
  </r>
  <r>
    <n v="585"/>
    <n v="109"/>
    <x v="9"/>
    <x v="3"/>
    <x v="3"/>
    <n v="9"/>
    <x v="8"/>
    <n v="9000"/>
    <n v="3348"/>
    <n v="4500"/>
    <n v="4200"/>
    <n v="-5652"/>
    <n v="300"/>
    <n v="-852"/>
    <n v="4500"/>
    <n v="-5352"/>
    <n v="-0.628"/>
    <n v="6.6666666666666666E-2"/>
    <n v="-1.1893333333333334"/>
    <n v="-0.25448028673835127"/>
    <x v="48"/>
  </r>
  <r>
    <n v="586"/>
    <n v="109"/>
    <x v="9"/>
    <x v="3"/>
    <x v="3"/>
    <n v="10"/>
    <x v="9"/>
    <n v="4000"/>
    <n v="7972"/>
    <n v="2000"/>
    <n v="1400"/>
    <n v="3972"/>
    <n v="600"/>
    <n v="6572"/>
    <n v="2000"/>
    <n v="4572"/>
    <n v="0.99299999999999999"/>
    <n v="0.3"/>
    <n v="2.286"/>
    <n v="0.82438534872052183"/>
    <x v="48"/>
  </r>
  <r>
    <n v="587"/>
    <n v="109"/>
    <x v="9"/>
    <x v="3"/>
    <x v="3"/>
    <n v="11"/>
    <x v="10"/>
    <n v="1000"/>
    <n v="6563"/>
    <n v="500"/>
    <n v="200"/>
    <n v="5563"/>
    <n v="300"/>
    <n v="6363"/>
    <n v="500"/>
    <n v="5863"/>
    <n v="5.5629999999999997"/>
    <n v="0.6"/>
    <n v="11.726000000000001"/>
    <n v="0.96952613134237386"/>
    <x v="48"/>
  </r>
  <r>
    <n v="588"/>
    <n v="109"/>
    <x v="9"/>
    <x v="3"/>
    <x v="3"/>
    <n v="12"/>
    <x v="11"/>
    <n v="5000"/>
    <n v="4261"/>
    <n v="1250"/>
    <n v="1250"/>
    <n v="-739"/>
    <n v="0"/>
    <n v="3011"/>
    <n v="3750"/>
    <n v="-739"/>
    <n v="-0.14779999999999999"/>
    <n v="0"/>
    <n v="-0.19706666666666667"/>
    <n v="0.70664163341938513"/>
    <x v="48"/>
  </r>
  <r>
    <n v="589"/>
    <n v="109"/>
    <x v="9"/>
    <x v="4"/>
    <x v="4"/>
    <n v="1"/>
    <x v="0"/>
    <n v="3000"/>
    <n v="2334"/>
    <n v="600"/>
    <n v="500"/>
    <n v="-666"/>
    <n v="100"/>
    <n v="1834"/>
    <n v="2400"/>
    <n v="-566"/>
    <n v="-0.222"/>
    <n v="0.16666666666666666"/>
    <n v="-0.23583333333333334"/>
    <n v="0.78577549271636671"/>
    <x v="49"/>
  </r>
  <r>
    <n v="590"/>
    <n v="109"/>
    <x v="9"/>
    <x v="4"/>
    <x v="4"/>
    <n v="2"/>
    <x v="1"/>
    <n v="4000"/>
    <n v="5191"/>
    <n v="2000"/>
    <n v="1300"/>
    <n v="1191"/>
    <n v="700"/>
    <n v="3891"/>
    <n v="2000"/>
    <n v="1891"/>
    <n v="0.29775000000000001"/>
    <n v="0.35"/>
    <n v="0.94550000000000001"/>
    <n v="0.7495665575033712"/>
    <x v="49"/>
  </r>
  <r>
    <n v="591"/>
    <n v="109"/>
    <x v="9"/>
    <x v="4"/>
    <x v="4"/>
    <n v="3"/>
    <x v="2"/>
    <n v="3000"/>
    <n v="5574"/>
    <n v="1000"/>
    <n v="200"/>
    <n v="2574"/>
    <n v="800"/>
    <n v="5374"/>
    <n v="2000"/>
    <n v="3374"/>
    <n v="0.85799999999999998"/>
    <n v="0.8"/>
    <n v="1.6870000000000001"/>
    <n v="0.96411912450663795"/>
    <x v="49"/>
  </r>
  <r>
    <n v="592"/>
    <n v="109"/>
    <x v="9"/>
    <x v="4"/>
    <x v="4"/>
    <n v="4"/>
    <x v="3"/>
    <n v="5000"/>
    <n v="9714"/>
    <n v="1666.6666666666667"/>
    <n v="866.66666666666674"/>
    <n v="4714"/>
    <n v="800"/>
    <n v="8847.3333333333339"/>
    <n v="3333.333333333333"/>
    <n v="5514.0000000000009"/>
    <n v="0.94279999999999997"/>
    <n v="0.48"/>
    <n v="1.6542000000000003"/>
    <n v="0.91078168965753903"/>
    <x v="49"/>
  </r>
  <r>
    <n v="593"/>
    <n v="109"/>
    <x v="9"/>
    <x v="4"/>
    <x v="4"/>
    <n v="5"/>
    <x v="4"/>
    <n v="6000"/>
    <n v="3213"/>
    <n v="1200"/>
    <n v="900"/>
    <n v="-2787"/>
    <n v="300"/>
    <n v="2313"/>
    <n v="4800"/>
    <n v="-2487"/>
    <n v="-0.46450000000000002"/>
    <n v="0.25"/>
    <n v="-0.51812499999999995"/>
    <n v="0.71988795518207283"/>
    <x v="49"/>
  </r>
  <r>
    <n v="594"/>
    <n v="109"/>
    <x v="9"/>
    <x v="4"/>
    <x v="4"/>
    <n v="6"/>
    <x v="5"/>
    <n v="8000"/>
    <n v="2769"/>
    <n v="1600"/>
    <n v="1300"/>
    <n v="-5231"/>
    <n v="300"/>
    <n v="1469"/>
    <n v="6400"/>
    <n v="-4931"/>
    <n v="-0.65387499999999998"/>
    <n v="0.1875"/>
    <n v="-0.77046875000000004"/>
    <n v="0.53051643192488263"/>
    <x v="49"/>
  </r>
  <r>
    <n v="595"/>
    <n v="109"/>
    <x v="9"/>
    <x v="4"/>
    <x v="4"/>
    <n v="7"/>
    <x v="6"/>
    <n v="5000"/>
    <n v="4523"/>
    <n v="1250"/>
    <n v="1050"/>
    <n v="-477"/>
    <n v="200"/>
    <n v="3473"/>
    <n v="3750"/>
    <n v="-277"/>
    <n v="-9.5399999999999999E-2"/>
    <n v="0.16"/>
    <n v="-7.3866666666666664E-2"/>
    <n v="0.76785319478222414"/>
    <x v="49"/>
  </r>
  <r>
    <n v="596"/>
    <n v="109"/>
    <x v="9"/>
    <x v="4"/>
    <x v="4"/>
    <n v="8"/>
    <x v="7"/>
    <n v="6000"/>
    <n v="2771"/>
    <n v="3000"/>
    <n v="2600"/>
    <n v="-3229"/>
    <n v="400"/>
    <n v="171"/>
    <n v="3000"/>
    <n v="-2829"/>
    <n v="-0.53816666666666668"/>
    <n v="0.13333333333333333"/>
    <n v="-0.94299999999999995"/>
    <n v="6.1710573800072173E-2"/>
    <x v="49"/>
  </r>
  <r>
    <n v="597"/>
    <n v="109"/>
    <x v="9"/>
    <x v="4"/>
    <x v="4"/>
    <n v="9"/>
    <x v="8"/>
    <n v="6000"/>
    <n v="2533"/>
    <n v="1500"/>
    <n v="1400"/>
    <n v="-3467"/>
    <n v="100"/>
    <n v="1133"/>
    <n v="4500"/>
    <n v="-3367"/>
    <n v="-0.57783333333333331"/>
    <n v="6.6666666666666666E-2"/>
    <n v="-0.74822222222222223"/>
    <n v="0.44729569680221082"/>
    <x v="49"/>
  </r>
  <r>
    <n v="598"/>
    <n v="109"/>
    <x v="9"/>
    <x v="4"/>
    <x v="4"/>
    <n v="10"/>
    <x v="9"/>
    <n v="6000"/>
    <n v="5433"/>
    <n v="1500"/>
    <n v="1200"/>
    <n v="-567"/>
    <n v="300"/>
    <n v="4233"/>
    <n v="4500"/>
    <n v="-267"/>
    <n v="-9.4500000000000001E-2"/>
    <n v="0.2"/>
    <n v="-5.9333333333333335E-2"/>
    <n v="0.77912755383765875"/>
    <x v="49"/>
  </r>
  <r>
    <n v="599"/>
    <n v="109"/>
    <x v="9"/>
    <x v="4"/>
    <x v="4"/>
    <n v="11"/>
    <x v="10"/>
    <n v="4000"/>
    <n v="2465"/>
    <n v="800"/>
    <n v="300"/>
    <n v="-1535"/>
    <n v="500"/>
    <n v="2165"/>
    <n v="3200"/>
    <n v="-1035"/>
    <n v="-0.38374999999999998"/>
    <n v="0.625"/>
    <n v="-0.32343749999999999"/>
    <n v="0.87829614604462469"/>
    <x v="49"/>
  </r>
  <r>
    <n v="600"/>
    <n v="109"/>
    <x v="9"/>
    <x v="4"/>
    <x v="4"/>
    <n v="12"/>
    <x v="11"/>
    <n v="6000"/>
    <n v="4561"/>
    <n v="2000"/>
    <n v="1800"/>
    <n v="-1439"/>
    <n v="200"/>
    <n v="2761"/>
    <n v="4000"/>
    <n v="-1239"/>
    <n v="-0.23983333333333334"/>
    <n v="0.1"/>
    <n v="-0.30975000000000003"/>
    <n v="0.60534970401227806"/>
    <x v="4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9214A8-556A-47FA-84D8-3C20B8A302D6}" name="PivotTable3" cacheId="18" applyNumberFormats="0" applyBorderFormats="0" applyFontFormats="0" applyPatternFormats="0" applyAlignmentFormats="0" applyWidthHeightFormats="1" dataCaption="Values" updatedVersion="8" minRefreshableVersion="3" itemPrintTitles="1" createdVersion="8" indent="0" compact="0" outline="1" outlineData="1" compactData="0" multipleFieldFilters="0" chartFormat="12" rowHeaderCaption="Products">
  <location ref="J35:N42" firstHeaderRow="0" firstDataRow="1" firstDataCol="3"/>
  <pivotFields count="25">
    <pivotField compact="0" showAll="0" defaultSubtotal="0"/>
    <pivotField compact="0" showAll="0" defaultSubtotal="0"/>
    <pivotField axis="axisRow" dataField="1" compact="0" showAll="0" sortType="descending" defaultSubtotal="0">
      <items count="10">
        <item x="4"/>
        <item sd="0" x="5"/>
        <item x="2"/>
        <item sd="0" x="7"/>
        <item x="8"/>
        <item sd="0" x="0"/>
        <item sd="0" x="3"/>
        <item x="1"/>
        <item sd="0" x="9"/>
        <item sd="0" x="6"/>
      </items>
      <autoSortScope>
        <pivotArea dataOnly="0" outline="0" fieldPosition="0">
          <references count="1">
            <reference field="4294967294" count="1" selected="0">
              <x v="1"/>
            </reference>
          </references>
        </pivotArea>
      </autoSortScope>
    </pivotField>
    <pivotField axis="axisRow" compact="0" showAll="0" measureFilter="1" defaultSubtotal="0">
      <items count="5">
        <item x="1"/>
        <item x="4"/>
        <item x="3"/>
        <item x="0"/>
        <item x="2"/>
      </items>
    </pivotField>
    <pivotField compact="0" showAll="0" defaultSubtotal="0">
      <items count="5">
        <item x="0"/>
        <item x="1"/>
        <item x="4"/>
        <item x="2"/>
        <item x="3"/>
      </items>
    </pivotField>
    <pivotField compact="0" showAll="0" defaultSubtotal="0"/>
    <pivotField axis="axisRow" compact="0" showAll="0">
      <items count="13">
        <item x="0"/>
        <item x="1"/>
        <item x="2"/>
        <item x="3"/>
        <item x="4"/>
        <item x="5"/>
        <item x="6"/>
        <item x="7"/>
        <item x="9"/>
        <item x="10"/>
        <item x="11"/>
        <item x="8"/>
        <item t="default"/>
      </items>
    </pivotField>
    <pivotField compact="0" numFmtId="166" showAll="0" defaultSubtotal="0"/>
    <pivotField compact="0" numFmtId="166" showAll="0" defaultSubtotal="0"/>
    <pivotField compact="0" numFmtId="166" showAll="0" defaultSubtotal="0"/>
    <pivotField compact="0" numFmtId="166" showAll="0" defaultSubtotal="0"/>
    <pivotField compact="0" numFmtId="167" showAll="0" defaultSubtotal="0"/>
    <pivotField compact="0" numFmtId="167" showAll="0" defaultSubtotal="0"/>
    <pivotField dataField="1" compact="0" numFmtId="167" showAll="0" defaultSubtotal="0"/>
    <pivotField compact="0" numFmtId="166" showAll="0" defaultSubtotal="0"/>
    <pivotField compact="0" numFmtId="167" showAll="0" defaultSubtotal="0"/>
    <pivotField compact="0" numFmtId="167" showAll="0" defaultSubtotal="0"/>
    <pivotField compact="0" numFmtId="167" showAll="0" defaultSubtotal="0"/>
    <pivotField compact="0" numFmtId="167" showAll="0" defaultSubtotal="0"/>
    <pivotField compact="0" numFmtId="167" showAll="0" defaultSubtotal="0"/>
    <pivotField compact="0" showAll="0" defaultSubtotal="0"/>
    <pivotField compact="0" dragToRow="0" dragToCol="0" dragToPage="0" showAll="0" defaultSubtotal="0"/>
    <pivotField compact="0" dragToRow="0" dragToCol="0" dragToPage="0" showAll="0" defaultSubtotal="0"/>
    <pivotField compact="0" dragToRow="0" dragToCol="0" dragToPage="0" showAll="0" defaultSubtotal="0"/>
    <pivotField compact="0" dragToRow="0" dragToCol="0" dragToPage="0" showAll="0" defaultSubtotal="0"/>
  </pivotFields>
  <rowFields count="3">
    <field x="2"/>
    <field x="6"/>
    <field x="3"/>
  </rowFields>
  <rowItems count="7">
    <i>
      <x v="9"/>
    </i>
    <i>
      <x v="3"/>
    </i>
    <i>
      <x v="6"/>
    </i>
    <i>
      <x v="8"/>
    </i>
    <i>
      <x v="1"/>
    </i>
    <i>
      <x v="5"/>
    </i>
    <i t="grand">
      <x/>
    </i>
  </rowItems>
  <colFields count="1">
    <field x="-2"/>
  </colFields>
  <colItems count="2">
    <i>
      <x/>
    </i>
    <i i="1">
      <x v="1"/>
    </i>
  </colItems>
  <dataFields count="2">
    <dataField name="Sum of Actual Net Profit2" fld="13" baseField="20" baseItem="4" numFmtId="167"/>
    <dataField name="Count of Product" fld="2" subtotal="count" baseField="0" baseItem="0"/>
  </dataFields>
  <formats count="26">
    <format dxfId="2308">
      <pivotArea field="2" type="button" dataOnly="0" labelOnly="1" outline="0" axis="axisRow" fieldPosition="0"/>
    </format>
    <format dxfId="2309">
      <pivotArea dataOnly="0" labelOnly="1" grandRow="1" outline="0" fieldPosition="0"/>
    </format>
    <format dxfId="2310">
      <pivotArea dataOnly="0" labelOnly="1" outline="0" axis="axisValues" fieldPosition="0"/>
    </format>
    <format dxfId="2311">
      <pivotArea dataOnly="0" labelOnly="1" outline="0" axis="axisValues" fieldPosition="0"/>
    </format>
    <format dxfId="2312">
      <pivotArea grandRow="1" outline="0" collapsedLevelsAreSubtotals="1" fieldPosition="0"/>
    </format>
    <format dxfId="2313">
      <pivotArea grandRow="1" outline="0" collapsedLevelsAreSubtotals="1" fieldPosition="0"/>
    </format>
    <format dxfId="2314">
      <pivotArea type="all" dataOnly="0" outline="0" fieldPosition="0"/>
    </format>
    <format dxfId="2315">
      <pivotArea outline="0" collapsedLevelsAreSubtotals="1" fieldPosition="0"/>
    </format>
    <format dxfId="2316">
      <pivotArea field="2" type="button" dataOnly="0" labelOnly="1" outline="0" axis="axisRow" fieldPosition="0"/>
    </format>
    <format dxfId="2317">
      <pivotArea dataOnly="0" labelOnly="1" grandRow="1" outline="0" fieldPosition="0"/>
    </format>
    <format dxfId="2318">
      <pivotArea dataOnly="0" labelOnly="1" outline="0" axis="axisValues" fieldPosition="0"/>
    </format>
    <format dxfId="2319">
      <pivotArea type="all" dataOnly="0" outline="0" fieldPosition="0"/>
    </format>
    <format dxfId="2320">
      <pivotArea outline="0" collapsedLevelsAreSubtotals="1" fieldPosition="0"/>
    </format>
    <format dxfId="2321">
      <pivotArea field="2" type="button" dataOnly="0" labelOnly="1" outline="0" axis="axisRow" fieldPosition="0"/>
    </format>
    <format dxfId="2322">
      <pivotArea dataOnly="0" labelOnly="1" grandRow="1" outline="0" fieldPosition="0"/>
    </format>
    <format dxfId="2323">
      <pivotArea dataOnly="0" labelOnly="1" outline="0" axis="axisValues" fieldPosition="0"/>
    </format>
    <format dxfId="2324">
      <pivotArea outline="0" fieldPosition="0">
        <references count="1">
          <reference field="4294967294" count="1">
            <x v="0"/>
          </reference>
        </references>
      </pivotArea>
    </format>
    <format dxfId="2325">
      <pivotArea dataOnly="0" labelOnly="1" outline="0" fieldPosition="0">
        <references count="1">
          <reference field="4294967294" count="2">
            <x v="0"/>
            <x v="1"/>
          </reference>
        </references>
      </pivotArea>
    </format>
    <format dxfId="2326">
      <pivotArea fieldPosition="0">
        <references count="2">
          <reference field="4294967294" count="1" selected="0">
            <x v="0"/>
          </reference>
          <reference field="2" count="1">
            <x v="9"/>
          </reference>
        </references>
      </pivotArea>
    </format>
    <format dxfId="2327">
      <pivotArea fieldPosition="0">
        <references count="2">
          <reference field="4294967294" count="1" selected="0">
            <x v="0"/>
          </reference>
          <reference field="2" count="1">
            <x v="3"/>
          </reference>
        </references>
      </pivotArea>
    </format>
    <format dxfId="2328">
      <pivotArea fieldPosition="0">
        <references count="2">
          <reference field="4294967294" count="1" selected="0">
            <x v="0"/>
          </reference>
          <reference field="2" count="1">
            <x v="6"/>
          </reference>
        </references>
      </pivotArea>
    </format>
    <format dxfId="2329">
      <pivotArea fieldPosition="0">
        <references count="2">
          <reference field="4294967294" count="1" selected="0">
            <x v="0"/>
          </reference>
          <reference field="2" count="1">
            <x v="8"/>
          </reference>
        </references>
      </pivotArea>
    </format>
    <format dxfId="2330">
      <pivotArea fieldPosition="0">
        <references count="2">
          <reference field="4294967294" count="1" selected="0">
            <x v="0"/>
          </reference>
          <reference field="2" count="1">
            <x v="1"/>
          </reference>
        </references>
      </pivotArea>
    </format>
    <format dxfId="2331">
      <pivotArea fieldPosition="0">
        <references count="2">
          <reference field="4294967294" count="1" selected="0">
            <x v="0"/>
          </reference>
          <reference field="2" count="1">
            <x v="5"/>
          </reference>
        </references>
      </pivotArea>
    </format>
    <format dxfId="2307">
      <pivotArea field="6" type="button" dataOnly="0" labelOnly="1" outline="0" axis="axisRow" fieldPosition="1"/>
    </format>
    <format dxfId="1">
      <pivotArea field="6" type="button" dataOnly="0" labelOnly="1" outline="0" axis="axisRow" fieldPosition="1"/>
    </format>
  </formats>
  <conditionalFormats count="1">
    <conditionalFormat priority="1">
      <pivotAreas count="6">
        <pivotArea type="data" collapsedLevelsAreSubtotals="1" fieldPosition="0">
          <references count="2">
            <reference field="4294967294" count="1" selected="0">
              <x v="1"/>
            </reference>
            <reference field="2" count="1">
              <x v="9"/>
            </reference>
          </references>
        </pivotArea>
        <pivotArea type="data" collapsedLevelsAreSubtotals="1" fieldPosition="0">
          <references count="2">
            <reference field="4294967294" count="1" selected="0">
              <x v="1"/>
            </reference>
            <reference field="2" count="1">
              <x v="3"/>
            </reference>
          </references>
        </pivotArea>
        <pivotArea type="data" collapsedLevelsAreSubtotals="1" fieldPosition="0">
          <references count="2">
            <reference field="4294967294" count="1" selected="0">
              <x v="1"/>
            </reference>
            <reference field="2" count="1">
              <x v="6"/>
            </reference>
          </references>
        </pivotArea>
        <pivotArea type="data" collapsedLevelsAreSubtotals="1" fieldPosition="0">
          <references count="2">
            <reference field="4294967294" count="1" selected="0">
              <x v="1"/>
            </reference>
            <reference field="2" count="1">
              <x v="8"/>
            </reference>
          </references>
        </pivotArea>
        <pivotArea type="data" collapsedLevelsAreSubtotals="1" fieldPosition="0">
          <references count="2">
            <reference field="4294967294" count="1" selected="0">
              <x v="1"/>
            </reference>
            <reference field="2" count="1">
              <x v="1"/>
            </reference>
          </references>
        </pivotArea>
        <pivotArea type="data" collapsedLevelsAreSubtotals="1" fieldPosition="0">
          <references count="2">
            <reference field="4294967294" count="1" selected="0">
              <x v="1"/>
            </reference>
            <reference field="2" count="1">
              <x v="5"/>
            </reference>
          </references>
        </pivotArea>
      </pivotAreas>
    </conditionalFormat>
  </conditionalFormats>
  <chartFormats count="2">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s>
  <pivotTableStyleInfo name="PivotStyleLight6" showRowHeaders="1" showColHeaders="1" showRowStripes="0" showColStripes="0" showLastColumn="1"/>
  <filters count="1">
    <filter fld="3" type="valueLessThan" evalOrder="-1" id="3" iMeasureFld="0">
      <autoFilter ref="A1">
        <filterColumn colId="0">
          <customFilters>
            <customFilter operator="less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CEDEC0-9545-453B-B49E-662599FCDE0C}" name="PivotTable4" cacheId="1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rowHeaderCaption="Products">
  <location ref="P3:Q54" firstHeaderRow="1" firstDataRow="1" firstDataCol="1"/>
  <pivotFields count="25">
    <pivotField showAll="0"/>
    <pivotField showAll="0"/>
    <pivotField showAll="0" sortType="descending">
      <items count="11">
        <item x="4"/>
        <item x="5"/>
        <item x="2"/>
        <item x="7"/>
        <item x="8"/>
        <item x="0"/>
        <item x="3"/>
        <item x="1"/>
        <item x="9"/>
        <item x="6"/>
        <item t="default"/>
      </items>
      <autoSortScope>
        <pivotArea dataOnly="0" outline="0" fieldPosition="0">
          <references count="1">
            <reference field="4294967294" count="1" selected="0">
              <x v="0"/>
            </reference>
          </references>
        </pivotArea>
      </autoSortScope>
    </pivotField>
    <pivotField showAll="0">
      <items count="6">
        <item x="1"/>
        <item x="4"/>
        <item x="3"/>
        <item x="0"/>
        <item x="2"/>
        <item t="default"/>
      </items>
    </pivotField>
    <pivotField showAll="0">
      <items count="6">
        <item x="0"/>
        <item x="1"/>
        <item x="4"/>
        <item x="2"/>
        <item x="3"/>
        <item t="default"/>
      </items>
    </pivotField>
    <pivotField showAll="0"/>
    <pivotField showAll="0"/>
    <pivotField numFmtId="166" showAll="0"/>
    <pivotField numFmtId="166" showAll="0"/>
    <pivotField numFmtId="166" showAll="0"/>
    <pivotField numFmtId="166" showAll="0"/>
    <pivotField numFmtId="167" showAll="0"/>
    <pivotField numFmtId="167" showAll="0"/>
    <pivotField numFmtId="167" showAll="0"/>
    <pivotField numFmtId="166" showAll="0"/>
    <pivotField numFmtId="167" showAll="0"/>
    <pivotField numFmtId="167" showAll="0"/>
    <pivotField numFmtId="167" showAll="0"/>
    <pivotField numFmtId="167" showAll="0"/>
    <pivotField numFmtId="167" showAll="0"/>
    <pivotField axis="axisRow" showAll="0">
      <items count="51">
        <item x="21"/>
        <item x="24"/>
        <item x="23"/>
        <item x="20"/>
        <item x="22"/>
        <item x="26"/>
        <item x="29"/>
        <item x="28"/>
        <item x="25"/>
        <item x="27"/>
        <item x="11"/>
        <item x="14"/>
        <item x="13"/>
        <item x="10"/>
        <item x="12"/>
        <item x="36"/>
        <item x="39"/>
        <item x="38"/>
        <item x="35"/>
        <item x="37"/>
        <item x="41"/>
        <item x="44"/>
        <item x="43"/>
        <item x="40"/>
        <item x="42"/>
        <item x="1"/>
        <item x="4"/>
        <item x="3"/>
        <item x="0"/>
        <item x="2"/>
        <item x="16"/>
        <item x="19"/>
        <item x="18"/>
        <item x="15"/>
        <item x="17"/>
        <item x="6"/>
        <item x="9"/>
        <item x="8"/>
        <item x="5"/>
        <item x="7"/>
        <item x="46"/>
        <item x="49"/>
        <item x="48"/>
        <item x="45"/>
        <item x="47"/>
        <item x="31"/>
        <item x="34"/>
        <item x="33"/>
        <item x="30"/>
        <item x="32"/>
        <item t="default"/>
      </items>
    </pivotField>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s>
  <rowFields count="1">
    <field x="2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Net Profit Margin" fld="22" baseField="2" baseItem="0" numFmtId="167"/>
  </dataFields>
  <formats count="18">
    <format dxfId="2336">
      <pivotArea field="2" type="button" dataOnly="0" labelOnly="1" outline="0"/>
    </format>
    <format dxfId="2337">
      <pivotArea dataOnly="0" labelOnly="1" grandRow="1" outline="0" fieldPosition="0"/>
    </format>
    <format dxfId="2338">
      <pivotArea dataOnly="0" labelOnly="1" outline="0" axis="axisValues" fieldPosition="0"/>
    </format>
    <format dxfId="2339">
      <pivotArea dataOnly="0" labelOnly="1" outline="0" axis="axisValues" fieldPosition="0"/>
    </format>
    <format dxfId="2340">
      <pivotArea grandRow="1" outline="0" collapsedLevelsAreSubtotals="1" fieldPosition="0"/>
    </format>
    <format dxfId="2341">
      <pivotArea grandRow="1" outline="0" collapsedLevelsAreSubtotals="1" fieldPosition="0"/>
    </format>
    <format dxfId="2342">
      <pivotArea type="all" dataOnly="0" outline="0" fieldPosition="0"/>
    </format>
    <format dxfId="2343">
      <pivotArea outline="0" collapsedLevelsAreSubtotals="1" fieldPosition="0"/>
    </format>
    <format dxfId="2344">
      <pivotArea field="2" type="button" dataOnly="0" labelOnly="1" outline="0"/>
    </format>
    <format dxfId="2345">
      <pivotArea dataOnly="0" labelOnly="1" grandRow="1" outline="0" fieldPosition="0"/>
    </format>
    <format dxfId="2346">
      <pivotArea dataOnly="0" labelOnly="1" outline="0" axis="axisValues" fieldPosition="0"/>
    </format>
    <format dxfId="2347">
      <pivotArea type="all" dataOnly="0" outline="0" fieldPosition="0"/>
    </format>
    <format dxfId="2348">
      <pivotArea outline="0" collapsedLevelsAreSubtotals="1" fieldPosition="0"/>
    </format>
    <format dxfId="2349">
      <pivotArea field="2" type="button" dataOnly="0" labelOnly="1" outline="0"/>
    </format>
    <format dxfId="2350">
      <pivotArea dataOnly="0" labelOnly="1" grandRow="1" outline="0" fieldPosition="0"/>
    </format>
    <format dxfId="2351">
      <pivotArea dataOnly="0" labelOnly="1" outline="0" axis="axisValues" fieldPosition="0"/>
    </format>
    <format dxfId="2352">
      <pivotArea outline="0" fieldPosition="0">
        <references count="1">
          <reference field="4294967294" count="1">
            <x v="0"/>
          </reference>
        </references>
      </pivotArea>
    </format>
    <format dxfId="0">
      <pivotArea field="20" type="button" dataOnly="0" labelOnly="1" outline="0" axis="axisRow" fieldPosition="0"/>
    </format>
  </formats>
  <chartFormats count="1">
    <chartFormat chart="9"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2E5168-924E-449A-A88E-A5A976D64643}" name="PivotTable1" cacheId="18"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SalesManager">
  <location ref="G3:M14" firstHeaderRow="0" firstDataRow="1" firstDataCol="1"/>
  <pivotFields count="25">
    <pivotField showAll="0"/>
    <pivotField showAll="0"/>
    <pivotField showAll="0">
      <items count="11">
        <item x="4"/>
        <item x="5"/>
        <item x="2"/>
        <item x="7"/>
        <item x="8"/>
        <item x="0"/>
        <item x="3"/>
        <item x="1"/>
        <item x="9"/>
        <item x="6"/>
        <item t="default"/>
      </items>
    </pivotField>
    <pivotField axis="axisRow" showAll="0">
      <items count="6">
        <item x="1"/>
        <item x="4"/>
        <item x="3"/>
        <item x="0"/>
        <item x="2"/>
        <item t="default"/>
      </items>
    </pivotField>
    <pivotField axis="axisRow" showAll="0">
      <items count="6">
        <item x="0"/>
        <item x="1"/>
        <item x="4"/>
        <item x="2"/>
        <item x="3"/>
        <item t="default"/>
      </items>
    </pivotField>
    <pivotField showAll="0"/>
    <pivotField showAll="0">
      <items count="13">
        <item x="0"/>
        <item x="1"/>
        <item x="2"/>
        <item x="3"/>
        <item x="4"/>
        <item x="5"/>
        <item x="6"/>
        <item x="7"/>
        <item x="8"/>
        <item x="9"/>
        <item x="10"/>
        <item x="11"/>
        <item t="default"/>
      </items>
    </pivotField>
    <pivotField dataField="1" numFmtId="166" showAll="0"/>
    <pivotField dataField="1" numFmtId="166" showAll="0"/>
    <pivotField numFmtId="166" showAll="0"/>
    <pivotField numFmtId="166" showAll="0"/>
    <pivotField numFmtId="167" showAll="0"/>
    <pivotField dataField="1" numFmtId="167" showAll="0"/>
    <pivotField numFmtId="167" showAll="0"/>
    <pivotField numFmtId="166" showAll="0"/>
    <pivotField numFmtId="167" showAll="0"/>
    <pivotField numFmtId="167" showAll="0"/>
    <pivotField numFmtId="167" showAll="0"/>
    <pivotField numFmtId="167" showAll="0"/>
    <pivotField numFmtId="167" showAll="0"/>
    <pivotField showAll="0"/>
    <pivotField dataField="1" dragToRow="0" dragToCol="0" dragToPage="0" showAll="0" defaultSubtotal="0"/>
    <pivotField dataField="1" dragToRow="0" dragToCol="0" dragToPage="0" showAll="0" defaultSubtotal="0"/>
    <pivotField dragToRow="0" dragToCol="0" dragToPage="0" showAll="0" defaultSubtotal="0"/>
    <pivotField dataField="1" dragToRow="0" dragToCol="0" dragToPage="0" showAll="0" defaultSubtotal="0"/>
  </pivotFields>
  <rowFields count="2">
    <field x="4"/>
    <field x="3"/>
  </rowFields>
  <rowItems count="11">
    <i>
      <x/>
    </i>
    <i r="1">
      <x v="3"/>
    </i>
    <i>
      <x v="1"/>
    </i>
    <i r="1">
      <x/>
    </i>
    <i>
      <x v="2"/>
    </i>
    <i r="1">
      <x v="1"/>
    </i>
    <i>
      <x v="3"/>
    </i>
    <i r="1">
      <x v="4"/>
    </i>
    <i>
      <x v="4"/>
    </i>
    <i r="1">
      <x v="2"/>
    </i>
    <i t="grand">
      <x/>
    </i>
  </rowItems>
  <colFields count="1">
    <field x="-2"/>
  </colFields>
  <colItems count="6">
    <i>
      <x/>
    </i>
    <i i="1">
      <x v="1"/>
    </i>
    <i i="2">
      <x v="2"/>
    </i>
    <i i="3">
      <x v="3"/>
    </i>
    <i i="4">
      <x v="4"/>
    </i>
    <i i="5">
      <x v="5"/>
    </i>
  </colItems>
  <dataFields count="6">
    <dataField name="Sum of Sales Budget" fld="7" baseField="0" baseItem="0" numFmtId="166"/>
    <dataField name="Sum of Actual Sales" fld="8" baseField="0" baseItem="0" numFmtId="166"/>
    <dataField name="Sum of Sales Variance Percentage" fld="21" baseField="4" baseItem="0" numFmtId="167"/>
    <dataField name="Sum of Net Profit Margin" fld="22" baseField="6" baseItem="1" numFmtId="167"/>
    <dataField name="Sum of Net Profit Variance %" fld="24" baseField="6" baseItem="1" numFmtId="167"/>
    <dataField name="Sum of △Expense  Variance" fld="12" baseField="4" baseItem="0" numFmtId="169"/>
  </dataFields>
  <formats count="24">
    <format dxfId="2429">
      <pivotArea field="6" type="button" dataOnly="0" labelOnly="1" outline="0"/>
    </format>
    <format dxfId="2430">
      <pivotArea dataOnly="0" labelOnly="1" outline="0" fieldPosition="0">
        <references count="1">
          <reference field="4294967294" count="1">
            <x v="4"/>
          </reference>
        </references>
      </pivotArea>
    </format>
    <format dxfId="2431">
      <pivotArea dataOnly="0" labelOnly="1" grandRow="1" outline="0" fieldPosition="0"/>
    </format>
    <format dxfId="2432">
      <pivotArea dataOnly="0" labelOnly="1" outline="0" fieldPosition="0">
        <references count="1">
          <reference field="4294967294" count="4">
            <x v="0"/>
            <x v="1"/>
            <x v="3"/>
            <x v="4"/>
          </reference>
        </references>
      </pivotArea>
    </format>
    <format dxfId="2433">
      <pivotArea dataOnly="0" labelOnly="1" outline="0" fieldPosition="0">
        <references count="1">
          <reference field="4294967294" count="4">
            <x v="0"/>
            <x v="1"/>
            <x v="3"/>
            <x v="4"/>
          </reference>
        </references>
      </pivotArea>
    </format>
    <format dxfId="2434">
      <pivotArea grandRow="1" outline="0" collapsedLevelsAreSubtotals="1" fieldPosition="0"/>
    </format>
    <format dxfId="2435">
      <pivotArea grandRow="1" outline="0" collapsedLevelsAreSubtotals="1" fieldPosition="0"/>
    </format>
    <format dxfId="2436">
      <pivotArea type="all" dataOnly="0" outline="0" fieldPosition="0"/>
    </format>
    <format dxfId="2437">
      <pivotArea outline="0" collapsedLevelsAreSubtotals="1" fieldPosition="0"/>
    </format>
    <format dxfId="2438">
      <pivotArea field="6" type="button" dataOnly="0" labelOnly="1" outline="0"/>
    </format>
    <format dxfId="2439">
      <pivotArea dataOnly="0" labelOnly="1" grandRow="1" outline="0" fieldPosition="0"/>
    </format>
    <format dxfId="2440">
      <pivotArea dataOnly="0" labelOnly="1" outline="0" fieldPosition="0">
        <references count="1">
          <reference field="4294967294" count="4">
            <x v="0"/>
            <x v="1"/>
            <x v="3"/>
            <x v="4"/>
          </reference>
        </references>
      </pivotArea>
    </format>
    <format dxfId="2441">
      <pivotArea type="all" dataOnly="0" outline="0" fieldPosition="0"/>
    </format>
    <format dxfId="2442">
      <pivotArea outline="0" collapsedLevelsAreSubtotals="1" fieldPosition="0"/>
    </format>
    <format dxfId="2443">
      <pivotArea field="6" type="button" dataOnly="0" labelOnly="1" outline="0"/>
    </format>
    <format dxfId="2444">
      <pivotArea dataOnly="0" labelOnly="1" grandRow="1" outline="0" fieldPosition="0"/>
    </format>
    <format dxfId="2445">
      <pivotArea dataOnly="0" labelOnly="1" outline="0" fieldPosition="0">
        <references count="1">
          <reference field="4294967294" count="4">
            <x v="0"/>
            <x v="1"/>
            <x v="3"/>
            <x v="4"/>
          </reference>
        </references>
      </pivotArea>
    </format>
    <format dxfId="2446">
      <pivotArea outline="0" fieldPosition="0">
        <references count="1">
          <reference field="4294967294" count="1">
            <x v="3"/>
          </reference>
        </references>
      </pivotArea>
    </format>
    <format dxfId="2447">
      <pivotArea outline="0" fieldPosition="0">
        <references count="1">
          <reference field="4294967294" count="1">
            <x v="4"/>
          </reference>
        </references>
      </pivotArea>
    </format>
    <format dxfId="2448">
      <pivotArea outline="0" fieldPosition="0">
        <references count="1">
          <reference field="4294967294" count="1">
            <x v="2"/>
          </reference>
        </references>
      </pivotArea>
    </format>
    <format dxfId="2449">
      <pivotArea outline="0" fieldPosition="0">
        <references count="1">
          <reference field="4294967294" count="1">
            <x v="5"/>
          </reference>
        </references>
      </pivotArea>
    </format>
    <format dxfId="2450">
      <pivotArea field="4" type="button" dataOnly="0" labelOnly="1" outline="0" axis="axisRow" fieldPosition="0"/>
    </format>
    <format dxfId="2451">
      <pivotArea dataOnly="0" labelOnly="1" outline="0" fieldPosition="0">
        <references count="1">
          <reference field="4294967294" count="1">
            <x v="2"/>
          </reference>
        </references>
      </pivotArea>
    </format>
    <format dxfId="2452">
      <pivotArea dataOnly="0" labelOnly="1" outline="0" fieldPosition="0">
        <references count="1">
          <reference field="4294967294" count="1">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1886421-D134-4628-BF1B-35F700180DA9}" name="PivotTable5" cacheId="1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0" rowHeaderCaption="Products">
  <location ref="J19:L30" firstHeaderRow="0" firstDataRow="1" firstDataCol="1"/>
  <pivotFields count="25">
    <pivotField showAll="0"/>
    <pivotField showAll="0"/>
    <pivotField axis="axisRow" showAll="0" sortType="descending">
      <items count="11">
        <item x="4"/>
        <item x="5"/>
        <item x="2"/>
        <item x="7"/>
        <item x="8"/>
        <item x="0"/>
        <item x="3"/>
        <item x="1"/>
        <item x="9"/>
        <item x="6"/>
        <item t="default"/>
      </items>
      <autoSortScope>
        <pivotArea dataOnly="0" outline="0" fieldPosition="0">
          <references count="1">
            <reference field="4294967294" count="1" selected="0">
              <x v="0"/>
            </reference>
          </references>
        </pivotArea>
      </autoSortScope>
    </pivotField>
    <pivotField showAll="0">
      <items count="6">
        <item x="1"/>
        <item x="4"/>
        <item x="3"/>
        <item x="0"/>
        <item x="2"/>
        <item t="default"/>
      </items>
    </pivotField>
    <pivotField showAll="0">
      <items count="6">
        <item x="0"/>
        <item x="1"/>
        <item x="4"/>
        <item x="2"/>
        <item x="3"/>
        <item t="default"/>
      </items>
    </pivotField>
    <pivotField showAll="0"/>
    <pivotField showAll="0"/>
    <pivotField numFmtId="166" showAll="0"/>
    <pivotField numFmtId="166" showAll="0"/>
    <pivotField numFmtId="166" showAll="0"/>
    <pivotField numFmtId="166" showAll="0"/>
    <pivotField numFmtId="167" showAll="0"/>
    <pivotField numFmtId="167" showAll="0"/>
    <pivotField numFmtId="167" showAll="0"/>
    <pivotField numFmtId="166" showAll="0"/>
    <pivotField numFmtId="167" showAll="0"/>
    <pivotField numFmtId="167" showAll="0"/>
    <pivotField numFmtId="167" showAll="0"/>
    <pivotField numFmtId="167" showAll="0"/>
    <pivotField numFmtId="167" showAll="0"/>
    <pivotField showAll="0"/>
    <pivotField dragToRow="0" dragToCol="0" dragToPage="0" showAll="0" defaultSubtotal="0"/>
    <pivotField dataField="1" dragToRow="0" dragToCol="0" dragToPage="0" showAll="0" defaultSubtotal="0"/>
    <pivotField dragToRow="0" dragToCol="0" dragToPage="0" showAll="0" defaultSubtotal="0"/>
    <pivotField dataField="1" dragToRow="0" dragToCol="0" dragToPage="0" showAll="0" defaultSubtotal="0"/>
  </pivotFields>
  <rowFields count="1">
    <field x="2"/>
  </rowFields>
  <rowItems count="11">
    <i>
      <x v="2"/>
    </i>
    <i>
      <x v="7"/>
    </i>
    <i>
      <x v="8"/>
    </i>
    <i>
      <x v="4"/>
    </i>
    <i>
      <x v="1"/>
    </i>
    <i>
      <x v="6"/>
    </i>
    <i>
      <x v="5"/>
    </i>
    <i>
      <x/>
    </i>
    <i>
      <x v="9"/>
    </i>
    <i>
      <x v="3"/>
    </i>
    <i t="grand">
      <x/>
    </i>
  </rowItems>
  <colFields count="1">
    <field x="-2"/>
  </colFields>
  <colItems count="2">
    <i>
      <x/>
    </i>
    <i i="1">
      <x v="1"/>
    </i>
  </colItems>
  <dataFields count="2">
    <dataField name="Sum of Net Profit Margin" fld="22" baseField="2" baseItem="0" numFmtId="167"/>
    <dataField name="Sum of Net Profit Variance %" fld="24" baseField="2" baseItem="2" numFmtId="167"/>
  </dataFields>
  <formats count="19">
    <format dxfId="2370">
      <pivotArea field="2" type="button" dataOnly="0" labelOnly="1" outline="0" axis="axisRow" fieldPosition="0"/>
    </format>
    <format dxfId="2371">
      <pivotArea dataOnly="0" labelOnly="1" grandRow="1" outline="0" fieldPosition="0"/>
    </format>
    <format dxfId="2372">
      <pivotArea dataOnly="0" labelOnly="1" outline="0" axis="axisValues" fieldPosition="0"/>
    </format>
    <format dxfId="2373">
      <pivotArea dataOnly="0" labelOnly="1" outline="0" axis="axisValues" fieldPosition="0"/>
    </format>
    <format dxfId="2374">
      <pivotArea grandRow="1" outline="0" collapsedLevelsAreSubtotals="1" fieldPosition="0"/>
    </format>
    <format dxfId="2375">
      <pivotArea grandRow="1" outline="0" collapsedLevelsAreSubtotals="1" fieldPosition="0"/>
    </format>
    <format dxfId="2376">
      <pivotArea type="all" dataOnly="0" outline="0" fieldPosition="0"/>
    </format>
    <format dxfId="2377">
      <pivotArea outline="0" collapsedLevelsAreSubtotals="1" fieldPosition="0"/>
    </format>
    <format dxfId="2378">
      <pivotArea field="2" type="button" dataOnly="0" labelOnly="1" outline="0" axis="axisRow" fieldPosition="0"/>
    </format>
    <format dxfId="2379">
      <pivotArea dataOnly="0" labelOnly="1" grandRow="1" outline="0" fieldPosition="0"/>
    </format>
    <format dxfId="2380">
      <pivotArea dataOnly="0" labelOnly="1" outline="0" axis="axisValues" fieldPosition="0"/>
    </format>
    <format dxfId="2381">
      <pivotArea type="all" dataOnly="0" outline="0" fieldPosition="0"/>
    </format>
    <format dxfId="2382">
      <pivotArea outline="0" collapsedLevelsAreSubtotals="1" fieldPosition="0"/>
    </format>
    <format dxfId="2383">
      <pivotArea field="2" type="button" dataOnly="0" labelOnly="1" outline="0" axis="axisRow" fieldPosition="0"/>
    </format>
    <format dxfId="2384">
      <pivotArea dataOnly="0" labelOnly="1" grandRow="1" outline="0" fieldPosition="0"/>
    </format>
    <format dxfId="2385">
      <pivotArea dataOnly="0" labelOnly="1" outline="0" axis="axisValues" fieldPosition="0"/>
    </format>
    <format dxfId="2386">
      <pivotArea outline="0" fieldPosition="0">
        <references count="1">
          <reference field="4294967294" count="1">
            <x v="0"/>
          </reference>
        </references>
      </pivotArea>
    </format>
    <format dxfId="1433">
      <pivotArea outline="0" fieldPosition="0">
        <references count="1">
          <reference field="4294967294" count="1">
            <x v="1"/>
          </reference>
        </references>
      </pivotArea>
    </format>
    <format dxfId="2">
      <pivotArea dataOnly="0" labelOnly="1" outline="0" fieldPosition="0">
        <references count="1">
          <reference field="4294967294" count="2">
            <x v="0"/>
            <x v="1"/>
          </reference>
        </references>
      </pivotArea>
    </format>
  </formats>
  <chartFormats count="1">
    <chartFormat chart="9"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E9CBA66-B459-4399-AEFA-3A1E2D487113}" name="Expense Variance By Manager" cacheId="1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6" rowHeaderCaption="Sales Manager">
  <location ref="G35:H41" firstHeaderRow="1" firstDataRow="1" firstDataCol="1"/>
  <pivotFields count="25">
    <pivotField showAll="0"/>
    <pivotField showAll="0"/>
    <pivotField showAll="0">
      <items count="11">
        <item x="4"/>
        <item x="5"/>
        <item x="2"/>
        <item x="7"/>
        <item x="8"/>
        <item x="0"/>
        <item x="3"/>
        <item x="1"/>
        <item x="9"/>
        <item x="6"/>
        <item t="default"/>
      </items>
    </pivotField>
    <pivotField showAll="0"/>
    <pivotField axis="axisRow" showAll="0" sortType="ascending">
      <items count="6">
        <item sd="0" x="0"/>
        <item sd="0" x="1"/>
        <item sd="0" x="4"/>
        <item sd="0" x="2"/>
        <item sd="0" x="3"/>
        <item t="default"/>
      </items>
      <autoSortScope>
        <pivotArea dataOnly="0" outline="0" fieldPosition="0">
          <references count="1">
            <reference field="4294967294" count="1" selected="0">
              <x v="0"/>
            </reference>
          </references>
        </pivotArea>
      </autoSortScope>
    </pivotField>
    <pivotField showAll="0"/>
    <pivotField showAll="0"/>
    <pivotField numFmtId="166" showAll="0"/>
    <pivotField numFmtId="166" showAll="0"/>
    <pivotField numFmtId="166" showAll="0"/>
    <pivotField numFmtId="166" showAll="0"/>
    <pivotField numFmtId="167" showAll="0"/>
    <pivotField dataField="1" numFmtId="167" showAll="0"/>
    <pivotField numFmtId="167" showAll="0"/>
    <pivotField numFmtId="166" showAll="0"/>
    <pivotField numFmtId="167" showAll="0"/>
    <pivotField numFmtId="167" showAll="0"/>
    <pivotField numFmtId="167" showAll="0"/>
    <pivotField numFmtId="167" showAll="0"/>
    <pivotField numFmtId="167"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4"/>
  </rowFields>
  <rowItems count="6">
    <i>
      <x v="3"/>
    </i>
    <i>
      <x v="2"/>
    </i>
    <i>
      <x/>
    </i>
    <i>
      <x v="1"/>
    </i>
    <i>
      <x v="4"/>
    </i>
    <i t="grand">
      <x/>
    </i>
  </rowItems>
  <colItems count="1">
    <i/>
  </colItems>
  <dataFields count="1">
    <dataField name="Sum of △Expense  Variance" fld="12" baseField="4" baseItem="0" numFmtId="169"/>
  </dataFields>
  <formats count="19">
    <format dxfId="2470">
      <pivotArea field="4" type="button" dataOnly="0" labelOnly="1" outline="0" axis="axisRow" fieldPosition="0"/>
    </format>
    <format dxfId="2469">
      <pivotArea dataOnly="0" labelOnly="1" grandRow="1" outline="0" fieldPosition="0"/>
    </format>
    <format dxfId="2468">
      <pivotArea dataOnly="0" outline="0" axis="axisValues" fieldPosition="0"/>
    </format>
    <format dxfId="2467">
      <pivotArea dataOnly="0" outline="0" axis="axisValues" fieldPosition="0"/>
    </format>
    <format dxfId="2466">
      <pivotArea grandRow="1" outline="0" collapsedLevelsAreSubtotals="1" fieldPosition="0"/>
    </format>
    <format dxfId="2465">
      <pivotArea grandRow="1" outline="0" collapsedLevelsAreSubtotals="1" fieldPosition="0"/>
    </format>
    <format dxfId="2464">
      <pivotArea type="all" dataOnly="0" outline="0" fieldPosition="0"/>
    </format>
    <format dxfId="2463">
      <pivotArea outline="0" collapsedLevelsAreSubtotals="1" fieldPosition="0"/>
    </format>
    <format dxfId="2462">
      <pivotArea field="4" type="button" dataOnly="0" labelOnly="1" outline="0" axis="axisRow" fieldPosition="0"/>
    </format>
    <format dxfId="2461">
      <pivotArea dataOnly="0" labelOnly="1" fieldPosition="0">
        <references count="1">
          <reference field="4" count="0"/>
        </references>
      </pivotArea>
    </format>
    <format dxfId="2460">
      <pivotArea dataOnly="0" labelOnly="1" grandRow="1" outline="0" fieldPosition="0"/>
    </format>
    <format dxfId="2459">
      <pivotArea dataOnly="0" labelOnly="1" outline="0" axis="axisValues" fieldPosition="0"/>
    </format>
    <format dxfId="2458">
      <pivotArea type="all" dataOnly="0" outline="0" fieldPosition="0"/>
    </format>
    <format dxfId="2457">
      <pivotArea outline="0" collapsedLevelsAreSubtotals="1" fieldPosition="0"/>
    </format>
    <format dxfId="2456">
      <pivotArea field="4" type="button" dataOnly="0" labelOnly="1" outline="0" axis="axisRow" fieldPosition="0"/>
    </format>
    <format dxfId="2455">
      <pivotArea dataOnly="0" labelOnly="1" fieldPosition="0">
        <references count="1">
          <reference field="4" count="0"/>
        </references>
      </pivotArea>
    </format>
    <format dxfId="2454">
      <pivotArea dataOnly="0" labelOnly="1" grandRow="1" outline="0" fieldPosition="0"/>
    </format>
    <format dxfId="2453">
      <pivotArea dataOnly="0" labelOnly="1" outline="0" axis="axisValues" fieldPosition="0"/>
    </format>
    <format dxfId="1042">
      <pivotArea outline="0" fieldPosition="0">
        <references count="1">
          <reference field="4294967294" count="1">
            <x v="0"/>
          </reference>
        </references>
      </pivotArea>
    </format>
  </formats>
  <chartFormats count="1">
    <chartFormat chart="23" format="1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1B54EFC-5B50-436C-AC39-8233636016D7}" name="Actual Sales_vs_Sales_Budget"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rowHeaderCaption="Month">
  <location ref="A3:D16" firstHeaderRow="0" firstDataRow="1" firstDataCol="1"/>
  <pivotFields count="25">
    <pivotField showAll="0"/>
    <pivotField showAll="0"/>
    <pivotField showAll="0">
      <items count="11">
        <item x="4"/>
        <item x="5"/>
        <item x="2"/>
        <item x="7"/>
        <item x="8"/>
        <item x="0"/>
        <item x="3"/>
        <item x="1"/>
        <item x="9"/>
        <item x="6"/>
        <item t="default"/>
      </items>
    </pivotField>
    <pivotField showAll="0">
      <items count="6">
        <item x="1"/>
        <item x="4"/>
        <item x="3"/>
        <item x="0"/>
        <item x="2"/>
        <item t="default"/>
      </items>
    </pivotField>
    <pivotField showAll="0">
      <items count="6">
        <item x="0"/>
        <item x="1"/>
        <item x="4"/>
        <item x="2"/>
        <item x="3"/>
        <item t="default"/>
      </items>
    </pivotField>
    <pivotField showAll="0"/>
    <pivotField axis="axisRow" showAll="0">
      <items count="13">
        <item x="0"/>
        <item x="1"/>
        <item x="2"/>
        <item x="3"/>
        <item x="4"/>
        <item x="5"/>
        <item x="6"/>
        <item x="7"/>
        <item x="8"/>
        <item x="9"/>
        <item x="10"/>
        <item x="11"/>
        <item t="default"/>
      </items>
    </pivotField>
    <pivotField dataField="1" numFmtId="166" showAll="0"/>
    <pivotField dataField="1" numFmtId="166" showAll="0"/>
    <pivotField numFmtId="166" showAll="0"/>
    <pivotField numFmtId="166" showAll="0"/>
    <pivotField numFmtId="167" showAll="0"/>
    <pivotField numFmtId="167" showAll="0"/>
    <pivotField numFmtId="167" showAll="0"/>
    <pivotField numFmtId="166" showAll="0"/>
    <pivotField numFmtId="167" showAll="0"/>
    <pivotField numFmtId="167" showAll="0"/>
    <pivotField numFmtId="167" showAll="0"/>
    <pivotField numFmtId="167" showAll="0"/>
    <pivotField numFmtId="167" showAll="0"/>
    <pivotField showAl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6"/>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Actual_Sales" fld="8" baseField="6" baseItem="0" numFmtId="166"/>
    <dataField name="Sales_Budget" fld="7" baseField="6" baseItem="0" numFmtId="166"/>
    <dataField name="Sum of Sales Variance Percentage" fld="21" baseField="6" baseItem="0" numFmtId="167"/>
  </dataFields>
  <formats count="21">
    <format dxfId="2491">
      <pivotArea field="6" type="button" dataOnly="0" labelOnly="1" outline="0" axis="axisRow" fieldPosition="0"/>
    </format>
    <format dxfId="2490">
      <pivotArea dataOnly="0" labelOnly="1" outline="0" fieldPosition="0">
        <references count="1">
          <reference field="4294967294" count="3">
            <x v="0"/>
            <x v="1"/>
            <x v="2"/>
          </reference>
        </references>
      </pivotArea>
    </format>
    <format dxfId="2489">
      <pivotArea field="6" type="button" dataOnly="0" labelOnly="1" outline="0" axis="axisRow" fieldPosition="0"/>
    </format>
    <format dxfId="2488">
      <pivotArea dataOnly="0" labelOnly="1" outline="0" fieldPosition="0">
        <references count="1">
          <reference field="4294967294" count="3">
            <x v="0"/>
            <x v="1"/>
            <x v="2"/>
          </reference>
        </references>
      </pivotArea>
    </format>
    <format dxfId="2487">
      <pivotArea dataOnly="0" labelOnly="1" grandRow="1" outline="0" fieldPosition="0"/>
    </format>
    <format dxfId="2486">
      <pivotArea grandRow="1" outline="0" collapsedLevelsAreSubtotals="1" fieldPosition="0"/>
    </format>
    <format dxfId="2485">
      <pivotArea grandRow="1" outline="0" collapsedLevelsAreSubtotals="1" fieldPosition="0"/>
    </format>
    <format dxfId="2484">
      <pivotArea type="all" dataOnly="0" outline="0" fieldPosition="0"/>
    </format>
    <format dxfId="2483">
      <pivotArea outline="0" collapsedLevelsAreSubtotals="1" fieldPosition="0"/>
    </format>
    <format dxfId="2482">
      <pivotArea field="6" type="button" dataOnly="0" labelOnly="1" outline="0" axis="axisRow" fieldPosition="0"/>
    </format>
    <format dxfId="2481">
      <pivotArea dataOnly="0" labelOnly="1" fieldPosition="0">
        <references count="1">
          <reference field="6" count="0"/>
        </references>
      </pivotArea>
    </format>
    <format dxfId="2480">
      <pivotArea dataOnly="0" labelOnly="1" grandRow="1" outline="0" fieldPosition="0"/>
    </format>
    <format dxfId="2479">
      <pivotArea dataOnly="0" labelOnly="1" outline="0" fieldPosition="0">
        <references count="1">
          <reference field="4294967294" count="3">
            <x v="0"/>
            <x v="1"/>
            <x v="2"/>
          </reference>
        </references>
      </pivotArea>
    </format>
    <format dxfId="2478">
      <pivotArea type="all" dataOnly="0" outline="0" fieldPosition="0"/>
    </format>
    <format dxfId="2477">
      <pivotArea outline="0" collapsedLevelsAreSubtotals="1" fieldPosition="0"/>
    </format>
    <format dxfId="2476">
      <pivotArea field="6" type="button" dataOnly="0" labelOnly="1" outline="0" axis="axisRow" fieldPosition="0"/>
    </format>
    <format dxfId="2475">
      <pivotArea dataOnly="0" labelOnly="1" fieldPosition="0">
        <references count="1">
          <reference field="6" count="0"/>
        </references>
      </pivotArea>
    </format>
    <format dxfId="2474">
      <pivotArea dataOnly="0" labelOnly="1" grandRow="1" outline="0" fieldPosition="0"/>
    </format>
    <format dxfId="2473">
      <pivotArea dataOnly="0" labelOnly="1" outline="0" fieldPosition="0">
        <references count="1">
          <reference field="4294967294" count="3">
            <x v="0"/>
            <x v="1"/>
            <x v="2"/>
          </reference>
        </references>
      </pivotArea>
    </format>
    <format dxfId="2472">
      <pivotArea collapsedLevelsAreSubtotals="1" fieldPosition="0">
        <references count="2">
          <reference field="4294967294" count="1" selected="0">
            <x v="2"/>
          </reference>
          <reference field="6" count="1">
            <x v="2"/>
          </reference>
        </references>
      </pivotArea>
    </format>
    <format dxfId="2471">
      <pivotArea outline="0" fieldPosition="0">
        <references count="1">
          <reference field="4294967294" count="1">
            <x v="2"/>
          </reference>
        </references>
      </pivotArea>
    </format>
  </formats>
  <chartFormats count="3">
    <chartFormat chart="27" format="37" series="1">
      <pivotArea type="data" outline="0" fieldPosition="0">
        <references count="1">
          <reference field="4294967294" count="1" selected="0">
            <x v="0"/>
          </reference>
        </references>
      </pivotArea>
    </chartFormat>
    <chartFormat chart="27" format="38" series="1">
      <pivotArea type="data" outline="0" fieldPosition="0">
        <references count="1">
          <reference field="4294967294" count="1" selected="0">
            <x v="1"/>
          </reference>
        </references>
      </pivotArea>
    </chartFormat>
    <chartFormat chart="27" format="39"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0F2369B-D616-48D5-BF9E-FEDFCD5B0246}" name="Profit Variance Percentage by Branch"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rowHeaderCaption="Branch">
  <location ref="G45:H51" firstHeaderRow="1" firstDataRow="1" firstDataCol="1"/>
  <pivotFields count="25">
    <pivotField showAll="0"/>
    <pivotField showAll="0"/>
    <pivotField showAll="0">
      <items count="11">
        <item x="4"/>
        <item x="5"/>
        <item x="2"/>
        <item x="7"/>
        <item x="8"/>
        <item x="0"/>
        <item x="3"/>
        <item x="1"/>
        <item x="9"/>
        <item x="6"/>
        <item t="default"/>
      </items>
    </pivotField>
    <pivotField axis="axisRow" showAll="0" sortType="ascending">
      <items count="6">
        <item x="1"/>
        <item x="4"/>
        <item x="3"/>
        <item x="0"/>
        <item x="2"/>
        <item t="default"/>
      </items>
      <autoSortScope>
        <pivotArea dataOnly="0" outline="0" fieldPosition="0">
          <references count="1">
            <reference field="4294967294" count="1" selected="0">
              <x v="0"/>
            </reference>
          </references>
        </pivotArea>
      </autoSortScope>
    </pivotField>
    <pivotField showAll="0">
      <items count="6">
        <item sd="0" x="0"/>
        <item sd="0" x="1"/>
        <item sd="0" x="4"/>
        <item sd="0" x="2"/>
        <item sd="0" x="3"/>
        <item t="default"/>
      </items>
    </pivotField>
    <pivotField showAll="0"/>
    <pivotField showAll="0"/>
    <pivotField numFmtId="166" showAll="0"/>
    <pivotField numFmtId="166" showAll="0"/>
    <pivotField numFmtId="166" showAll="0"/>
    <pivotField numFmtId="166" showAll="0"/>
    <pivotField numFmtId="167" showAll="0"/>
    <pivotField numFmtId="167" showAll="0"/>
    <pivotField numFmtId="167" showAll="0"/>
    <pivotField numFmtId="166" showAll="0"/>
    <pivotField numFmtId="167" showAll="0"/>
    <pivotField numFmtId="167" showAll="0"/>
    <pivotField numFmtId="167" showAll="0"/>
    <pivotField numFmtId="167" showAll="0"/>
    <pivotField numFmtId="167" showAll="0"/>
    <pivotField showAl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s>
  <rowFields count="1">
    <field x="3"/>
  </rowFields>
  <rowItems count="6">
    <i>
      <x v="1"/>
    </i>
    <i>
      <x v="2"/>
    </i>
    <i>
      <x v="4"/>
    </i>
    <i>
      <x v="3"/>
    </i>
    <i>
      <x/>
    </i>
    <i t="grand">
      <x/>
    </i>
  </rowItems>
  <colItems count="1">
    <i/>
  </colItems>
  <dataFields count="1">
    <dataField name="Sum of Net Profit Variance %" fld="24" baseField="3" baseItem="0" numFmtId="167"/>
  </dataFields>
  <formats count="18">
    <format dxfId="2411">
      <pivotArea field="4" type="button" dataOnly="0" labelOnly="1" outline="0"/>
    </format>
    <format dxfId="2412">
      <pivotArea dataOnly="0" labelOnly="1" grandRow="1" outline="0" fieldPosition="0"/>
    </format>
    <format dxfId="2413">
      <pivotArea dataOnly="0" outline="0" axis="axisValues" fieldPosition="0"/>
    </format>
    <format dxfId="2414">
      <pivotArea dataOnly="0" outline="0" axis="axisValues" fieldPosition="0"/>
    </format>
    <format dxfId="2415">
      <pivotArea grandRow="1" outline="0" collapsedLevelsAreSubtotals="1" fieldPosition="0"/>
    </format>
    <format dxfId="2416">
      <pivotArea grandRow="1" outline="0" collapsedLevelsAreSubtotals="1" fieldPosition="0"/>
    </format>
    <format dxfId="2417">
      <pivotArea type="all" dataOnly="0" outline="0" fieldPosition="0"/>
    </format>
    <format dxfId="2418">
      <pivotArea outline="0" collapsedLevelsAreSubtotals="1" fieldPosition="0"/>
    </format>
    <format dxfId="2419">
      <pivotArea field="4" type="button" dataOnly="0" labelOnly="1" outline="0"/>
    </format>
    <format dxfId="2420">
      <pivotArea dataOnly="0" labelOnly="1" grandRow="1" outline="0" fieldPosition="0"/>
    </format>
    <format dxfId="2421">
      <pivotArea dataOnly="0" labelOnly="1" outline="0" axis="axisValues" fieldPosition="0"/>
    </format>
    <format dxfId="2422">
      <pivotArea type="all" dataOnly="0" outline="0" fieldPosition="0"/>
    </format>
    <format dxfId="2423">
      <pivotArea outline="0" collapsedLevelsAreSubtotals="1" fieldPosition="0"/>
    </format>
    <format dxfId="2424">
      <pivotArea field="4" type="button" dataOnly="0" labelOnly="1" outline="0"/>
    </format>
    <format dxfId="2425">
      <pivotArea dataOnly="0" labelOnly="1" grandRow="1" outline="0" fieldPosition="0"/>
    </format>
    <format dxfId="2426">
      <pivotArea dataOnly="0" labelOnly="1" outline="0" axis="axisValues" fieldPosition="0"/>
    </format>
    <format dxfId="2427">
      <pivotArea outline="0" fieldPosition="0">
        <references count="1">
          <reference field="4294967294" count="1">
            <x v="0"/>
          </reference>
        </references>
      </pivotArea>
    </format>
    <format dxfId="2428">
      <pivotArea field="3" type="button" dataOnly="0" labelOnly="1" outline="0" axis="axisRow" fieldPosition="0"/>
    </format>
  </formats>
  <chartFormats count="3">
    <chartFormat chart="23" format="5" series="1">
      <pivotArea type="data" outline="0" fieldPosition="0">
        <references count="1">
          <reference field="4294967294" count="1" selected="0">
            <x v="0"/>
          </reference>
        </references>
      </pivotArea>
    </chartFormat>
    <chartFormat chart="24" format="7" series="1">
      <pivotArea type="data" outline="0" fieldPosition="0">
        <references count="1">
          <reference field="4294967294" count="1" selected="0">
            <x v="0"/>
          </reference>
        </references>
      </pivotArea>
    </chartFormat>
    <chartFormat chart="25"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919753B-DF5A-4028-902A-C952EEDAE5E4}" name="Monthly  Profitability Trend"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rowHeaderCaption="Month">
  <location ref="A35:C48" firstHeaderRow="0" firstDataRow="1" firstDataCol="1"/>
  <pivotFields count="25">
    <pivotField showAll="0"/>
    <pivotField showAll="0"/>
    <pivotField showAll="0">
      <items count="11">
        <item x="4"/>
        <item x="5"/>
        <item x="2"/>
        <item x="7"/>
        <item x="8"/>
        <item x="0"/>
        <item x="3"/>
        <item x="1"/>
        <item x="9"/>
        <item x="6"/>
        <item t="default"/>
      </items>
    </pivotField>
    <pivotField showAll="0">
      <items count="6">
        <item x="1"/>
        <item x="4"/>
        <item x="3"/>
        <item x="0"/>
        <item x="2"/>
        <item t="default"/>
      </items>
    </pivotField>
    <pivotField showAll="0">
      <items count="6">
        <item x="0"/>
        <item x="1"/>
        <item x="4"/>
        <item x="2"/>
        <item x="3"/>
        <item t="default"/>
      </items>
    </pivotField>
    <pivotField showAll="0"/>
    <pivotField axis="axisRow" showAll="0">
      <items count="13">
        <item x="0"/>
        <item x="1"/>
        <item x="2"/>
        <item x="3"/>
        <item x="4"/>
        <item x="5"/>
        <item x="6"/>
        <item x="7"/>
        <item x="8"/>
        <item x="9"/>
        <item x="10"/>
        <item x="11"/>
        <item t="default"/>
      </items>
    </pivotField>
    <pivotField numFmtId="166" showAll="0"/>
    <pivotField numFmtId="166" showAll="0"/>
    <pivotField numFmtId="166" showAll="0"/>
    <pivotField numFmtId="166" showAll="0"/>
    <pivotField numFmtId="167" showAll="0"/>
    <pivotField numFmtId="167" showAll="0"/>
    <pivotField numFmtId="167" showAll="0"/>
    <pivotField numFmtId="166" showAll="0"/>
    <pivotField numFmtId="167" showAll="0"/>
    <pivotField numFmtId="167" showAll="0"/>
    <pivotField numFmtId="167" showAll="0"/>
    <pivotField numFmtId="167" showAll="0"/>
    <pivotField numFmtId="167" showAll="0"/>
    <pivotField showAll="0"/>
    <pivotField dragToRow="0" dragToCol="0" dragToPage="0" showAll="0" defaultSubtotal="0"/>
    <pivotField dataField="1" dragToRow="0" dragToCol="0" dragToPage="0" showAll="0" defaultSubtotal="0"/>
    <pivotField dragToRow="0" dragToCol="0" dragToPage="0" showAll="0" defaultSubtotal="0"/>
    <pivotField dataField="1" dragToRow="0" dragToCol="0" dragToPage="0" showAll="0" defaultSubtotal="0"/>
  </pivotFields>
  <rowFields count="1">
    <field x="6"/>
  </rowFields>
  <rowItems count="13">
    <i>
      <x/>
    </i>
    <i>
      <x v="1"/>
    </i>
    <i>
      <x v="2"/>
    </i>
    <i>
      <x v="3"/>
    </i>
    <i>
      <x v="4"/>
    </i>
    <i>
      <x v="5"/>
    </i>
    <i>
      <x v="6"/>
    </i>
    <i>
      <x v="7"/>
    </i>
    <i>
      <x v="8"/>
    </i>
    <i>
      <x v="9"/>
    </i>
    <i>
      <x v="10"/>
    </i>
    <i>
      <x v="11"/>
    </i>
    <i t="grand">
      <x/>
    </i>
  </rowItems>
  <colFields count="1">
    <field x="-2"/>
  </colFields>
  <colItems count="2">
    <i>
      <x/>
    </i>
    <i i="1">
      <x v="1"/>
    </i>
  </colItems>
  <dataFields count="2">
    <dataField name="Sum of Net Profit Margin" fld="22" baseField="6" baseItem="0" numFmtId="167"/>
    <dataField name="Sum of Net Profit Variance %" fld="24" baseField="6" baseItem="0" numFmtId="167"/>
  </dataFields>
  <formats count="21">
    <format dxfId="2511">
      <pivotArea field="6" type="button" dataOnly="0" labelOnly="1" outline="0" axis="axisRow" fieldPosition="0"/>
    </format>
    <format dxfId="2510">
      <pivotArea dataOnly="0" labelOnly="1" grandRow="1" outline="0" fieldPosition="0"/>
    </format>
    <format dxfId="2509">
      <pivotArea dataOnly="0" labelOnly="1" outline="0" fieldPosition="0">
        <references count="1">
          <reference field="4294967294" count="1">
            <x v="0"/>
          </reference>
        </references>
      </pivotArea>
    </format>
    <format dxfId="2508">
      <pivotArea dataOnly="0" labelOnly="1" outline="0" fieldPosition="0">
        <references count="1">
          <reference field="4294967294" count="1">
            <x v="0"/>
          </reference>
        </references>
      </pivotArea>
    </format>
    <format dxfId="2507">
      <pivotArea grandRow="1" outline="0" collapsedLevelsAreSubtotals="1" fieldPosition="0"/>
    </format>
    <format dxfId="2506">
      <pivotArea grandRow="1" outline="0" collapsedLevelsAreSubtotals="1" fieldPosition="0"/>
    </format>
    <format dxfId="2505">
      <pivotArea type="all" dataOnly="0" outline="0" fieldPosition="0"/>
    </format>
    <format dxfId="2504">
      <pivotArea outline="0" collapsedLevelsAreSubtotals="1" fieldPosition="0"/>
    </format>
    <format dxfId="2503">
      <pivotArea field="6" type="button" dataOnly="0" labelOnly="1" outline="0" axis="axisRow" fieldPosition="0"/>
    </format>
    <format dxfId="2502">
      <pivotArea dataOnly="0" labelOnly="1" fieldPosition="0">
        <references count="1">
          <reference field="6" count="0"/>
        </references>
      </pivotArea>
    </format>
    <format dxfId="2501">
      <pivotArea dataOnly="0" labelOnly="1" grandRow="1" outline="0" fieldPosition="0"/>
    </format>
    <format dxfId="2500">
      <pivotArea dataOnly="0" labelOnly="1" outline="0" fieldPosition="0">
        <references count="1">
          <reference field="4294967294" count="1">
            <x v="0"/>
          </reference>
        </references>
      </pivotArea>
    </format>
    <format dxfId="2499">
      <pivotArea type="all" dataOnly="0" outline="0" fieldPosition="0"/>
    </format>
    <format dxfId="2498">
      <pivotArea outline="0" collapsedLevelsAreSubtotals="1" fieldPosition="0"/>
    </format>
    <format dxfId="2497">
      <pivotArea field="6" type="button" dataOnly="0" labelOnly="1" outline="0" axis="axisRow" fieldPosition="0"/>
    </format>
    <format dxfId="2496">
      <pivotArea dataOnly="0" labelOnly="1" fieldPosition="0">
        <references count="1">
          <reference field="6" count="0"/>
        </references>
      </pivotArea>
    </format>
    <format dxfId="2495">
      <pivotArea dataOnly="0" labelOnly="1" grandRow="1" outline="0" fieldPosition="0"/>
    </format>
    <format dxfId="2494">
      <pivotArea dataOnly="0" labelOnly="1" outline="0" fieldPosition="0">
        <references count="1">
          <reference field="4294967294" count="1">
            <x v="0"/>
          </reference>
        </references>
      </pivotArea>
    </format>
    <format dxfId="2493">
      <pivotArea outline="0" fieldPosition="0">
        <references count="1">
          <reference field="4294967294" count="1">
            <x v="0"/>
          </reference>
        </references>
      </pivotArea>
    </format>
    <format dxfId="2492">
      <pivotArea outline="0" fieldPosition="0">
        <references count="1">
          <reference field="4294967294" count="1">
            <x v="1"/>
          </reference>
        </references>
      </pivotArea>
    </format>
    <format dxfId="2410">
      <pivotArea dataOnly="0" labelOnly="1" outline="0" fieldPosition="0">
        <references count="1">
          <reference field="4294967294" count="1">
            <x v="1"/>
          </reference>
        </references>
      </pivotArea>
    </format>
  </formats>
  <chartFormats count="6">
    <chartFormat chart="28" format="23" series="1">
      <pivotArea type="data" outline="0" fieldPosition="0">
        <references count="1">
          <reference field="4294967294" count="1" selected="0">
            <x v="1"/>
          </reference>
        </references>
      </pivotArea>
    </chartFormat>
    <chartFormat chart="28" format="24" series="1">
      <pivotArea type="data" outline="0" fieldPosition="0">
        <references count="1">
          <reference field="4294967294" count="1" selected="0">
            <x v="0"/>
          </reference>
        </references>
      </pivotArea>
    </chartFormat>
    <chartFormat chart="29" format="25" series="1">
      <pivotArea type="data" outline="0" fieldPosition="0">
        <references count="1">
          <reference field="4294967294" count="1" selected="0">
            <x v="1"/>
          </reference>
        </references>
      </pivotArea>
    </chartFormat>
    <chartFormat chart="29" format="26" series="1">
      <pivotArea type="data" outline="0" fieldPosition="0">
        <references count="1">
          <reference field="4294967294" count="1" selected="0">
            <x v="0"/>
          </reference>
        </references>
      </pivotArea>
    </chartFormat>
    <chartFormat chart="30" format="25" series="1">
      <pivotArea type="data" outline="0" fieldPosition="0">
        <references count="1">
          <reference field="4294967294" count="1" selected="0">
            <x v="1"/>
          </reference>
        </references>
      </pivotArea>
    </chartFormat>
    <chartFormat chart="30" format="2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1397DE0-D201-4AE2-ACDA-C5D4F5C259CA}" name="Total Sales By Products" cacheId="1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0" rowHeaderCaption="Products">
  <location ref="G19:H30" firstHeaderRow="1" firstDataRow="1" firstDataCol="1"/>
  <pivotFields count="25">
    <pivotField showAll="0"/>
    <pivotField showAll="0"/>
    <pivotField axis="axisRow" showAll="0" sortType="ascending">
      <items count="11">
        <item x="4"/>
        <item x="5"/>
        <item x="2"/>
        <item x="7"/>
        <item x="8"/>
        <item x="0"/>
        <item x="3"/>
        <item x="1"/>
        <item x="9"/>
        <item x="6"/>
        <item t="default"/>
      </items>
      <autoSortScope>
        <pivotArea dataOnly="0" outline="0" fieldPosition="0">
          <references count="1">
            <reference field="4294967294" count="1" selected="0">
              <x v="0"/>
            </reference>
          </references>
        </pivotArea>
      </autoSortScope>
    </pivotField>
    <pivotField showAll="0">
      <items count="6">
        <item x="1"/>
        <item x="4"/>
        <item x="3"/>
        <item x="0"/>
        <item x="2"/>
        <item t="default"/>
      </items>
    </pivotField>
    <pivotField showAll="0">
      <items count="6">
        <item x="0"/>
        <item x="1"/>
        <item x="4"/>
        <item x="2"/>
        <item x="3"/>
        <item t="default"/>
      </items>
    </pivotField>
    <pivotField showAll="0"/>
    <pivotField showAll="0"/>
    <pivotField numFmtId="166" showAll="0"/>
    <pivotField numFmtId="166" showAll="0"/>
    <pivotField numFmtId="166" showAll="0"/>
    <pivotField numFmtId="166" showAll="0"/>
    <pivotField numFmtId="167" showAll="0"/>
    <pivotField numFmtId="167" showAll="0"/>
    <pivotField numFmtId="167" showAll="0"/>
    <pivotField numFmtId="166" showAll="0"/>
    <pivotField numFmtId="167" showAll="0"/>
    <pivotField numFmtId="167" showAll="0"/>
    <pivotField numFmtId="167" showAll="0"/>
    <pivotField numFmtId="167" showAll="0"/>
    <pivotField numFmtId="167" showAll="0"/>
    <pivotField showAl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s>
  <rowFields count="1">
    <field x="2"/>
  </rowFields>
  <rowItems count="11">
    <i>
      <x v="3"/>
    </i>
    <i>
      <x v="9"/>
    </i>
    <i>
      <x/>
    </i>
    <i>
      <x v="5"/>
    </i>
    <i>
      <x v="6"/>
    </i>
    <i>
      <x v="1"/>
    </i>
    <i>
      <x v="4"/>
    </i>
    <i>
      <x v="8"/>
    </i>
    <i>
      <x v="7"/>
    </i>
    <i>
      <x v="2"/>
    </i>
    <i t="grand">
      <x/>
    </i>
  </rowItems>
  <colItems count="1">
    <i/>
  </colItems>
  <dataFields count="1">
    <dataField name="Sum of Net Profit Margin" fld="22" baseField="2" baseItem="3" numFmtId="167"/>
  </dataFields>
  <formats count="19">
    <format dxfId="2529">
      <pivotArea field="2" type="button" dataOnly="0" labelOnly="1" outline="0" axis="axisRow" fieldPosition="0"/>
    </format>
    <format dxfId="2528">
      <pivotArea dataOnly="0" labelOnly="1" grandRow="1" outline="0" fieldPosition="0"/>
    </format>
    <format dxfId="2527">
      <pivotArea dataOnly="0" labelOnly="1" outline="0" axis="axisValues" fieldPosition="0"/>
    </format>
    <format dxfId="2526">
      <pivotArea dataOnly="0" labelOnly="1" outline="0" axis="axisValues" fieldPosition="0"/>
    </format>
    <format dxfId="2525">
      <pivotArea grandRow="1" outline="0" collapsedLevelsAreSubtotals="1" fieldPosition="0"/>
    </format>
    <format dxfId="2524">
      <pivotArea grandRow="1" outline="0" collapsedLevelsAreSubtotals="1" fieldPosition="0"/>
    </format>
    <format dxfId="2523">
      <pivotArea type="all" dataOnly="0" outline="0" fieldPosition="0"/>
    </format>
    <format dxfId="2522">
      <pivotArea outline="0" collapsedLevelsAreSubtotals="1" fieldPosition="0"/>
    </format>
    <format dxfId="2521">
      <pivotArea field="2" type="button" dataOnly="0" labelOnly="1" outline="0" axis="axisRow" fieldPosition="0"/>
    </format>
    <format dxfId="2520">
      <pivotArea dataOnly="0" labelOnly="1" fieldPosition="0">
        <references count="1">
          <reference field="2" count="0"/>
        </references>
      </pivotArea>
    </format>
    <format dxfId="2519">
      <pivotArea dataOnly="0" labelOnly="1" grandRow="1" outline="0" fieldPosition="0"/>
    </format>
    <format dxfId="2518">
      <pivotArea dataOnly="0" labelOnly="1" outline="0" axis="axisValues" fieldPosition="0"/>
    </format>
    <format dxfId="2517">
      <pivotArea type="all" dataOnly="0" outline="0" fieldPosition="0"/>
    </format>
    <format dxfId="2516">
      <pivotArea outline="0" collapsedLevelsAreSubtotals="1" fieldPosition="0"/>
    </format>
    <format dxfId="2515">
      <pivotArea field="2" type="button" dataOnly="0" labelOnly="1" outline="0" axis="axisRow" fieldPosition="0"/>
    </format>
    <format dxfId="2514">
      <pivotArea dataOnly="0" labelOnly="1" fieldPosition="0">
        <references count="1">
          <reference field="2" count="0"/>
        </references>
      </pivotArea>
    </format>
    <format dxfId="2513">
      <pivotArea dataOnly="0" labelOnly="1" grandRow="1" outline="0" fieldPosition="0"/>
    </format>
    <format dxfId="2512">
      <pivotArea dataOnly="0" labelOnly="1" outline="0" axis="axisValues" fieldPosition="0"/>
    </format>
    <format dxfId="1100">
      <pivotArea outline="0" fieldPosition="0">
        <references count="1">
          <reference field="4294967294" count="1">
            <x v="0"/>
          </reference>
        </references>
      </pivotArea>
    </format>
  </formats>
  <chartFormats count="1">
    <chartFormat chart="15"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18E067B-F38F-4277-A094-CB1D123E9078}" name="Actual Expense vs Expense Budget" cacheId="1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8" rowHeaderCaption="Month">
  <location ref="A19:D32" firstHeaderRow="0" firstDataRow="1" firstDataCol="1"/>
  <pivotFields count="25">
    <pivotField showAll="0"/>
    <pivotField showAll="0"/>
    <pivotField showAll="0">
      <items count="11">
        <item x="4"/>
        <item x="5"/>
        <item x="2"/>
        <item x="7"/>
        <item x="8"/>
        <item x="0"/>
        <item x="3"/>
        <item x="1"/>
        <item x="9"/>
        <item x="6"/>
        <item t="default"/>
      </items>
    </pivotField>
    <pivotField showAll="0">
      <items count="6">
        <item x="1"/>
        <item x="4"/>
        <item x="3"/>
        <item x="0"/>
        <item x="2"/>
        <item t="default"/>
      </items>
    </pivotField>
    <pivotField showAll="0">
      <items count="6">
        <item x="0"/>
        <item x="1"/>
        <item x="4"/>
        <item x="2"/>
        <item x="3"/>
        <item t="default"/>
      </items>
    </pivotField>
    <pivotField showAll="0"/>
    <pivotField axis="axisRow" showAll="0">
      <items count="13">
        <item x="0"/>
        <item x="1"/>
        <item x="2"/>
        <item x="3"/>
        <item x="4"/>
        <item x="5"/>
        <item x="6"/>
        <item x="7"/>
        <item x="8"/>
        <item x="9"/>
        <item x="10"/>
        <item x="11"/>
        <item t="default"/>
      </items>
    </pivotField>
    <pivotField numFmtId="166" showAll="0"/>
    <pivotField numFmtId="166" showAll="0"/>
    <pivotField dataField="1" numFmtId="166" showAll="0"/>
    <pivotField dataField="1" numFmtId="166" showAll="0"/>
    <pivotField numFmtId="167" showAll="0"/>
    <pivotField numFmtId="167" showAll="0"/>
    <pivotField numFmtId="167" showAll="0"/>
    <pivotField numFmtId="166" showAll="0"/>
    <pivotField numFmtId="167" showAll="0"/>
    <pivotField numFmtId="167" showAll="0"/>
    <pivotField numFmtId="167" showAll="0"/>
    <pivotField numFmtId="167" showAll="0"/>
    <pivotField numFmtId="167" showAll="0"/>
    <pivotField showAl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s>
  <rowFields count="1">
    <field x="6"/>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Actual_Expense" fld="10" baseField="6" baseItem="0" numFmtId="166"/>
    <dataField name=" Expense_Budget" fld="9" baseField="6" baseItem="0" numFmtId="166"/>
    <dataField name="Sum of Expense Variance %" fld="23" baseField="6" baseItem="0" numFmtId="167"/>
  </dataFields>
  <formats count="18">
    <format dxfId="2547">
      <pivotArea field="6" type="button" dataOnly="0" labelOnly="1" outline="0" axis="axisRow" fieldPosition="0"/>
    </format>
    <format dxfId="2546">
      <pivotArea dataOnly="0" labelOnly="1" grandRow="1" outline="0" fieldPosition="0"/>
    </format>
    <format dxfId="2545">
      <pivotArea grandRow="1" outline="0" collapsedLevelsAreSubtotals="1" fieldPosition="0"/>
    </format>
    <format dxfId="2544">
      <pivotArea grandRow="1" outline="0" collapsedLevelsAreSubtotals="1" fieldPosition="0"/>
    </format>
    <format dxfId="2543">
      <pivotArea dataOnly="0" labelOnly="1" outline="0" fieldPosition="0">
        <references count="1">
          <reference field="4294967294" count="3">
            <x v="0"/>
            <x v="1"/>
            <x v="2"/>
          </reference>
        </references>
      </pivotArea>
    </format>
    <format dxfId="2542">
      <pivotArea dataOnly="0" labelOnly="1" outline="0" fieldPosition="0">
        <references count="1">
          <reference field="4294967294" count="3">
            <x v="0"/>
            <x v="1"/>
            <x v="2"/>
          </reference>
        </references>
      </pivotArea>
    </format>
    <format dxfId="2541">
      <pivotArea dataOnly="0" labelOnly="1" outline="0" fieldPosition="0">
        <references count="1">
          <reference field="4294967294" count="3">
            <x v="0"/>
            <x v="1"/>
            <x v="2"/>
          </reference>
        </references>
      </pivotArea>
    </format>
    <format dxfId="2540">
      <pivotArea type="all" dataOnly="0" outline="0" fieldPosition="0"/>
    </format>
    <format dxfId="2539">
      <pivotArea outline="0" collapsedLevelsAreSubtotals="1" fieldPosition="0"/>
    </format>
    <format dxfId="2538">
      <pivotArea field="6" type="button" dataOnly="0" labelOnly="1" outline="0" axis="axisRow" fieldPosition="0"/>
    </format>
    <format dxfId="2537">
      <pivotArea dataOnly="0" labelOnly="1" grandRow="1" outline="0" fieldPosition="0"/>
    </format>
    <format dxfId="2536">
      <pivotArea dataOnly="0" labelOnly="1" outline="0" fieldPosition="0">
        <references count="1">
          <reference field="4294967294" count="3">
            <x v="0"/>
            <x v="1"/>
            <x v="2"/>
          </reference>
        </references>
      </pivotArea>
    </format>
    <format dxfId="2535">
      <pivotArea type="all" dataOnly="0" outline="0" fieldPosition="0"/>
    </format>
    <format dxfId="2534">
      <pivotArea outline="0" collapsedLevelsAreSubtotals="1" fieldPosition="0"/>
    </format>
    <format dxfId="2533">
      <pivotArea field="6" type="button" dataOnly="0" labelOnly="1" outline="0" axis="axisRow" fieldPosition="0"/>
    </format>
    <format dxfId="2532">
      <pivotArea dataOnly="0" labelOnly="1" grandRow="1" outline="0" fieldPosition="0"/>
    </format>
    <format dxfId="2531">
      <pivotArea dataOnly="0" labelOnly="1" outline="0" fieldPosition="0">
        <references count="1">
          <reference field="4294967294" count="3">
            <x v="0"/>
            <x v="1"/>
            <x v="2"/>
          </reference>
        </references>
      </pivotArea>
    </format>
    <format dxfId="2530">
      <pivotArea outline="0" fieldPosition="0">
        <references count="1">
          <reference field="4294967294" count="1">
            <x v="2"/>
          </reference>
        </references>
      </pivotArea>
    </format>
  </formats>
  <chartFormats count="3">
    <chartFormat chart="25" format="41" series="1">
      <pivotArea type="data" outline="0" fieldPosition="0">
        <references count="1">
          <reference field="4294967294" count="1" selected="0">
            <x v="0"/>
          </reference>
        </references>
      </pivotArea>
    </chartFormat>
    <chartFormat chart="25" format="42" series="1">
      <pivotArea type="data" outline="0" fieldPosition="0">
        <references count="1">
          <reference field="4294967294" count="1" selected="0">
            <x v="1"/>
          </reference>
        </references>
      </pivotArea>
    </chartFormat>
    <chartFormat chart="25" format="43"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F335A2A-06AE-44F7-85D6-D62B6FCD7C83}" name="Executive KPI's"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1:D52" firstHeaderRow="0" firstDataRow="1" firstDataCol="0"/>
  <pivotFields count="25">
    <pivotField showAll="0"/>
    <pivotField showAll="0"/>
    <pivotField showAll="0">
      <items count="11">
        <item x="4"/>
        <item x="5"/>
        <item x="2"/>
        <item x="7"/>
        <item x="8"/>
        <item x="0"/>
        <item x="3"/>
        <item x="1"/>
        <item x="9"/>
        <item x="6"/>
        <item t="default"/>
      </items>
    </pivotField>
    <pivotField showAll="0">
      <items count="6">
        <item x="1"/>
        <item x="4"/>
        <item x="3"/>
        <item x="0"/>
        <item x="2"/>
        <item t="default"/>
      </items>
    </pivotField>
    <pivotField showAll="0">
      <items count="6">
        <item x="0"/>
        <item x="1"/>
        <item x="4"/>
        <item x="2"/>
        <item x="3"/>
        <item t="default"/>
      </items>
    </pivotField>
    <pivotField showAll="0"/>
    <pivotField showAll="0"/>
    <pivotField numFmtId="166" showAll="0"/>
    <pivotField dataField="1" numFmtId="166" showAll="0"/>
    <pivotField numFmtId="166" showAll="0"/>
    <pivotField numFmtId="166" showAll="0"/>
    <pivotField numFmtId="167" showAll="0"/>
    <pivotField dataField="1" numFmtId="167" showAll="0"/>
    <pivotField dataField="1" numFmtId="167" showAll="0"/>
    <pivotField numFmtId="166" showAll="0"/>
    <pivotField numFmtId="167" showAll="0"/>
    <pivotField numFmtId="167" showAll="0"/>
    <pivotField numFmtId="167" showAll="0"/>
    <pivotField numFmtId="167" showAll="0"/>
    <pivotField numFmtId="167" showAll="0"/>
    <pivotField showAl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s>
  <rowItems count="1">
    <i/>
  </rowItems>
  <colFields count="1">
    <field x="-2"/>
  </colFields>
  <colItems count="4">
    <i>
      <x/>
    </i>
    <i i="1">
      <x v="1"/>
    </i>
    <i i="2">
      <x v="2"/>
    </i>
    <i i="3">
      <x v="3"/>
    </i>
  </colItems>
  <dataFields count="4">
    <dataField name="Sum of Actual Sales" fld="8" baseField="0" baseItem="1" numFmtId="169"/>
    <dataField name="Sum of △Expense  Variance" fld="12" baseField="0" baseItem="1" numFmtId="170"/>
    <dataField name="Sum of Actual Net Profit" fld="13" baseField="0" baseItem="2" numFmtId="169"/>
    <dataField name="Sum of Net Profit Margin" fld="22" baseField="0" baseItem="1" numFmtId="167"/>
  </dataFields>
  <formats count="14">
    <format dxfId="2561">
      <pivotArea dataOnly="0" labelOnly="1" outline="0" fieldPosition="0">
        <references count="1">
          <reference field="4294967294" count="1">
            <x v="0"/>
          </reference>
        </references>
      </pivotArea>
    </format>
    <format dxfId="2560">
      <pivotArea dataOnly="0" labelOnly="1" outline="0" fieldPosition="0">
        <references count="1">
          <reference field="4294967294" count="3">
            <x v="1"/>
            <x v="2"/>
            <x v="3"/>
          </reference>
        </references>
      </pivotArea>
    </format>
    <format dxfId="2559">
      <pivotArea dataOnly="0" labelOnly="1" outline="0" fieldPosition="0">
        <references count="1">
          <reference field="4294967294" count="3">
            <x v="1"/>
            <x v="2"/>
            <x v="3"/>
          </reference>
        </references>
      </pivotArea>
    </format>
    <format dxfId="2558">
      <pivotArea type="all" dataOnly="0" outline="0" fieldPosition="0"/>
    </format>
    <format dxfId="2557">
      <pivotArea outline="0" collapsedLevelsAreSubtotals="1" fieldPosition="0"/>
    </format>
    <format dxfId="2556">
      <pivotArea dataOnly="0" labelOnly="1" outline="0" fieldPosition="0">
        <references count="1">
          <reference field="4294967294" count="4">
            <x v="0"/>
            <x v="1"/>
            <x v="2"/>
            <x v="3"/>
          </reference>
        </references>
      </pivotArea>
    </format>
    <format dxfId="2555">
      <pivotArea type="all" dataOnly="0" outline="0" fieldPosition="0"/>
    </format>
    <format dxfId="2554">
      <pivotArea outline="0" collapsedLevelsAreSubtotals="1" fieldPosition="0"/>
    </format>
    <format dxfId="2553">
      <pivotArea dataOnly="0" labelOnly="1" outline="0" fieldPosition="0">
        <references count="1">
          <reference field="4294967294" count="4">
            <x v="0"/>
            <x v="1"/>
            <x v="2"/>
            <x v="3"/>
          </reference>
        </references>
      </pivotArea>
    </format>
    <format dxfId="2552">
      <pivotArea outline="0" collapsedLevelsAreSubtotals="1" fieldPosition="0">
        <references count="1">
          <reference field="4294967294" count="1" selected="0">
            <x v="0"/>
          </reference>
        </references>
      </pivotArea>
    </format>
    <format dxfId="2551">
      <pivotArea outline="0" fieldPosition="0">
        <references count="1">
          <reference field="4294967294" count="1">
            <x v="2"/>
          </reference>
        </references>
      </pivotArea>
    </format>
    <format dxfId="2550">
      <pivotArea outline="0" fieldPosition="0">
        <references count="1">
          <reference field="4294967294" count="1">
            <x v="0"/>
          </reference>
        </references>
      </pivotArea>
    </format>
    <format dxfId="2549">
      <pivotArea outline="0" fieldPosition="0">
        <references count="1">
          <reference field="4294967294" count="1">
            <x v="3"/>
          </reference>
        </references>
      </pivotArea>
    </format>
    <format dxfId="2548">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A7E94310-304C-4017-9217-5A97E8FA6959}" sourceName="Branch">
  <pivotTables>
    <pivotTable tabId="7" name="Actual Sales_vs_Sales_Budget"/>
    <pivotTable tabId="7" name="Actual Expense vs Expense Budget"/>
    <pivotTable tabId="7" name="Monthly  Profitability Trend"/>
    <pivotTable tabId="7" name="Executive KPI's"/>
    <pivotTable tabId="7" name="PivotTable1"/>
    <pivotTable tabId="7" name="Total Sales By Products"/>
    <pivotTable tabId="7" name="PivotTable5"/>
    <pivotTable tabId="7" name="PivotTable3"/>
    <pivotTable tabId="7" name="PivotTable4"/>
  </pivotTables>
  <data>
    <tabular pivotCacheId="1851886938">
      <items count="5">
        <i x="1" s="1"/>
        <i x="4" s="1"/>
        <i x="3"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anager" xr10:uid="{A8B08FA9-0E17-4A72-8E1F-D3F848EAC28B}" sourceName="Sales Manager">
  <pivotTables>
    <pivotTable tabId="7" name="Actual Sales_vs_Sales_Budget"/>
    <pivotTable tabId="7" name="Actual Expense vs Expense Budget"/>
    <pivotTable tabId="7" name="Monthly  Profitability Trend"/>
    <pivotTable tabId="7" name="Executive KPI's"/>
    <pivotTable tabId="7" name="PivotTable1"/>
    <pivotTable tabId="7" name="Total Sales By Products"/>
    <pivotTable tabId="7" name="PivotTable5"/>
    <pivotTable tabId="7" name="PivotTable3"/>
    <pivotTable tabId="7" name="PivotTable4"/>
  </pivotTables>
  <data>
    <tabular pivotCacheId="1851886938">
      <items count="5">
        <i x="0" s="1"/>
        <i x="1" s="1"/>
        <i x="4"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21390979-63C5-4D86-A23B-25B93C30486E}" sourceName="Product">
  <pivotTables>
    <pivotTable tabId="7" name="Actual Sales_vs_Sales_Budget"/>
    <pivotTable tabId="7" name="Actual Expense vs Expense Budget"/>
    <pivotTable tabId="7" name="Monthly  Profitability Trend"/>
    <pivotTable tabId="7" name="Executive KPI's"/>
    <pivotTable tabId="7" name="PivotTable1"/>
    <pivotTable tabId="7" name="Profit Variance Percentage by Branch"/>
    <pivotTable tabId="7" name="Expense Variance By Manager"/>
    <pivotTable tabId="7" name="PivotTable4"/>
    <pivotTable tabId="7" name="PivotTable5"/>
  </pivotTables>
  <data>
    <tabular pivotCacheId="1851886938">
      <items count="10">
        <i x="4" s="1"/>
        <i x="5" s="1"/>
        <i x="2" s="1"/>
        <i x="7" s="1"/>
        <i x="8" s="1"/>
        <i x="0" s="1"/>
        <i x="3" s="1"/>
        <i x="1" s="1"/>
        <i x="9"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3" xr10:uid="{809F098A-A02E-4389-9A7B-173CCA998063}" cache="Slicer_Branch" caption="Branch" startItem="2" style="Slicer Style 1" rowHeight="234950"/>
  <slicer name="Sales Manager 3" xr10:uid="{454C9709-659F-4EB0-A8ED-63B388AD2E33}" cache="Slicer_Sales_Manager" caption="Sales Manager" style="Slicer Style 1" rowHeight="234950"/>
  <slicer name="Product 3" xr10:uid="{76B7FDC5-3C75-4473-BD67-C23EFF0A9FFB}" cache="Slicer_Product" caption="Product" startItem="2" style="Slicer Style 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2" xr10:uid="{6EA56601-DB81-4068-B170-7AF6220C9B74}" cache="Slicer_Branch" caption="Branch" startItem="2" style="Slicer Style 1" rowHeight="234950"/>
  <slicer name="Sales Manager 2" xr10:uid="{7FB75C06-550E-401F-8204-A1F84CB4FA65}" cache="Slicer_Sales_Manager" caption="Sales Manager" style="Slicer Style 1" rowHeight="234950"/>
  <slicer name="Product 2" xr10:uid="{3B6B7F10-41E3-40DA-B82A-C3270AAE1C70}" cache="Slicer_Product" caption="Product" startItem="2"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F357233-F450-4A3D-A6AA-137F2131B91B}" name="Master_Table" displayName="Master_Table" ref="A1:U601" totalsRowShown="0" headerRowDxfId="2409" dataDxfId="2408" headerRowCellStyle="Comma">
  <autoFilter ref="A1:U601" xr:uid="{4F357233-F450-4A3D-A6AA-137F2131B91B}"/>
  <tableColumns count="21">
    <tableColumn id="1" xr3:uid="{C2B07516-D1CE-4B6F-822D-6DFA9F04EFAB}" name="SN" dataDxfId="2407"/>
    <tableColumn id="2" xr3:uid="{894B4034-793D-4F73-AAA8-D76CBB36C2D2}" name="ProdCode" dataDxfId="2406"/>
    <tableColumn id="3" xr3:uid="{72C75642-7B34-44C5-BF01-5CEC111862CF}" name="Product" dataDxfId="2405">
      <calculatedColumnFormula>VLOOKUP(B2,Products!A:C,2,FALSE)</calculatedColumnFormula>
    </tableColumn>
    <tableColumn id="4" xr3:uid="{B7FB0C64-7A0D-4BAF-9498-6836DF49C043}" name="Branch" dataDxfId="2404"/>
    <tableColumn id="5" xr3:uid="{C0DB8DFA-60C5-4502-A41B-5394C7185A45}" name="Sales Manager" dataDxfId="2403" dataCellStyle="Comma">
      <calculatedColumnFormula>_xlfn.XLOOKUP(D2,'Sales Manager'!$A$2:$A$6,'Sales Manager'!$B$2:$B$6,"")</calculatedColumnFormula>
    </tableColumn>
    <tableColumn id="6" xr3:uid="{41124E5C-2FD2-45A7-8376-ABBEF7983CAF}" name="MonthCode" dataDxfId="2402"/>
    <tableColumn id="7" xr3:uid="{8E9F7C76-B189-4AB9-8388-498651C01350}" name="Month" dataDxfId="2401"/>
    <tableColumn id="8" xr3:uid="{42EE73BB-5AC4-42BC-B173-6EC898942222}" name="Sales Budget" dataDxfId="2400" dataCellStyle="Comma"/>
    <tableColumn id="9" xr3:uid="{638947CF-7118-407B-B8BF-F241CBAB52AF}" name="Actual Sales" dataDxfId="2399" dataCellStyle="Comma"/>
    <tableColumn id="10" xr3:uid="{DFB5E4BF-86C3-4A59-B785-F0ABD159DF16}" name="Expense Budget" dataDxfId="2398" dataCellStyle="Comma">
      <calculatedColumnFormula array="1">_xlfn.XLOOKUP(C2&amp;D2&amp;F2,Expense!$C$2:$C$601&amp;Expense!$D$2:$D$601&amp;Expense!$E$2:$E$601,Expense!$G$2:$G$601,"")</calculatedColumnFormula>
    </tableColumn>
    <tableColumn id="11" xr3:uid="{1CFD44F0-240B-463A-A82D-3AB92CE155CA}" name="Actual Expense" dataDxfId="2397" dataCellStyle="Comma">
      <calculatedColumnFormula array="1">_xlfn.XLOOKUP(C2&amp;D2&amp;F2,Expense!$C$2:$C$601&amp;Expense!$D$2:$D$601&amp;Expense!$E$2:$E$601,Expense!$H$2:$H$601,"")</calculatedColumnFormula>
    </tableColumn>
    <tableColumn id="12" xr3:uid="{67C3E57E-7ADC-4C22-BB6E-99E15DA1485D}" name="△Sales Variance" dataDxfId="2396">
      <calculatedColumnFormula>I2-H2</calculatedColumnFormula>
    </tableColumn>
    <tableColumn id="13" xr3:uid="{80C5241B-B765-46B7-9F5B-441E7A2D4C14}" name="△Expense  Variance" dataDxfId="2395">
      <calculatedColumnFormula>Master_Table[[#This Row],[Expense Budget]]-Master_Table[[#This Row],[Actual Expense]]</calculatedColumnFormula>
    </tableColumn>
    <tableColumn id="14" xr3:uid="{5D8901C2-849F-41E1-AB10-3F77B3B002FC}" name="Actual Net Profit" dataDxfId="2394">
      <calculatedColumnFormula>I2-K2</calculatedColumnFormula>
    </tableColumn>
    <tableColumn id="15" xr3:uid="{9809261D-8EAF-4BB1-9ED0-13BFF99B1CF5}" name="Budget Net Profit" dataDxfId="2393">
      <calculatedColumnFormula>H2-J2</calculatedColumnFormula>
    </tableColumn>
    <tableColumn id="16" xr3:uid="{EC3176A1-14A6-481A-A2FF-4BB407D7E85C}" name="Net Profit Variance" dataDxfId="2392">
      <calculatedColumnFormula>N2-O2</calculatedColumnFormula>
    </tableColumn>
    <tableColumn id="17" xr3:uid="{DFB0FCC0-F1C2-44B4-B58A-24259B03E4BA}" name="Sales_Variance %" dataDxfId="2391">
      <calculatedColumnFormula>Master_Table[[#This Row],[△Sales Variance]]/Master_Table[[#This Row],[Sales Budget]]</calculatedColumnFormula>
    </tableColumn>
    <tableColumn id="18" xr3:uid="{4A7ABFDE-0434-4101-A9FF-21E9E3016126}" name="Expense_Variance %" dataDxfId="2390">
      <calculatedColumnFormula>Master_Table[[#This Row],[△Expense  Variance]]/Master_Table[[#This Row],[Expense Budget]]</calculatedColumnFormula>
    </tableColumn>
    <tableColumn id="19" xr3:uid="{60424331-6EE2-4D18-A1B7-33D67BF6598B}" name="Net_Profit_Variance %" dataDxfId="2389">
      <calculatedColumnFormula>Master_Table[[#This Row],[Net Profit Variance]]/Master_Table[[#This Row],[Budget Net Profit]]</calculatedColumnFormula>
    </tableColumn>
    <tableColumn id="20" xr3:uid="{269E2746-F271-4ABE-ADCD-5196CD081124}" name="Net _Profit_Margin" dataDxfId="2388">
      <calculatedColumnFormula>Master_Table[[#This Row],[Actual Net Profit]]/Master_Table[[#This Row],[Actual Sales]]</calculatedColumnFormula>
    </tableColumn>
    <tableColumn id="21" xr3:uid="{19D02D23-E63D-4120-B101-3E5A8C992EC6}" name="Product_Branch" dataDxfId="2387">
      <calculatedColumnFormula>_xlfn.TEXTJOIN(" - ", TRUE, Master_Table[[#This Row],[Product]], Master_Table[[#This Row],[Branch]])</calculatedColumnFormula>
    </tableColumn>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8AC4E9A-C9CB-4C9A-BD4D-E8E7C7ED4231}">
  <we:reference id="WA200009404" version="1.0.0.8" store="Omex" storeType="OMEX"/>
  <we:alternateReferences>
    <we:reference id="WA200009404" version="1.0.0.8" store="WA200009404" storeType="OMEX"/>
  </we:alternateReferences>
  <we:properties>
    <we:property name="claude.fileId" value="&quot;3f3f885d-a5db-4b83-a662-019a8ec0be2a&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928C9-6E13-4246-B23A-6BA3649E6172}">
  <dimension ref="A1:U601"/>
  <sheetViews>
    <sheetView topLeftCell="F1" zoomScale="79" workbookViewId="0">
      <pane ySplit="1" topLeftCell="A19" activePane="bottomLeft" state="frozen"/>
      <selection pane="bottomLeft" activeCell="I604" sqref="I604"/>
    </sheetView>
  </sheetViews>
  <sheetFormatPr defaultColWidth="9" defaultRowHeight="12" x14ac:dyDescent="0.3"/>
  <cols>
    <col min="1" max="1" width="6.109375" style="2" customWidth="1"/>
    <col min="2" max="2" width="12.5546875" style="2" customWidth="1"/>
    <col min="3" max="3" width="12.6640625" style="1" customWidth="1"/>
    <col min="4" max="4" width="9.6640625" style="1" customWidth="1"/>
    <col min="5" max="5" width="17.88671875" style="1" customWidth="1"/>
    <col min="6" max="6" width="14.33203125" style="3" customWidth="1"/>
    <col min="7" max="7" width="9.44140625" style="1" customWidth="1"/>
    <col min="8" max="8" width="17.44140625" style="11" customWidth="1"/>
    <col min="9" max="9" width="17.33203125" style="11" customWidth="1"/>
    <col min="10" max="10" width="20.5546875" style="4" customWidth="1"/>
    <col min="11" max="11" width="19.6640625" style="4" customWidth="1"/>
    <col min="12" max="12" width="20.21875" style="15" customWidth="1"/>
    <col min="13" max="13" width="23.88671875" style="15" customWidth="1"/>
    <col min="14" max="14" width="21.21875" style="16" customWidth="1"/>
    <col min="15" max="15" width="23.33203125" style="1" customWidth="1"/>
    <col min="16" max="16" width="23.44140625" style="1" customWidth="1"/>
    <col min="17" max="17" width="19.109375" style="1" customWidth="1"/>
    <col min="18" max="18" width="18.6640625" style="1" customWidth="1"/>
    <col min="19" max="19" width="23.88671875" style="1" customWidth="1"/>
    <col min="20" max="20" width="16.6640625" style="1" customWidth="1"/>
    <col min="21" max="21" width="14.6640625" style="1" customWidth="1"/>
    <col min="22" max="16384" width="9" style="1"/>
  </cols>
  <sheetData>
    <row r="1" spans="1:21" ht="18.45" customHeight="1" x14ac:dyDescent="0.3">
      <c r="A1" s="7" t="s">
        <v>0</v>
      </c>
      <c r="B1" s="7" t="s">
        <v>1</v>
      </c>
      <c r="C1" s="8" t="s">
        <v>2</v>
      </c>
      <c r="D1" s="8" t="s">
        <v>3</v>
      </c>
      <c r="E1" s="10" t="s">
        <v>36</v>
      </c>
      <c r="F1" s="9" t="s">
        <v>4</v>
      </c>
      <c r="G1" s="8" t="s">
        <v>5</v>
      </c>
      <c r="H1" s="10" t="s">
        <v>6</v>
      </c>
      <c r="I1" s="10" t="s">
        <v>7</v>
      </c>
      <c r="J1" s="10" t="s">
        <v>25</v>
      </c>
      <c r="K1" s="10" t="s">
        <v>26</v>
      </c>
      <c r="L1" s="13" t="s">
        <v>46</v>
      </c>
      <c r="M1" s="13" t="s">
        <v>47</v>
      </c>
      <c r="N1" s="13" t="s">
        <v>48</v>
      </c>
      <c r="O1" s="13" t="s">
        <v>58</v>
      </c>
      <c r="P1" s="13" t="s">
        <v>49</v>
      </c>
      <c r="Q1" s="27" t="s">
        <v>63</v>
      </c>
      <c r="R1" s="27" t="s">
        <v>64</v>
      </c>
      <c r="S1" s="27" t="s">
        <v>65</v>
      </c>
      <c r="T1" s="27" t="s">
        <v>66</v>
      </c>
      <c r="U1" s="27" t="s">
        <v>75</v>
      </c>
    </row>
    <row r="2" spans="1:21" ht="14.4" x14ac:dyDescent="0.3">
      <c r="A2" s="2">
        <v>1</v>
      </c>
      <c r="B2" s="2">
        <v>100</v>
      </c>
      <c r="C2" s="1" t="str">
        <f>VLOOKUP(B2,Products!A:C,2,FALSE)</f>
        <v>Mango</v>
      </c>
      <c r="D2" s="1" t="s">
        <v>8</v>
      </c>
      <c r="E2" s="4" t="str">
        <f>_xlfn.XLOOKUP(D2,'Sales Manager'!$A$2:$A$6,'Sales Manager'!$B$2:$B$6,"")</f>
        <v>Adaora Okafor</v>
      </c>
      <c r="F2" s="3">
        <v>1</v>
      </c>
      <c r="G2" s="1" t="s">
        <v>9</v>
      </c>
      <c r="H2" s="11">
        <v>1000</v>
      </c>
      <c r="I2" s="11">
        <v>2159</v>
      </c>
      <c r="J2" s="11" cm="1">
        <f t="array" ref="J2">_xlfn.XLOOKUP(C2&amp;D2&amp;F2,Expense!$C$2:$C$601&amp;Expense!$D$2:$D$601&amp;Expense!$E$2:$E$601,Expense!$G$2:$G$601,"")</f>
        <v>500</v>
      </c>
      <c r="K2" s="11" cm="1">
        <f t="array" ref="K2">_xlfn.XLOOKUP(C2&amp;D2&amp;F2,Expense!$C$2:$C$601&amp;Expense!$D$2:$D$601&amp;Expense!$E$2:$E$601,Expense!$H$2:$H$601,"")</f>
        <v>500</v>
      </c>
      <c r="L2" s="14">
        <f>I2-H2</f>
        <v>1159</v>
      </c>
      <c r="M2" s="14">
        <f>Master_Table[[#This Row],[Expense Budget]]-Master_Table[[#This Row],[Actual Expense]]</f>
        <v>0</v>
      </c>
      <c r="N2" s="16">
        <f>I2-K2</f>
        <v>1659</v>
      </c>
      <c r="O2" s="29">
        <f t="shared" ref="O2:O65" si="0">H2-J2</f>
        <v>500</v>
      </c>
      <c r="P2" s="22">
        <f>N2-O2</f>
        <v>1159</v>
      </c>
      <c r="Q2" s="28">
        <f>Master_Table[[#This Row],[△Sales Variance]]/Master_Table[[#This Row],[Sales Budget]]</f>
        <v>1.159</v>
      </c>
      <c r="R2" s="28">
        <f>Master_Table[[#This Row],[△Expense  Variance]]/Master_Table[[#This Row],[Expense Budget]]</f>
        <v>0</v>
      </c>
      <c r="S2" s="28">
        <f>Master_Table[[#This Row],[Net Profit Variance]]/Master_Table[[#This Row],[Budget Net Profit]]</f>
        <v>2.3180000000000001</v>
      </c>
      <c r="T2" s="28">
        <f>Master_Table[[#This Row],[Actual Net Profit]]/Master_Table[[#This Row],[Actual Sales]]</f>
        <v>0.76841130152848536</v>
      </c>
      <c r="U2" s="28" t="str">
        <f>_xlfn.TEXTJOIN(" - ", TRUE, Master_Table[[#This Row],[Product]], Master_Table[[#This Row],[Branch]])</f>
        <v>Mango - Lagos</v>
      </c>
    </row>
    <row r="3" spans="1:21" ht="14.4" x14ac:dyDescent="0.3">
      <c r="A3" s="2">
        <v>2</v>
      </c>
      <c r="B3" s="2">
        <v>100</v>
      </c>
      <c r="C3" s="1" t="str">
        <f>VLOOKUP(B3,Products!A:C,2,FALSE)</f>
        <v>Mango</v>
      </c>
      <c r="D3" s="1" t="s">
        <v>8</v>
      </c>
      <c r="E3" s="4" t="str">
        <f>_xlfn.XLOOKUP(D3,'Sales Manager'!$A$2:$A$6,'Sales Manager'!$B$2:$B$6,"")</f>
        <v>Adaora Okafor</v>
      </c>
      <c r="F3" s="3">
        <v>2</v>
      </c>
      <c r="G3" s="1" t="s">
        <v>10</v>
      </c>
      <c r="H3" s="11">
        <v>3000</v>
      </c>
      <c r="I3" s="11">
        <v>5422</v>
      </c>
      <c r="J3" s="11" cm="1">
        <f t="array" ref="J3">_xlfn.XLOOKUP(C3&amp;D3&amp;F3,Expense!$C$2:$C$601&amp;Expense!$D$2:$D$601&amp;Expense!$E$2:$E$601,Expense!$G$2:$G$601,"")</f>
        <v>600</v>
      </c>
      <c r="K3" s="11" cm="1">
        <f t="array" ref="K3">_xlfn.XLOOKUP(C3&amp;D3&amp;F3,Expense!$C$2:$C$601&amp;Expense!$D$2:$D$601&amp;Expense!$E$2:$E$601,Expense!$H$2:$H$601,"")</f>
        <v>500</v>
      </c>
      <c r="L3" s="14">
        <f t="shared" ref="L3:L66" si="1">I3-H3</f>
        <v>2422</v>
      </c>
      <c r="M3" s="14">
        <f>Master_Table[[#This Row],[Expense Budget]]-Master_Table[[#This Row],[Actual Expense]]</f>
        <v>100</v>
      </c>
      <c r="N3" s="16">
        <f t="shared" ref="N3:N66" si="2">I3-K3</f>
        <v>4922</v>
      </c>
      <c r="O3" s="29">
        <f t="shared" si="0"/>
        <v>2400</v>
      </c>
      <c r="P3" s="16">
        <f t="shared" ref="P3:P65" si="3">N3-O3</f>
        <v>2522</v>
      </c>
      <c r="Q3" s="28">
        <f>Master_Table[[#This Row],[△Sales Variance]]/Master_Table[[#This Row],[Sales Budget]]</f>
        <v>0.80733333333333335</v>
      </c>
      <c r="R3" s="28">
        <f>Master_Table[[#This Row],[△Expense  Variance]]/Master_Table[[#This Row],[Expense Budget]]</f>
        <v>0.16666666666666666</v>
      </c>
      <c r="S3" s="28">
        <f>Master_Table[[#This Row],[Net Profit Variance]]/Master_Table[[#This Row],[Budget Net Profit]]</f>
        <v>1.0508333333333333</v>
      </c>
      <c r="T3" s="28">
        <f>Master_Table[[#This Row],[Actual Net Profit]]/Master_Table[[#This Row],[Actual Sales]]</f>
        <v>0.90778310586499444</v>
      </c>
      <c r="U3" s="28" t="str">
        <f>_xlfn.TEXTJOIN(" - ", TRUE, Master_Table[[#This Row],[Product]], Master_Table[[#This Row],[Branch]])</f>
        <v>Mango - Lagos</v>
      </c>
    </row>
    <row r="4" spans="1:21" ht="14.4" x14ac:dyDescent="0.3">
      <c r="A4" s="2">
        <v>3</v>
      </c>
      <c r="B4" s="2">
        <v>100</v>
      </c>
      <c r="C4" s="1" t="str">
        <f>VLOOKUP(B4,Products!A:C,2,FALSE)</f>
        <v>Mango</v>
      </c>
      <c r="D4" s="1" t="s">
        <v>8</v>
      </c>
      <c r="E4" s="4" t="str">
        <f>_xlfn.XLOOKUP(D4,'Sales Manager'!$A$2:$A$6,'Sales Manager'!$B$2:$B$6,"")</f>
        <v>Adaora Okafor</v>
      </c>
      <c r="F4" s="3">
        <v>3</v>
      </c>
      <c r="G4" s="1" t="s">
        <v>11</v>
      </c>
      <c r="H4" s="11">
        <v>5000</v>
      </c>
      <c r="I4" s="11">
        <v>7998</v>
      </c>
      <c r="J4" s="11" cm="1">
        <f t="array" ref="J4">_xlfn.XLOOKUP(C4&amp;D4&amp;F4,Expense!$C$2:$C$601&amp;Expense!$D$2:$D$601&amp;Expense!$E$2:$E$601,Expense!$G$2:$G$601,"")</f>
        <v>2500</v>
      </c>
      <c r="K4" s="11" cm="1">
        <f t="array" ref="K4">_xlfn.XLOOKUP(C4&amp;D4&amp;F4,Expense!$C$2:$C$601&amp;Expense!$D$2:$D$601&amp;Expense!$E$2:$E$601,Expense!$H$2:$H$601,"")</f>
        <v>2200</v>
      </c>
      <c r="L4" s="14">
        <f t="shared" si="1"/>
        <v>2998</v>
      </c>
      <c r="M4" s="14">
        <f>Master_Table[[#This Row],[Expense Budget]]-Master_Table[[#This Row],[Actual Expense]]</f>
        <v>300</v>
      </c>
      <c r="N4" s="16">
        <f t="shared" si="2"/>
        <v>5798</v>
      </c>
      <c r="O4" s="29">
        <f t="shared" si="0"/>
        <v>2500</v>
      </c>
      <c r="P4" s="16">
        <f t="shared" si="3"/>
        <v>3298</v>
      </c>
      <c r="Q4" s="28">
        <f>Master_Table[[#This Row],[△Sales Variance]]/Master_Table[[#This Row],[Sales Budget]]</f>
        <v>0.59960000000000002</v>
      </c>
      <c r="R4" s="28">
        <f>Master_Table[[#This Row],[△Expense  Variance]]/Master_Table[[#This Row],[Expense Budget]]</f>
        <v>0.12</v>
      </c>
      <c r="S4" s="28">
        <f>Master_Table[[#This Row],[Net Profit Variance]]/Master_Table[[#This Row],[Budget Net Profit]]</f>
        <v>1.3191999999999999</v>
      </c>
      <c r="T4" s="28">
        <f>Master_Table[[#This Row],[Actual Net Profit]]/Master_Table[[#This Row],[Actual Sales]]</f>
        <v>0.72493123280820204</v>
      </c>
      <c r="U4" s="28" t="str">
        <f>_xlfn.TEXTJOIN(" - ", TRUE, Master_Table[[#This Row],[Product]], Master_Table[[#This Row],[Branch]])</f>
        <v>Mango - Lagos</v>
      </c>
    </row>
    <row r="5" spans="1:21" ht="14.4" x14ac:dyDescent="0.3">
      <c r="A5" s="2">
        <v>4</v>
      </c>
      <c r="B5" s="2">
        <v>100</v>
      </c>
      <c r="C5" s="1" t="str">
        <f>VLOOKUP(B5,Products!A:C,2,FALSE)</f>
        <v>Mango</v>
      </c>
      <c r="D5" s="1" t="s">
        <v>8</v>
      </c>
      <c r="E5" s="4" t="str">
        <f>_xlfn.XLOOKUP(D5,'Sales Manager'!$A$2:$A$6,'Sales Manager'!$B$2:$B$6,"")</f>
        <v>Adaora Okafor</v>
      </c>
      <c r="F5" s="3">
        <v>4</v>
      </c>
      <c r="G5" s="1" t="s">
        <v>12</v>
      </c>
      <c r="H5" s="11">
        <v>7000</v>
      </c>
      <c r="I5" s="11">
        <v>2265</v>
      </c>
      <c r="J5" s="11" cm="1">
        <f t="array" ref="J5">_xlfn.XLOOKUP(C5&amp;D5&amp;F5,Expense!$C$2:$C$601&amp;Expense!$D$2:$D$601&amp;Expense!$E$2:$E$601,Expense!$G$2:$G$601,"")</f>
        <v>1750</v>
      </c>
      <c r="K5" s="11" cm="1">
        <f t="array" ref="K5">_xlfn.XLOOKUP(C5&amp;D5&amp;F5,Expense!$C$2:$C$601&amp;Expense!$D$2:$D$601&amp;Expense!$E$2:$E$601,Expense!$H$2:$H$601,"")</f>
        <v>1350</v>
      </c>
      <c r="L5" s="14">
        <f t="shared" si="1"/>
        <v>-4735</v>
      </c>
      <c r="M5" s="14">
        <f>Master_Table[[#This Row],[Expense Budget]]-Master_Table[[#This Row],[Actual Expense]]</f>
        <v>400</v>
      </c>
      <c r="N5" s="16">
        <f t="shared" si="2"/>
        <v>915</v>
      </c>
      <c r="O5" s="29">
        <f t="shared" si="0"/>
        <v>5250</v>
      </c>
      <c r="P5" s="16">
        <f t="shared" si="3"/>
        <v>-4335</v>
      </c>
      <c r="Q5" s="28">
        <f>Master_Table[[#This Row],[△Sales Variance]]/Master_Table[[#This Row],[Sales Budget]]</f>
        <v>-0.67642857142857138</v>
      </c>
      <c r="R5" s="28">
        <f>Master_Table[[#This Row],[△Expense  Variance]]/Master_Table[[#This Row],[Expense Budget]]</f>
        <v>0.22857142857142856</v>
      </c>
      <c r="S5" s="28">
        <f>Master_Table[[#This Row],[Net Profit Variance]]/Master_Table[[#This Row],[Budget Net Profit]]</f>
        <v>-0.82571428571428573</v>
      </c>
      <c r="T5" s="28">
        <f>Master_Table[[#This Row],[Actual Net Profit]]/Master_Table[[#This Row],[Actual Sales]]</f>
        <v>0.40397350993377484</v>
      </c>
      <c r="U5" s="28" t="str">
        <f>_xlfn.TEXTJOIN(" - ", TRUE, Master_Table[[#This Row],[Product]], Master_Table[[#This Row],[Branch]])</f>
        <v>Mango - Lagos</v>
      </c>
    </row>
    <row r="6" spans="1:21" ht="14.4" x14ac:dyDescent="0.3">
      <c r="A6" s="2">
        <v>5</v>
      </c>
      <c r="B6" s="2">
        <v>100</v>
      </c>
      <c r="C6" s="1" t="str">
        <f>VLOOKUP(B6,Products!A:C,2,FALSE)</f>
        <v>Mango</v>
      </c>
      <c r="D6" s="1" t="s">
        <v>8</v>
      </c>
      <c r="E6" s="4" t="str">
        <f>_xlfn.XLOOKUP(D6,'Sales Manager'!$A$2:$A$6,'Sales Manager'!$B$2:$B$6,"")</f>
        <v>Adaora Okafor</v>
      </c>
      <c r="F6" s="3">
        <v>5</v>
      </c>
      <c r="G6" s="1" t="s">
        <v>13</v>
      </c>
      <c r="H6" s="11">
        <v>5000</v>
      </c>
      <c r="I6" s="11">
        <v>4766</v>
      </c>
      <c r="J6" s="11" cm="1">
        <f t="array" ref="J6">_xlfn.XLOOKUP(C6&amp;D6&amp;F6,Expense!$C$2:$C$601&amp;Expense!$D$2:$D$601&amp;Expense!$E$2:$E$601,Expense!$G$2:$G$601,"")</f>
        <v>1000</v>
      </c>
      <c r="K6" s="11" cm="1">
        <f t="array" ref="K6">_xlfn.XLOOKUP(C6&amp;D6&amp;F6,Expense!$C$2:$C$601&amp;Expense!$D$2:$D$601&amp;Expense!$E$2:$E$601,Expense!$H$2:$H$601,"")</f>
        <v>600</v>
      </c>
      <c r="L6" s="14">
        <f>I6-H6</f>
        <v>-234</v>
      </c>
      <c r="M6" s="14">
        <f>Master_Table[[#This Row],[Expense Budget]]-Master_Table[[#This Row],[Actual Expense]]</f>
        <v>400</v>
      </c>
      <c r="N6" s="16">
        <f t="shared" si="2"/>
        <v>4166</v>
      </c>
      <c r="O6" s="29">
        <f t="shared" si="0"/>
        <v>4000</v>
      </c>
      <c r="P6" s="16">
        <f t="shared" si="3"/>
        <v>166</v>
      </c>
      <c r="Q6" s="28">
        <f>Master_Table[[#This Row],[△Sales Variance]]/Master_Table[[#This Row],[Sales Budget]]</f>
        <v>-4.6800000000000001E-2</v>
      </c>
      <c r="R6" s="28">
        <f>Master_Table[[#This Row],[△Expense  Variance]]/Master_Table[[#This Row],[Expense Budget]]</f>
        <v>0.4</v>
      </c>
      <c r="S6" s="28">
        <f>Master_Table[[#This Row],[Net Profit Variance]]/Master_Table[[#This Row],[Budget Net Profit]]</f>
        <v>4.1500000000000002E-2</v>
      </c>
      <c r="T6" s="28">
        <f>Master_Table[[#This Row],[Actual Net Profit]]/Master_Table[[#This Row],[Actual Sales]]</f>
        <v>0.87410826689047416</v>
      </c>
      <c r="U6" s="28" t="str">
        <f>_xlfn.TEXTJOIN(" - ", TRUE, Master_Table[[#This Row],[Product]], Master_Table[[#This Row],[Branch]])</f>
        <v>Mango - Lagos</v>
      </c>
    </row>
    <row r="7" spans="1:21" ht="14.4" x14ac:dyDescent="0.3">
      <c r="A7" s="2">
        <v>6</v>
      </c>
      <c r="B7" s="2">
        <v>100</v>
      </c>
      <c r="C7" s="1" t="str">
        <f>VLOOKUP(B7,Products!A:C,2,FALSE)</f>
        <v>Mango</v>
      </c>
      <c r="D7" s="1" t="s">
        <v>8</v>
      </c>
      <c r="E7" s="4" t="str">
        <f>_xlfn.XLOOKUP(D7,'Sales Manager'!$A$2:$A$6,'Sales Manager'!$B$2:$B$6,"")</f>
        <v>Adaora Okafor</v>
      </c>
      <c r="F7" s="3">
        <v>6</v>
      </c>
      <c r="G7" s="1" t="s">
        <v>14</v>
      </c>
      <c r="H7" s="11">
        <v>7000</v>
      </c>
      <c r="I7" s="11">
        <v>8121</v>
      </c>
      <c r="J7" s="11" cm="1">
        <f t="array" ref="J7">_xlfn.XLOOKUP(C7&amp;D7&amp;F7,Expense!$C$2:$C$601&amp;Expense!$D$2:$D$601&amp;Expense!$E$2:$E$601,Expense!$G$2:$G$601,"")</f>
        <v>1400</v>
      </c>
      <c r="K7" s="11" cm="1">
        <f t="array" ref="K7">_xlfn.XLOOKUP(C7&amp;D7&amp;F7,Expense!$C$2:$C$601&amp;Expense!$D$2:$D$601&amp;Expense!$E$2:$E$601,Expense!$H$2:$H$601,"")</f>
        <v>1300</v>
      </c>
      <c r="L7" s="14">
        <f t="shared" si="1"/>
        <v>1121</v>
      </c>
      <c r="M7" s="14">
        <f>Master_Table[[#This Row],[Expense Budget]]-Master_Table[[#This Row],[Actual Expense]]</f>
        <v>100</v>
      </c>
      <c r="N7" s="16">
        <f t="shared" si="2"/>
        <v>6821</v>
      </c>
      <c r="O7" s="29">
        <f t="shared" si="0"/>
        <v>5600</v>
      </c>
      <c r="P7" s="16">
        <f t="shared" si="3"/>
        <v>1221</v>
      </c>
      <c r="Q7" s="28">
        <f>Master_Table[[#This Row],[△Sales Variance]]/Master_Table[[#This Row],[Sales Budget]]</f>
        <v>0.16014285714285714</v>
      </c>
      <c r="R7" s="28">
        <f>Master_Table[[#This Row],[△Expense  Variance]]/Master_Table[[#This Row],[Expense Budget]]</f>
        <v>7.1428571428571425E-2</v>
      </c>
      <c r="S7" s="28">
        <f>Master_Table[[#This Row],[Net Profit Variance]]/Master_Table[[#This Row],[Budget Net Profit]]</f>
        <v>0.21803571428571428</v>
      </c>
      <c r="T7" s="28">
        <f>Master_Table[[#This Row],[Actual Net Profit]]/Master_Table[[#This Row],[Actual Sales]]</f>
        <v>0.83992119197143211</v>
      </c>
      <c r="U7" s="28" t="str">
        <f>_xlfn.TEXTJOIN(" - ", TRUE, Master_Table[[#This Row],[Product]], Master_Table[[#This Row],[Branch]])</f>
        <v>Mango - Lagos</v>
      </c>
    </row>
    <row r="8" spans="1:21" ht="14.4" x14ac:dyDescent="0.3">
      <c r="A8" s="2">
        <v>7</v>
      </c>
      <c r="B8" s="2">
        <v>100</v>
      </c>
      <c r="C8" s="1" t="str">
        <f>VLOOKUP(B8,Products!A:C,2,FALSE)</f>
        <v>Mango</v>
      </c>
      <c r="D8" s="1" t="s">
        <v>8</v>
      </c>
      <c r="E8" s="4" t="str">
        <f>_xlfn.XLOOKUP(D8,'Sales Manager'!$A$2:$A$6,'Sales Manager'!$B$2:$B$6,"")</f>
        <v>Adaora Okafor</v>
      </c>
      <c r="F8" s="3">
        <v>7</v>
      </c>
      <c r="G8" s="1" t="s">
        <v>15</v>
      </c>
      <c r="H8" s="11">
        <v>5000</v>
      </c>
      <c r="I8" s="11">
        <v>8342</v>
      </c>
      <c r="J8" s="11" cm="1">
        <f t="array" ref="J8">_xlfn.XLOOKUP(C8&amp;D8&amp;F8,Expense!$C$2:$C$601&amp;Expense!$D$2:$D$601&amp;Expense!$E$2:$E$601,Expense!$G$2:$G$601,"")</f>
        <v>2500</v>
      </c>
      <c r="K8" s="11" cm="1">
        <f t="array" ref="K8">_xlfn.XLOOKUP(C8&amp;D8&amp;F8,Expense!$C$2:$C$601&amp;Expense!$D$2:$D$601&amp;Expense!$E$2:$E$601,Expense!$H$2:$H$601,"")</f>
        <v>2400</v>
      </c>
      <c r="L8" s="14">
        <f t="shared" si="1"/>
        <v>3342</v>
      </c>
      <c r="M8" s="14">
        <f>Master_Table[[#This Row],[Expense Budget]]-Master_Table[[#This Row],[Actual Expense]]</f>
        <v>100</v>
      </c>
      <c r="N8" s="16">
        <f t="shared" si="2"/>
        <v>5942</v>
      </c>
      <c r="O8" s="29">
        <f t="shared" si="0"/>
        <v>2500</v>
      </c>
      <c r="P8" s="16">
        <f t="shared" si="3"/>
        <v>3442</v>
      </c>
      <c r="Q8" s="28">
        <f>Master_Table[[#This Row],[△Sales Variance]]/Master_Table[[#This Row],[Sales Budget]]</f>
        <v>0.66839999999999999</v>
      </c>
      <c r="R8" s="28">
        <f>Master_Table[[#This Row],[△Expense  Variance]]/Master_Table[[#This Row],[Expense Budget]]</f>
        <v>0.04</v>
      </c>
      <c r="S8" s="28">
        <f>Master_Table[[#This Row],[Net Profit Variance]]/Master_Table[[#This Row],[Budget Net Profit]]</f>
        <v>1.3768</v>
      </c>
      <c r="T8" s="28">
        <f>Master_Table[[#This Row],[Actual Net Profit]]/Master_Table[[#This Row],[Actual Sales]]</f>
        <v>0.71229920882282427</v>
      </c>
      <c r="U8" s="28" t="str">
        <f>_xlfn.TEXTJOIN(" - ", TRUE, Master_Table[[#This Row],[Product]], Master_Table[[#This Row],[Branch]])</f>
        <v>Mango - Lagos</v>
      </c>
    </row>
    <row r="9" spans="1:21" ht="14.4" x14ac:dyDescent="0.3">
      <c r="A9" s="2">
        <v>8</v>
      </c>
      <c r="B9" s="2">
        <v>100</v>
      </c>
      <c r="C9" s="1" t="str">
        <f>VLOOKUP(B9,Products!A:C,2,FALSE)</f>
        <v>Mango</v>
      </c>
      <c r="D9" s="1" t="s">
        <v>8</v>
      </c>
      <c r="E9" s="4" t="str">
        <f>_xlfn.XLOOKUP(D9,'Sales Manager'!$A$2:$A$6,'Sales Manager'!$B$2:$B$6,"")</f>
        <v>Adaora Okafor</v>
      </c>
      <c r="F9" s="3">
        <v>8</v>
      </c>
      <c r="G9" s="1" t="s">
        <v>16</v>
      </c>
      <c r="H9" s="11">
        <v>1000</v>
      </c>
      <c r="I9" s="11">
        <v>6412</v>
      </c>
      <c r="J9" s="11" cm="1">
        <f t="array" ref="J9">_xlfn.XLOOKUP(C9&amp;D9&amp;F9,Expense!$C$2:$C$601&amp;Expense!$D$2:$D$601&amp;Expense!$E$2:$E$601,Expense!$G$2:$G$601,"")</f>
        <v>333.33333333333331</v>
      </c>
      <c r="K9" s="11" cm="1">
        <f t="array" ref="K9">_xlfn.XLOOKUP(C9&amp;D9&amp;F9,Expense!$C$2:$C$601&amp;Expense!$D$2:$D$601&amp;Expense!$E$2:$E$601,Expense!$H$2:$H$601,"")</f>
        <v>266.66666666666669</v>
      </c>
      <c r="L9" s="14">
        <f t="shared" si="1"/>
        <v>5412</v>
      </c>
      <c r="M9" s="14">
        <f>Master_Table[[#This Row],[Expense Budget]]-Master_Table[[#This Row],[Actual Expense]]</f>
        <v>66.666666666666629</v>
      </c>
      <c r="N9" s="16">
        <f t="shared" si="2"/>
        <v>6145.333333333333</v>
      </c>
      <c r="O9" s="29">
        <f t="shared" si="0"/>
        <v>666.66666666666674</v>
      </c>
      <c r="P9" s="16">
        <f t="shared" si="3"/>
        <v>5478.6666666666661</v>
      </c>
      <c r="Q9" s="28">
        <f>Master_Table[[#This Row],[△Sales Variance]]/Master_Table[[#This Row],[Sales Budget]]</f>
        <v>5.4119999999999999</v>
      </c>
      <c r="R9" s="28">
        <f>Master_Table[[#This Row],[△Expense  Variance]]/Master_Table[[#This Row],[Expense Budget]]</f>
        <v>0.1999999999999999</v>
      </c>
      <c r="S9" s="28">
        <f>Master_Table[[#This Row],[Net Profit Variance]]/Master_Table[[#This Row],[Budget Net Profit]]</f>
        <v>8.2179999999999982</v>
      </c>
      <c r="T9" s="28">
        <f>Master_Table[[#This Row],[Actual Net Profit]]/Master_Table[[#This Row],[Actual Sales]]</f>
        <v>0.95841131212310249</v>
      </c>
      <c r="U9" s="28" t="str">
        <f>_xlfn.TEXTJOIN(" - ", TRUE, Master_Table[[#This Row],[Product]], Master_Table[[#This Row],[Branch]])</f>
        <v>Mango - Lagos</v>
      </c>
    </row>
    <row r="10" spans="1:21" ht="14.4" x14ac:dyDescent="0.3">
      <c r="A10" s="2">
        <v>9</v>
      </c>
      <c r="B10" s="2">
        <v>100</v>
      </c>
      <c r="C10" s="1" t="str">
        <f>VLOOKUP(B10,Products!A:C,2,FALSE)</f>
        <v>Mango</v>
      </c>
      <c r="D10" s="1" t="s">
        <v>8</v>
      </c>
      <c r="E10" s="4" t="str">
        <f>_xlfn.XLOOKUP(D10,'Sales Manager'!$A$2:$A$6,'Sales Manager'!$B$2:$B$6,"")</f>
        <v>Adaora Okafor</v>
      </c>
      <c r="F10" s="3">
        <v>9</v>
      </c>
      <c r="G10" s="1" t="s">
        <v>17</v>
      </c>
      <c r="H10" s="11">
        <v>8000</v>
      </c>
      <c r="I10" s="11">
        <v>3324</v>
      </c>
      <c r="J10" s="11" cm="1">
        <f t="array" ref="J10">_xlfn.XLOOKUP(C10&amp;D10&amp;F10,Expense!$C$2:$C$601&amp;Expense!$D$2:$D$601&amp;Expense!$E$2:$E$601,Expense!$G$2:$G$601,"")</f>
        <v>1600</v>
      </c>
      <c r="K10" s="11" cm="1">
        <f t="array" ref="K10">_xlfn.XLOOKUP(C10&amp;D10&amp;F10,Expense!$C$2:$C$601&amp;Expense!$D$2:$D$601&amp;Expense!$E$2:$E$601,Expense!$H$2:$H$601,"")</f>
        <v>1400</v>
      </c>
      <c r="L10" s="14">
        <f t="shared" si="1"/>
        <v>-4676</v>
      </c>
      <c r="M10" s="14">
        <f>Master_Table[[#This Row],[Expense Budget]]-Master_Table[[#This Row],[Actual Expense]]</f>
        <v>200</v>
      </c>
      <c r="N10" s="16">
        <f t="shared" si="2"/>
        <v>1924</v>
      </c>
      <c r="O10" s="29">
        <f t="shared" si="0"/>
        <v>6400</v>
      </c>
      <c r="P10" s="16">
        <f t="shared" si="3"/>
        <v>-4476</v>
      </c>
      <c r="Q10" s="28">
        <f>Master_Table[[#This Row],[△Sales Variance]]/Master_Table[[#This Row],[Sales Budget]]</f>
        <v>-0.58450000000000002</v>
      </c>
      <c r="R10" s="28">
        <f>Master_Table[[#This Row],[△Expense  Variance]]/Master_Table[[#This Row],[Expense Budget]]</f>
        <v>0.125</v>
      </c>
      <c r="S10" s="28">
        <f>Master_Table[[#This Row],[Net Profit Variance]]/Master_Table[[#This Row],[Budget Net Profit]]</f>
        <v>-0.69937499999999997</v>
      </c>
      <c r="T10" s="28">
        <f>Master_Table[[#This Row],[Actual Net Profit]]/Master_Table[[#This Row],[Actual Sales]]</f>
        <v>0.57882069795427193</v>
      </c>
      <c r="U10" s="28" t="str">
        <f>_xlfn.TEXTJOIN(" - ", TRUE, Master_Table[[#This Row],[Product]], Master_Table[[#This Row],[Branch]])</f>
        <v>Mango - Lagos</v>
      </c>
    </row>
    <row r="11" spans="1:21" ht="14.4" x14ac:dyDescent="0.3">
      <c r="A11" s="2">
        <v>10</v>
      </c>
      <c r="B11" s="2">
        <v>100</v>
      </c>
      <c r="C11" s="1" t="str">
        <f>VLOOKUP(B11,Products!A:C,2,FALSE)</f>
        <v>Mango</v>
      </c>
      <c r="D11" s="1" t="s">
        <v>8</v>
      </c>
      <c r="E11" s="4" t="str">
        <f>_xlfn.XLOOKUP(D11,'Sales Manager'!$A$2:$A$6,'Sales Manager'!$B$2:$B$6,"")</f>
        <v>Adaora Okafor</v>
      </c>
      <c r="F11" s="3">
        <v>10</v>
      </c>
      <c r="G11" s="1" t="s">
        <v>18</v>
      </c>
      <c r="H11" s="11">
        <v>7000</v>
      </c>
      <c r="I11" s="11">
        <v>3142</v>
      </c>
      <c r="J11" s="11" cm="1">
        <f t="array" ref="J11">_xlfn.XLOOKUP(C11&amp;D11&amp;F11,Expense!$C$2:$C$601&amp;Expense!$D$2:$D$601&amp;Expense!$E$2:$E$601,Expense!$G$2:$G$601,"")</f>
        <v>1400</v>
      </c>
      <c r="K11" s="11" cm="1">
        <f t="array" ref="K11">_xlfn.XLOOKUP(C11&amp;D11&amp;F11,Expense!$C$2:$C$601&amp;Expense!$D$2:$D$601&amp;Expense!$E$2:$E$601,Expense!$H$2:$H$601,"")</f>
        <v>1000</v>
      </c>
      <c r="L11" s="14">
        <f t="shared" si="1"/>
        <v>-3858</v>
      </c>
      <c r="M11" s="14">
        <f>Master_Table[[#This Row],[Expense Budget]]-Master_Table[[#This Row],[Actual Expense]]</f>
        <v>400</v>
      </c>
      <c r="N11" s="16">
        <f t="shared" si="2"/>
        <v>2142</v>
      </c>
      <c r="O11" s="29">
        <f t="shared" si="0"/>
        <v>5600</v>
      </c>
      <c r="P11" s="16">
        <f t="shared" si="3"/>
        <v>-3458</v>
      </c>
      <c r="Q11" s="28">
        <f>Master_Table[[#This Row],[△Sales Variance]]/Master_Table[[#This Row],[Sales Budget]]</f>
        <v>-0.55114285714285716</v>
      </c>
      <c r="R11" s="28">
        <f>Master_Table[[#This Row],[△Expense  Variance]]/Master_Table[[#This Row],[Expense Budget]]</f>
        <v>0.2857142857142857</v>
      </c>
      <c r="S11" s="28">
        <f>Master_Table[[#This Row],[Net Profit Variance]]/Master_Table[[#This Row],[Budget Net Profit]]</f>
        <v>-0.61750000000000005</v>
      </c>
      <c r="T11" s="28">
        <f>Master_Table[[#This Row],[Actual Net Profit]]/Master_Table[[#This Row],[Actual Sales]]</f>
        <v>0.68173138128580524</v>
      </c>
      <c r="U11" s="28" t="str">
        <f>_xlfn.TEXTJOIN(" - ", TRUE, Master_Table[[#This Row],[Product]], Master_Table[[#This Row],[Branch]])</f>
        <v>Mango - Lagos</v>
      </c>
    </row>
    <row r="12" spans="1:21" ht="14.4" x14ac:dyDescent="0.3">
      <c r="A12" s="2">
        <v>11</v>
      </c>
      <c r="B12" s="2">
        <v>100</v>
      </c>
      <c r="C12" s="1" t="str">
        <f>VLOOKUP(B12,Products!A:C,2,FALSE)</f>
        <v>Mango</v>
      </c>
      <c r="D12" s="1" t="s">
        <v>8</v>
      </c>
      <c r="E12" s="4" t="str">
        <f>_xlfn.XLOOKUP(D12,'Sales Manager'!$A$2:$A$6,'Sales Manager'!$B$2:$B$6,"")</f>
        <v>Adaora Okafor</v>
      </c>
      <c r="F12" s="3">
        <v>11</v>
      </c>
      <c r="G12" s="1" t="s">
        <v>19</v>
      </c>
      <c r="H12" s="11">
        <v>2000</v>
      </c>
      <c r="I12" s="11">
        <v>3349</v>
      </c>
      <c r="J12" s="11" cm="1">
        <f t="array" ref="J12">_xlfn.XLOOKUP(C12&amp;D12&amp;F12,Expense!$C$2:$C$601&amp;Expense!$D$2:$D$601&amp;Expense!$E$2:$E$601,Expense!$G$2:$G$601,"")</f>
        <v>666.66666666666663</v>
      </c>
      <c r="K12" s="11" cm="1">
        <f t="array" ref="K12">_xlfn.XLOOKUP(C12&amp;D12&amp;F12,Expense!$C$2:$C$601&amp;Expense!$D$2:$D$601&amp;Expense!$E$2:$E$601,Expense!$H$2:$H$601,"")</f>
        <v>333.33333333333337</v>
      </c>
      <c r="L12" s="14">
        <f t="shared" si="1"/>
        <v>1349</v>
      </c>
      <c r="M12" s="14">
        <f>Master_Table[[#This Row],[Expense Budget]]-Master_Table[[#This Row],[Actual Expense]]</f>
        <v>333.33333333333326</v>
      </c>
      <c r="N12" s="16">
        <f t="shared" si="2"/>
        <v>3015.6666666666665</v>
      </c>
      <c r="O12" s="29">
        <f t="shared" si="0"/>
        <v>1333.3333333333335</v>
      </c>
      <c r="P12" s="16">
        <f t="shared" si="3"/>
        <v>1682.333333333333</v>
      </c>
      <c r="Q12" s="28">
        <f>Master_Table[[#This Row],[△Sales Variance]]/Master_Table[[#This Row],[Sales Budget]]</f>
        <v>0.67449999999999999</v>
      </c>
      <c r="R12" s="28">
        <f>Master_Table[[#This Row],[△Expense  Variance]]/Master_Table[[#This Row],[Expense Budget]]</f>
        <v>0.49999999999999989</v>
      </c>
      <c r="S12" s="28">
        <f>Master_Table[[#This Row],[Net Profit Variance]]/Master_Table[[#This Row],[Budget Net Profit]]</f>
        <v>1.2617499999999997</v>
      </c>
      <c r="T12" s="28">
        <f>Master_Table[[#This Row],[Actual Net Profit]]/Master_Table[[#This Row],[Actual Sales]]</f>
        <v>0.90046780133373139</v>
      </c>
      <c r="U12" s="28" t="str">
        <f>_xlfn.TEXTJOIN(" - ", TRUE, Master_Table[[#This Row],[Product]], Master_Table[[#This Row],[Branch]])</f>
        <v>Mango - Lagos</v>
      </c>
    </row>
    <row r="13" spans="1:21" ht="14.4" x14ac:dyDescent="0.3">
      <c r="A13" s="2">
        <v>12</v>
      </c>
      <c r="B13" s="2">
        <v>100</v>
      </c>
      <c r="C13" s="1" t="str">
        <f>VLOOKUP(B13,Products!A:C,2,FALSE)</f>
        <v>Mango</v>
      </c>
      <c r="D13" s="1" t="s">
        <v>8</v>
      </c>
      <c r="E13" s="4" t="str">
        <f>_xlfn.XLOOKUP(D13,'Sales Manager'!$A$2:$A$6,'Sales Manager'!$B$2:$B$6,"")</f>
        <v>Adaora Okafor</v>
      </c>
      <c r="F13" s="3">
        <v>12</v>
      </c>
      <c r="G13" s="1" t="s">
        <v>20</v>
      </c>
      <c r="H13" s="11">
        <v>2000</v>
      </c>
      <c r="I13" s="11">
        <v>9853</v>
      </c>
      <c r="J13" s="11" cm="1">
        <f t="array" ref="J13">_xlfn.XLOOKUP(C13&amp;D13&amp;F13,Expense!$C$2:$C$601&amp;Expense!$D$2:$D$601&amp;Expense!$E$2:$E$601,Expense!$G$2:$G$601,"")</f>
        <v>400</v>
      </c>
      <c r="K13" s="11" cm="1">
        <f t="array" ref="K13">_xlfn.XLOOKUP(C13&amp;D13&amp;F13,Expense!$C$2:$C$601&amp;Expense!$D$2:$D$601&amp;Expense!$E$2:$E$601,Expense!$H$2:$H$601,"")</f>
        <v>400</v>
      </c>
      <c r="L13" s="14">
        <f t="shared" si="1"/>
        <v>7853</v>
      </c>
      <c r="M13" s="14">
        <f>Master_Table[[#This Row],[Expense Budget]]-Master_Table[[#This Row],[Actual Expense]]</f>
        <v>0</v>
      </c>
      <c r="N13" s="16">
        <f t="shared" si="2"/>
        <v>9453</v>
      </c>
      <c r="O13" s="29">
        <f t="shared" si="0"/>
        <v>1600</v>
      </c>
      <c r="P13" s="16">
        <f t="shared" si="3"/>
        <v>7853</v>
      </c>
      <c r="Q13" s="28">
        <f>Master_Table[[#This Row],[△Sales Variance]]/Master_Table[[#This Row],[Sales Budget]]</f>
        <v>3.9264999999999999</v>
      </c>
      <c r="R13" s="28">
        <f>Master_Table[[#This Row],[△Expense  Variance]]/Master_Table[[#This Row],[Expense Budget]]</f>
        <v>0</v>
      </c>
      <c r="S13" s="28">
        <f>Master_Table[[#This Row],[Net Profit Variance]]/Master_Table[[#This Row],[Budget Net Profit]]</f>
        <v>4.9081250000000001</v>
      </c>
      <c r="T13" s="28">
        <f>Master_Table[[#This Row],[Actual Net Profit]]/Master_Table[[#This Row],[Actual Sales]]</f>
        <v>0.95940322744341822</v>
      </c>
      <c r="U13" s="28" t="str">
        <f>_xlfn.TEXTJOIN(" - ", TRUE, Master_Table[[#This Row],[Product]], Master_Table[[#This Row],[Branch]])</f>
        <v>Mango - Lagos</v>
      </c>
    </row>
    <row r="14" spans="1:21" ht="14.4" x14ac:dyDescent="0.3">
      <c r="A14" s="2">
        <v>13</v>
      </c>
      <c r="B14" s="2">
        <v>100</v>
      </c>
      <c r="C14" s="1" t="str">
        <f>VLOOKUP(B14,Products!A:C,2,FALSE)</f>
        <v>Mango</v>
      </c>
      <c r="D14" s="1" t="s">
        <v>21</v>
      </c>
      <c r="E14" s="4" t="str">
        <f>_xlfn.XLOOKUP(D14,'Sales Manager'!$A$2:$A$6,'Sales Manager'!$B$2:$B$6,"")</f>
        <v>Emeka Nwosu</v>
      </c>
      <c r="F14" s="3">
        <f>F2</f>
        <v>1</v>
      </c>
      <c r="G14" s="1" t="str">
        <f>G2</f>
        <v>Jan</v>
      </c>
      <c r="H14" s="11">
        <v>5000</v>
      </c>
      <c r="I14" s="11">
        <v>3515</v>
      </c>
      <c r="J14" s="11" cm="1">
        <f t="array" ref="J14">_xlfn.XLOOKUP(C14&amp;D14&amp;F14,Expense!$C$2:$C$601&amp;Expense!$D$2:$D$601&amp;Expense!$E$2:$E$601,Expense!$G$2:$G$601,"")</f>
        <v>2500</v>
      </c>
      <c r="K14" s="11" cm="1">
        <f t="array" ref="K14">_xlfn.XLOOKUP(C14&amp;D14&amp;F14,Expense!$C$2:$C$601&amp;Expense!$D$2:$D$601&amp;Expense!$E$2:$E$601,Expense!$H$2:$H$601,"")</f>
        <v>2400</v>
      </c>
      <c r="L14" s="14">
        <f t="shared" si="1"/>
        <v>-1485</v>
      </c>
      <c r="M14" s="14">
        <f>Master_Table[[#This Row],[Expense Budget]]-Master_Table[[#This Row],[Actual Expense]]</f>
        <v>100</v>
      </c>
      <c r="N14" s="16">
        <f t="shared" si="2"/>
        <v>1115</v>
      </c>
      <c r="O14" s="29">
        <f t="shared" si="0"/>
        <v>2500</v>
      </c>
      <c r="P14" s="16">
        <f t="shared" si="3"/>
        <v>-1385</v>
      </c>
      <c r="Q14" s="28">
        <f>Master_Table[[#This Row],[△Sales Variance]]/Master_Table[[#This Row],[Sales Budget]]</f>
        <v>-0.29699999999999999</v>
      </c>
      <c r="R14" s="28">
        <f>Master_Table[[#This Row],[△Expense  Variance]]/Master_Table[[#This Row],[Expense Budget]]</f>
        <v>0.04</v>
      </c>
      <c r="S14" s="28">
        <f>Master_Table[[#This Row],[Net Profit Variance]]/Master_Table[[#This Row],[Budget Net Profit]]</f>
        <v>-0.55400000000000005</v>
      </c>
      <c r="T14" s="28">
        <f>Master_Table[[#This Row],[Actual Net Profit]]/Master_Table[[#This Row],[Actual Sales]]</f>
        <v>0.31721194879089615</v>
      </c>
      <c r="U14" s="28" t="str">
        <f>_xlfn.TEXTJOIN(" - ", TRUE, Master_Table[[#This Row],[Product]], Master_Table[[#This Row],[Branch]])</f>
        <v>Mango - Abuja</v>
      </c>
    </row>
    <row r="15" spans="1:21" ht="14.4" x14ac:dyDescent="0.3">
      <c r="A15" s="2">
        <v>14</v>
      </c>
      <c r="B15" s="2">
        <v>100</v>
      </c>
      <c r="C15" s="1" t="str">
        <f>VLOOKUP(B15,Products!A:C,2,FALSE)</f>
        <v>Mango</v>
      </c>
      <c r="D15" s="1" t="s">
        <v>21</v>
      </c>
      <c r="E15" s="4" t="str">
        <f>_xlfn.XLOOKUP(D15,'Sales Manager'!$A$2:$A$6,'Sales Manager'!$B$2:$B$6,"")</f>
        <v>Emeka Nwosu</v>
      </c>
      <c r="F15" s="3">
        <f t="shared" ref="F15:G30" si="4">F3</f>
        <v>2</v>
      </c>
      <c r="G15" s="1" t="str">
        <f t="shared" si="4"/>
        <v>Feb</v>
      </c>
      <c r="H15" s="11">
        <v>2000</v>
      </c>
      <c r="I15" s="11">
        <v>6147</v>
      </c>
      <c r="J15" s="11" cm="1">
        <f t="array" ref="J15">_xlfn.XLOOKUP(C15&amp;D15&amp;F15,Expense!$C$2:$C$601&amp;Expense!$D$2:$D$601&amp;Expense!$E$2:$E$601,Expense!$G$2:$G$601,"")</f>
        <v>400</v>
      </c>
      <c r="K15" s="11" cm="1">
        <f t="array" ref="K15">_xlfn.XLOOKUP(C15&amp;D15&amp;F15,Expense!$C$2:$C$601&amp;Expense!$D$2:$D$601&amp;Expense!$E$2:$E$601,Expense!$H$2:$H$601,"")</f>
        <v>500</v>
      </c>
      <c r="L15" s="14">
        <f t="shared" si="1"/>
        <v>4147</v>
      </c>
      <c r="M15" s="14">
        <f>Master_Table[[#This Row],[Expense Budget]]-Master_Table[[#This Row],[Actual Expense]]</f>
        <v>-100</v>
      </c>
      <c r="N15" s="16">
        <f t="shared" si="2"/>
        <v>5647</v>
      </c>
      <c r="O15" s="29">
        <f t="shared" si="0"/>
        <v>1600</v>
      </c>
      <c r="P15" s="16">
        <f t="shared" si="3"/>
        <v>4047</v>
      </c>
      <c r="Q15" s="28">
        <f>Master_Table[[#This Row],[△Sales Variance]]/Master_Table[[#This Row],[Sales Budget]]</f>
        <v>2.0735000000000001</v>
      </c>
      <c r="R15" s="28">
        <f>Master_Table[[#This Row],[△Expense  Variance]]/Master_Table[[#This Row],[Expense Budget]]</f>
        <v>-0.25</v>
      </c>
      <c r="S15" s="28">
        <f>Master_Table[[#This Row],[Net Profit Variance]]/Master_Table[[#This Row],[Budget Net Profit]]</f>
        <v>2.5293749999999999</v>
      </c>
      <c r="T15" s="28">
        <f>Master_Table[[#This Row],[Actual Net Profit]]/Master_Table[[#This Row],[Actual Sales]]</f>
        <v>0.9186595087034326</v>
      </c>
      <c r="U15" s="28" t="str">
        <f>_xlfn.TEXTJOIN(" - ", TRUE, Master_Table[[#This Row],[Product]], Master_Table[[#This Row],[Branch]])</f>
        <v>Mango - Abuja</v>
      </c>
    </row>
    <row r="16" spans="1:21" ht="14.4" x14ac:dyDescent="0.3">
      <c r="A16" s="2">
        <v>15</v>
      </c>
      <c r="B16" s="2">
        <v>100</v>
      </c>
      <c r="C16" s="1" t="str">
        <f>VLOOKUP(B16,Products!A:C,2,FALSE)</f>
        <v>Mango</v>
      </c>
      <c r="D16" s="1" t="s">
        <v>21</v>
      </c>
      <c r="E16" s="4" t="str">
        <f>_xlfn.XLOOKUP(D16,'Sales Manager'!$A$2:$A$6,'Sales Manager'!$B$2:$B$6,"")</f>
        <v>Emeka Nwosu</v>
      </c>
      <c r="F16" s="3">
        <f t="shared" si="4"/>
        <v>3</v>
      </c>
      <c r="G16" s="1" t="str">
        <f t="shared" si="4"/>
        <v>Mar</v>
      </c>
      <c r="H16" s="11">
        <v>1000</v>
      </c>
      <c r="I16" s="11">
        <v>7831</v>
      </c>
      <c r="J16" s="11" cm="1">
        <f t="array" ref="J16">_xlfn.XLOOKUP(C16&amp;D16&amp;F16,Expense!$C$2:$C$601&amp;Expense!$D$2:$D$601&amp;Expense!$E$2:$E$601,Expense!$G$2:$G$601,"")</f>
        <v>250</v>
      </c>
      <c r="K16" s="11" cm="1">
        <f t="array" ref="K16">_xlfn.XLOOKUP(C16&amp;D16&amp;F16,Expense!$C$2:$C$601&amp;Expense!$D$2:$D$601&amp;Expense!$E$2:$E$601,Expense!$H$2:$H$601,"")</f>
        <v>250</v>
      </c>
      <c r="L16" s="14">
        <f t="shared" si="1"/>
        <v>6831</v>
      </c>
      <c r="M16" s="14">
        <f>Master_Table[[#This Row],[Expense Budget]]-Master_Table[[#This Row],[Actual Expense]]</f>
        <v>0</v>
      </c>
      <c r="N16" s="16">
        <f t="shared" si="2"/>
        <v>7581</v>
      </c>
      <c r="O16" s="29">
        <f t="shared" si="0"/>
        <v>750</v>
      </c>
      <c r="P16" s="16">
        <f t="shared" si="3"/>
        <v>6831</v>
      </c>
      <c r="Q16" s="28">
        <f>Master_Table[[#This Row],[△Sales Variance]]/Master_Table[[#This Row],[Sales Budget]]</f>
        <v>6.8310000000000004</v>
      </c>
      <c r="R16" s="28">
        <f>Master_Table[[#This Row],[△Expense  Variance]]/Master_Table[[#This Row],[Expense Budget]]</f>
        <v>0</v>
      </c>
      <c r="S16" s="28">
        <f>Master_Table[[#This Row],[Net Profit Variance]]/Master_Table[[#This Row],[Budget Net Profit]]</f>
        <v>9.1080000000000005</v>
      </c>
      <c r="T16" s="28">
        <f>Master_Table[[#This Row],[Actual Net Profit]]/Master_Table[[#This Row],[Actual Sales]]</f>
        <v>0.96807559698633638</v>
      </c>
      <c r="U16" s="28" t="str">
        <f>_xlfn.TEXTJOIN(" - ", TRUE, Master_Table[[#This Row],[Product]], Master_Table[[#This Row],[Branch]])</f>
        <v>Mango - Abuja</v>
      </c>
    </row>
    <row r="17" spans="1:21" ht="14.4" x14ac:dyDescent="0.3">
      <c r="A17" s="2">
        <v>16</v>
      </c>
      <c r="B17" s="2">
        <v>100</v>
      </c>
      <c r="C17" s="1" t="str">
        <f>VLOOKUP(B17,Products!A:C,2,FALSE)</f>
        <v>Mango</v>
      </c>
      <c r="D17" s="1" t="s">
        <v>21</v>
      </c>
      <c r="E17" s="4" t="str">
        <f>_xlfn.XLOOKUP(D17,'Sales Manager'!$A$2:$A$6,'Sales Manager'!$B$2:$B$6,"")</f>
        <v>Emeka Nwosu</v>
      </c>
      <c r="F17" s="3">
        <f t="shared" si="4"/>
        <v>4</v>
      </c>
      <c r="G17" s="1" t="str">
        <f t="shared" si="4"/>
        <v>Apr</v>
      </c>
      <c r="H17" s="11">
        <v>3000</v>
      </c>
      <c r="I17" s="11">
        <v>7346</v>
      </c>
      <c r="J17" s="11" cm="1">
        <f t="array" ref="J17">_xlfn.XLOOKUP(C17&amp;D17&amp;F17,Expense!$C$2:$C$601&amp;Expense!$D$2:$D$601&amp;Expense!$E$2:$E$601,Expense!$G$2:$G$601,"")</f>
        <v>600</v>
      </c>
      <c r="K17" s="11" cm="1">
        <f t="array" ref="K17">_xlfn.XLOOKUP(C17&amp;D17&amp;F17,Expense!$C$2:$C$601&amp;Expense!$D$2:$D$601&amp;Expense!$E$2:$E$601,Expense!$H$2:$H$601,"")</f>
        <v>600</v>
      </c>
      <c r="L17" s="14">
        <f t="shared" si="1"/>
        <v>4346</v>
      </c>
      <c r="M17" s="14">
        <f>Master_Table[[#This Row],[Expense Budget]]-Master_Table[[#This Row],[Actual Expense]]</f>
        <v>0</v>
      </c>
      <c r="N17" s="16">
        <f t="shared" si="2"/>
        <v>6746</v>
      </c>
      <c r="O17" s="29">
        <f t="shared" si="0"/>
        <v>2400</v>
      </c>
      <c r="P17" s="16">
        <f t="shared" si="3"/>
        <v>4346</v>
      </c>
      <c r="Q17" s="28">
        <f>Master_Table[[#This Row],[△Sales Variance]]/Master_Table[[#This Row],[Sales Budget]]</f>
        <v>1.4486666666666668</v>
      </c>
      <c r="R17" s="28">
        <f>Master_Table[[#This Row],[△Expense  Variance]]/Master_Table[[#This Row],[Expense Budget]]</f>
        <v>0</v>
      </c>
      <c r="S17" s="28">
        <f>Master_Table[[#This Row],[Net Profit Variance]]/Master_Table[[#This Row],[Budget Net Profit]]</f>
        <v>1.8108333333333333</v>
      </c>
      <c r="T17" s="28">
        <f>Master_Table[[#This Row],[Actual Net Profit]]/Master_Table[[#This Row],[Actual Sales]]</f>
        <v>0.918322896814593</v>
      </c>
      <c r="U17" s="28" t="str">
        <f>_xlfn.TEXTJOIN(" - ", TRUE, Master_Table[[#This Row],[Product]], Master_Table[[#This Row],[Branch]])</f>
        <v>Mango - Abuja</v>
      </c>
    </row>
    <row r="18" spans="1:21" ht="14.4" x14ac:dyDescent="0.3">
      <c r="A18" s="2">
        <v>17</v>
      </c>
      <c r="B18" s="2">
        <v>100</v>
      </c>
      <c r="C18" s="1" t="str">
        <f>VLOOKUP(B18,Products!A:C,2,FALSE)</f>
        <v>Mango</v>
      </c>
      <c r="D18" s="1" t="s">
        <v>21</v>
      </c>
      <c r="E18" s="4" t="str">
        <f>_xlfn.XLOOKUP(D18,'Sales Manager'!$A$2:$A$6,'Sales Manager'!$B$2:$B$6,"")</f>
        <v>Emeka Nwosu</v>
      </c>
      <c r="F18" s="3">
        <f t="shared" si="4"/>
        <v>5</v>
      </c>
      <c r="G18" s="1" t="str">
        <f t="shared" si="4"/>
        <v>May</v>
      </c>
      <c r="H18" s="11">
        <v>4000</v>
      </c>
      <c r="I18" s="11">
        <v>2435</v>
      </c>
      <c r="J18" s="11" cm="1">
        <f t="array" ref="J18">_xlfn.XLOOKUP(C18&amp;D18&amp;F18,Expense!$C$2:$C$601&amp;Expense!$D$2:$D$601&amp;Expense!$E$2:$E$601,Expense!$G$2:$G$601,"")</f>
        <v>2000</v>
      </c>
      <c r="K18" s="11" cm="1">
        <f t="array" ref="K18">_xlfn.XLOOKUP(C18&amp;D18&amp;F18,Expense!$C$2:$C$601&amp;Expense!$D$2:$D$601&amp;Expense!$E$2:$E$601,Expense!$H$2:$H$601,"")</f>
        <v>1800</v>
      </c>
      <c r="L18" s="14">
        <f t="shared" si="1"/>
        <v>-1565</v>
      </c>
      <c r="M18" s="14">
        <f>Master_Table[[#This Row],[Expense Budget]]-Master_Table[[#This Row],[Actual Expense]]</f>
        <v>200</v>
      </c>
      <c r="N18" s="16">
        <f t="shared" si="2"/>
        <v>635</v>
      </c>
      <c r="O18" s="29">
        <f t="shared" si="0"/>
        <v>2000</v>
      </c>
      <c r="P18" s="16">
        <f t="shared" si="3"/>
        <v>-1365</v>
      </c>
      <c r="Q18" s="28">
        <f>Master_Table[[#This Row],[△Sales Variance]]/Master_Table[[#This Row],[Sales Budget]]</f>
        <v>-0.39124999999999999</v>
      </c>
      <c r="R18" s="28">
        <f>Master_Table[[#This Row],[△Expense  Variance]]/Master_Table[[#This Row],[Expense Budget]]</f>
        <v>0.1</v>
      </c>
      <c r="S18" s="28">
        <f>Master_Table[[#This Row],[Net Profit Variance]]/Master_Table[[#This Row],[Budget Net Profit]]</f>
        <v>-0.6825</v>
      </c>
      <c r="T18" s="28">
        <f>Master_Table[[#This Row],[Actual Net Profit]]/Master_Table[[#This Row],[Actual Sales]]</f>
        <v>0.26078028747433263</v>
      </c>
      <c r="U18" s="28" t="str">
        <f>_xlfn.TEXTJOIN(" - ", TRUE, Master_Table[[#This Row],[Product]], Master_Table[[#This Row],[Branch]])</f>
        <v>Mango - Abuja</v>
      </c>
    </row>
    <row r="19" spans="1:21" ht="14.4" x14ac:dyDescent="0.3">
      <c r="A19" s="2">
        <v>18</v>
      </c>
      <c r="B19" s="2">
        <v>100</v>
      </c>
      <c r="C19" s="1" t="str">
        <f>VLOOKUP(B19,Products!A:C,2,FALSE)</f>
        <v>Mango</v>
      </c>
      <c r="D19" s="1" t="s">
        <v>21</v>
      </c>
      <c r="E19" s="4" t="str">
        <f>_xlfn.XLOOKUP(D19,'Sales Manager'!$A$2:$A$6,'Sales Manager'!$B$2:$B$6,"")</f>
        <v>Emeka Nwosu</v>
      </c>
      <c r="F19" s="3">
        <f t="shared" si="4"/>
        <v>6</v>
      </c>
      <c r="G19" s="1" t="str">
        <f t="shared" si="4"/>
        <v>Jun</v>
      </c>
      <c r="H19" s="11">
        <v>7000</v>
      </c>
      <c r="I19" s="11">
        <v>3018</v>
      </c>
      <c r="J19" s="11" cm="1">
        <f t="array" ref="J19">_xlfn.XLOOKUP(C19&amp;D19&amp;F19,Expense!$C$2:$C$601&amp;Expense!$D$2:$D$601&amp;Expense!$E$2:$E$601,Expense!$G$2:$G$601,"")</f>
        <v>3500</v>
      </c>
      <c r="K19" s="11" cm="1">
        <f t="array" ref="K19">_xlfn.XLOOKUP(C19&amp;D19&amp;F19,Expense!$C$2:$C$601&amp;Expense!$D$2:$D$601&amp;Expense!$E$2:$E$601,Expense!$H$2:$H$601,"")</f>
        <v>3100</v>
      </c>
      <c r="L19" s="14">
        <f t="shared" si="1"/>
        <v>-3982</v>
      </c>
      <c r="M19" s="14">
        <f>Master_Table[[#This Row],[Expense Budget]]-Master_Table[[#This Row],[Actual Expense]]</f>
        <v>400</v>
      </c>
      <c r="N19" s="16">
        <f t="shared" si="2"/>
        <v>-82</v>
      </c>
      <c r="O19" s="29">
        <f t="shared" si="0"/>
        <v>3500</v>
      </c>
      <c r="P19" s="16">
        <f t="shared" si="3"/>
        <v>-3582</v>
      </c>
      <c r="Q19" s="28">
        <f>Master_Table[[#This Row],[△Sales Variance]]/Master_Table[[#This Row],[Sales Budget]]</f>
        <v>-0.56885714285714284</v>
      </c>
      <c r="R19" s="28">
        <f>Master_Table[[#This Row],[△Expense  Variance]]/Master_Table[[#This Row],[Expense Budget]]</f>
        <v>0.11428571428571428</v>
      </c>
      <c r="S19" s="28">
        <f>Master_Table[[#This Row],[Net Profit Variance]]/Master_Table[[#This Row],[Budget Net Profit]]</f>
        <v>-1.0234285714285714</v>
      </c>
      <c r="T19" s="28">
        <f>Master_Table[[#This Row],[Actual Net Profit]]/Master_Table[[#This Row],[Actual Sales]]</f>
        <v>-2.7170311464546057E-2</v>
      </c>
      <c r="U19" s="28" t="str">
        <f>_xlfn.TEXTJOIN(" - ", TRUE, Master_Table[[#This Row],[Product]], Master_Table[[#This Row],[Branch]])</f>
        <v>Mango - Abuja</v>
      </c>
    </row>
    <row r="20" spans="1:21" ht="14.4" x14ac:dyDescent="0.3">
      <c r="A20" s="2">
        <v>19</v>
      </c>
      <c r="B20" s="2">
        <v>100</v>
      </c>
      <c r="C20" s="1" t="str">
        <f>VLOOKUP(B20,Products!A:C,2,FALSE)</f>
        <v>Mango</v>
      </c>
      <c r="D20" s="1" t="s">
        <v>21</v>
      </c>
      <c r="E20" s="4" t="str">
        <f>_xlfn.XLOOKUP(D20,'Sales Manager'!$A$2:$A$6,'Sales Manager'!$B$2:$B$6,"")</f>
        <v>Emeka Nwosu</v>
      </c>
      <c r="F20" s="3">
        <f t="shared" si="4"/>
        <v>7</v>
      </c>
      <c r="G20" s="1" t="str">
        <f t="shared" si="4"/>
        <v>Jul</v>
      </c>
      <c r="H20" s="11">
        <v>2000</v>
      </c>
      <c r="I20" s="11">
        <v>5266</v>
      </c>
      <c r="J20" s="11" cm="1">
        <f t="array" ref="J20">_xlfn.XLOOKUP(C20&amp;D20&amp;F20,Expense!$C$2:$C$601&amp;Expense!$D$2:$D$601&amp;Expense!$E$2:$E$601,Expense!$G$2:$G$601,"")</f>
        <v>666.66666666666663</v>
      </c>
      <c r="K20" s="11" cm="1">
        <f t="array" ref="K20">_xlfn.XLOOKUP(C20&amp;D20&amp;F20,Expense!$C$2:$C$601&amp;Expense!$D$2:$D$601&amp;Expense!$E$2:$E$601,Expense!$H$2:$H$601,"")</f>
        <v>333.33333333333337</v>
      </c>
      <c r="L20" s="14">
        <f t="shared" si="1"/>
        <v>3266</v>
      </c>
      <c r="M20" s="14">
        <f>Master_Table[[#This Row],[Expense Budget]]-Master_Table[[#This Row],[Actual Expense]]</f>
        <v>333.33333333333326</v>
      </c>
      <c r="N20" s="16">
        <f t="shared" si="2"/>
        <v>4932.666666666667</v>
      </c>
      <c r="O20" s="29">
        <f t="shared" si="0"/>
        <v>1333.3333333333335</v>
      </c>
      <c r="P20" s="16">
        <f t="shared" si="3"/>
        <v>3599.3333333333335</v>
      </c>
      <c r="Q20" s="28">
        <f>Master_Table[[#This Row],[△Sales Variance]]/Master_Table[[#This Row],[Sales Budget]]</f>
        <v>1.633</v>
      </c>
      <c r="R20" s="28">
        <f>Master_Table[[#This Row],[△Expense  Variance]]/Master_Table[[#This Row],[Expense Budget]]</f>
        <v>0.49999999999999989</v>
      </c>
      <c r="S20" s="28">
        <f>Master_Table[[#This Row],[Net Profit Variance]]/Master_Table[[#This Row],[Budget Net Profit]]</f>
        <v>2.6995</v>
      </c>
      <c r="T20" s="28">
        <f>Master_Table[[#This Row],[Actual Net Profit]]/Master_Table[[#This Row],[Actual Sales]]</f>
        <v>0.93670084820863408</v>
      </c>
      <c r="U20" s="28" t="str">
        <f>_xlfn.TEXTJOIN(" - ", TRUE, Master_Table[[#This Row],[Product]], Master_Table[[#This Row],[Branch]])</f>
        <v>Mango - Abuja</v>
      </c>
    </row>
    <row r="21" spans="1:21" ht="14.4" x14ac:dyDescent="0.3">
      <c r="A21" s="2">
        <v>20</v>
      </c>
      <c r="B21" s="2">
        <v>100</v>
      </c>
      <c r="C21" s="1" t="str">
        <f>VLOOKUP(B21,Products!A:C,2,FALSE)</f>
        <v>Mango</v>
      </c>
      <c r="D21" s="1" t="s">
        <v>21</v>
      </c>
      <c r="E21" s="4" t="str">
        <f>_xlfn.XLOOKUP(D21,'Sales Manager'!$A$2:$A$6,'Sales Manager'!$B$2:$B$6,"")</f>
        <v>Emeka Nwosu</v>
      </c>
      <c r="F21" s="3">
        <f t="shared" si="4"/>
        <v>8</v>
      </c>
      <c r="G21" s="1" t="str">
        <f t="shared" si="4"/>
        <v>Aug</v>
      </c>
      <c r="H21" s="11">
        <v>5000</v>
      </c>
      <c r="I21" s="11">
        <v>9171</v>
      </c>
      <c r="J21" s="11" cm="1">
        <f t="array" ref="J21">_xlfn.XLOOKUP(C21&amp;D21&amp;F21,Expense!$C$2:$C$601&amp;Expense!$D$2:$D$601&amp;Expense!$E$2:$E$601,Expense!$G$2:$G$601,"")</f>
        <v>2500</v>
      </c>
      <c r="K21" s="11" cm="1">
        <f t="array" ref="K21">_xlfn.XLOOKUP(C21&amp;D21&amp;F21,Expense!$C$2:$C$601&amp;Expense!$D$2:$D$601&amp;Expense!$E$2:$E$601,Expense!$H$2:$H$601,"")</f>
        <v>1900</v>
      </c>
      <c r="L21" s="14">
        <f t="shared" si="1"/>
        <v>4171</v>
      </c>
      <c r="M21" s="14">
        <f>Master_Table[[#This Row],[Expense Budget]]-Master_Table[[#This Row],[Actual Expense]]</f>
        <v>600</v>
      </c>
      <c r="N21" s="16">
        <f t="shared" si="2"/>
        <v>7271</v>
      </c>
      <c r="O21" s="29">
        <f t="shared" si="0"/>
        <v>2500</v>
      </c>
      <c r="P21" s="16">
        <f t="shared" si="3"/>
        <v>4771</v>
      </c>
      <c r="Q21" s="28">
        <f>Master_Table[[#This Row],[△Sales Variance]]/Master_Table[[#This Row],[Sales Budget]]</f>
        <v>0.83420000000000005</v>
      </c>
      <c r="R21" s="28">
        <f>Master_Table[[#This Row],[△Expense  Variance]]/Master_Table[[#This Row],[Expense Budget]]</f>
        <v>0.24</v>
      </c>
      <c r="S21" s="28">
        <f>Master_Table[[#This Row],[Net Profit Variance]]/Master_Table[[#This Row],[Budget Net Profit]]</f>
        <v>1.9084000000000001</v>
      </c>
      <c r="T21" s="28">
        <f>Master_Table[[#This Row],[Actual Net Profit]]/Master_Table[[#This Row],[Actual Sales]]</f>
        <v>0.79282520990077421</v>
      </c>
      <c r="U21" s="28" t="str">
        <f>_xlfn.TEXTJOIN(" - ", TRUE, Master_Table[[#This Row],[Product]], Master_Table[[#This Row],[Branch]])</f>
        <v>Mango - Abuja</v>
      </c>
    </row>
    <row r="22" spans="1:21" ht="14.4" x14ac:dyDescent="0.3">
      <c r="A22" s="2">
        <v>21</v>
      </c>
      <c r="B22" s="2">
        <v>100</v>
      </c>
      <c r="C22" s="1" t="str">
        <f>VLOOKUP(B22,Products!A:C,2,FALSE)</f>
        <v>Mango</v>
      </c>
      <c r="D22" s="1" t="s">
        <v>21</v>
      </c>
      <c r="E22" s="4" t="str">
        <f>_xlfn.XLOOKUP(D22,'Sales Manager'!$A$2:$A$6,'Sales Manager'!$B$2:$B$6,"")</f>
        <v>Emeka Nwosu</v>
      </c>
      <c r="F22" s="3">
        <f t="shared" si="4"/>
        <v>9</v>
      </c>
      <c r="G22" s="1" t="str">
        <f t="shared" si="4"/>
        <v>Sept</v>
      </c>
      <c r="H22" s="11">
        <v>3000</v>
      </c>
      <c r="I22" s="11">
        <v>6258</v>
      </c>
      <c r="J22" s="11" cm="1">
        <f t="array" ref="J22">_xlfn.XLOOKUP(C22&amp;D22&amp;F22,Expense!$C$2:$C$601&amp;Expense!$D$2:$D$601&amp;Expense!$E$2:$E$601,Expense!$G$2:$G$601,"")</f>
        <v>600</v>
      </c>
      <c r="K22" s="11" cm="1">
        <f t="array" ref="K22">_xlfn.XLOOKUP(C22&amp;D22&amp;F22,Expense!$C$2:$C$601&amp;Expense!$D$2:$D$601&amp;Expense!$E$2:$E$601,Expense!$H$2:$H$601,"")</f>
        <v>200</v>
      </c>
      <c r="L22" s="14">
        <f t="shared" si="1"/>
        <v>3258</v>
      </c>
      <c r="M22" s="14">
        <f>Master_Table[[#This Row],[Expense Budget]]-Master_Table[[#This Row],[Actual Expense]]</f>
        <v>400</v>
      </c>
      <c r="N22" s="16">
        <f t="shared" si="2"/>
        <v>6058</v>
      </c>
      <c r="O22" s="29">
        <f t="shared" si="0"/>
        <v>2400</v>
      </c>
      <c r="P22" s="16">
        <f t="shared" si="3"/>
        <v>3658</v>
      </c>
      <c r="Q22" s="28">
        <f>Master_Table[[#This Row],[△Sales Variance]]/Master_Table[[#This Row],[Sales Budget]]</f>
        <v>1.0860000000000001</v>
      </c>
      <c r="R22" s="28">
        <f>Master_Table[[#This Row],[△Expense  Variance]]/Master_Table[[#This Row],[Expense Budget]]</f>
        <v>0.66666666666666663</v>
      </c>
      <c r="S22" s="28">
        <f>Master_Table[[#This Row],[Net Profit Variance]]/Master_Table[[#This Row],[Budget Net Profit]]</f>
        <v>1.5241666666666667</v>
      </c>
      <c r="T22" s="28">
        <f>Master_Table[[#This Row],[Actual Net Profit]]/Master_Table[[#This Row],[Actual Sales]]</f>
        <v>0.96804090763822304</v>
      </c>
      <c r="U22" s="28" t="str">
        <f>_xlfn.TEXTJOIN(" - ", TRUE, Master_Table[[#This Row],[Product]], Master_Table[[#This Row],[Branch]])</f>
        <v>Mango - Abuja</v>
      </c>
    </row>
    <row r="23" spans="1:21" ht="14.4" x14ac:dyDescent="0.3">
      <c r="A23" s="2">
        <v>22</v>
      </c>
      <c r="B23" s="2">
        <v>100</v>
      </c>
      <c r="C23" s="1" t="str">
        <f>VLOOKUP(B23,Products!A:C,2,FALSE)</f>
        <v>Mango</v>
      </c>
      <c r="D23" s="1" t="s">
        <v>21</v>
      </c>
      <c r="E23" s="4" t="str">
        <f>_xlfn.XLOOKUP(D23,'Sales Manager'!$A$2:$A$6,'Sales Manager'!$B$2:$B$6,"")</f>
        <v>Emeka Nwosu</v>
      </c>
      <c r="F23" s="3">
        <f t="shared" si="4"/>
        <v>10</v>
      </c>
      <c r="G23" s="1" t="str">
        <f t="shared" si="4"/>
        <v>Oct</v>
      </c>
      <c r="H23" s="11">
        <v>10000</v>
      </c>
      <c r="I23" s="11">
        <v>7226</v>
      </c>
      <c r="J23" s="11" cm="1">
        <f t="array" ref="J23">_xlfn.XLOOKUP(C23&amp;D23&amp;F23,Expense!$C$2:$C$601&amp;Expense!$D$2:$D$601&amp;Expense!$E$2:$E$601,Expense!$G$2:$G$601,"")</f>
        <v>3333.3333333333335</v>
      </c>
      <c r="K23" s="11" cm="1">
        <f t="array" ref="K23">_xlfn.XLOOKUP(C23&amp;D23&amp;F23,Expense!$C$2:$C$601&amp;Expense!$D$2:$D$601&amp;Expense!$E$2:$E$601,Expense!$H$2:$H$601,"")</f>
        <v>2933.3333333333335</v>
      </c>
      <c r="L23" s="14">
        <f t="shared" si="1"/>
        <v>-2774</v>
      </c>
      <c r="M23" s="14">
        <f>Master_Table[[#This Row],[Expense Budget]]-Master_Table[[#This Row],[Actual Expense]]</f>
        <v>400</v>
      </c>
      <c r="N23" s="16">
        <f t="shared" si="2"/>
        <v>4292.6666666666661</v>
      </c>
      <c r="O23" s="29">
        <f t="shared" si="0"/>
        <v>6666.6666666666661</v>
      </c>
      <c r="P23" s="16">
        <f t="shared" si="3"/>
        <v>-2374</v>
      </c>
      <c r="Q23" s="28">
        <f>Master_Table[[#This Row],[△Sales Variance]]/Master_Table[[#This Row],[Sales Budget]]</f>
        <v>-0.27739999999999998</v>
      </c>
      <c r="R23" s="28">
        <f>Master_Table[[#This Row],[△Expense  Variance]]/Master_Table[[#This Row],[Expense Budget]]</f>
        <v>0.12</v>
      </c>
      <c r="S23" s="28">
        <f>Master_Table[[#This Row],[Net Profit Variance]]/Master_Table[[#This Row],[Budget Net Profit]]</f>
        <v>-0.35610000000000003</v>
      </c>
      <c r="T23" s="28">
        <f>Master_Table[[#This Row],[Actual Net Profit]]/Master_Table[[#This Row],[Actual Sales]]</f>
        <v>0.59405849248085607</v>
      </c>
      <c r="U23" s="28" t="str">
        <f>_xlfn.TEXTJOIN(" - ", TRUE, Master_Table[[#This Row],[Product]], Master_Table[[#This Row],[Branch]])</f>
        <v>Mango - Abuja</v>
      </c>
    </row>
    <row r="24" spans="1:21" ht="14.4" x14ac:dyDescent="0.3">
      <c r="A24" s="2">
        <v>23</v>
      </c>
      <c r="B24" s="2">
        <v>100</v>
      </c>
      <c r="C24" s="1" t="str">
        <f>VLOOKUP(B24,Products!A:C,2,FALSE)</f>
        <v>Mango</v>
      </c>
      <c r="D24" s="1" t="s">
        <v>21</v>
      </c>
      <c r="E24" s="4" t="str">
        <f>_xlfn.XLOOKUP(D24,'Sales Manager'!$A$2:$A$6,'Sales Manager'!$B$2:$B$6,"")</f>
        <v>Emeka Nwosu</v>
      </c>
      <c r="F24" s="3">
        <f t="shared" si="4"/>
        <v>11</v>
      </c>
      <c r="G24" s="1" t="str">
        <f t="shared" si="4"/>
        <v>Nov</v>
      </c>
      <c r="H24" s="11">
        <v>3000</v>
      </c>
      <c r="I24" s="11">
        <v>3828</v>
      </c>
      <c r="J24" s="11" cm="1">
        <f t="array" ref="J24">_xlfn.XLOOKUP(C24&amp;D24&amp;F24,Expense!$C$2:$C$601&amp;Expense!$D$2:$D$601&amp;Expense!$E$2:$E$601,Expense!$G$2:$G$601,"")</f>
        <v>1000</v>
      </c>
      <c r="K24" s="11" cm="1">
        <f t="array" ref="K24">_xlfn.XLOOKUP(C24&amp;D24&amp;F24,Expense!$C$2:$C$601&amp;Expense!$D$2:$D$601&amp;Expense!$E$2:$E$601,Expense!$H$2:$H$601,"")</f>
        <v>500</v>
      </c>
      <c r="L24" s="14">
        <f t="shared" si="1"/>
        <v>828</v>
      </c>
      <c r="M24" s="14">
        <f>Master_Table[[#This Row],[Expense Budget]]-Master_Table[[#This Row],[Actual Expense]]</f>
        <v>500</v>
      </c>
      <c r="N24" s="16">
        <f t="shared" si="2"/>
        <v>3328</v>
      </c>
      <c r="O24" s="29">
        <f t="shared" si="0"/>
        <v>2000</v>
      </c>
      <c r="P24" s="16">
        <f t="shared" si="3"/>
        <v>1328</v>
      </c>
      <c r="Q24" s="28">
        <f>Master_Table[[#This Row],[△Sales Variance]]/Master_Table[[#This Row],[Sales Budget]]</f>
        <v>0.27600000000000002</v>
      </c>
      <c r="R24" s="28">
        <f>Master_Table[[#This Row],[△Expense  Variance]]/Master_Table[[#This Row],[Expense Budget]]</f>
        <v>0.5</v>
      </c>
      <c r="S24" s="28">
        <f>Master_Table[[#This Row],[Net Profit Variance]]/Master_Table[[#This Row],[Budget Net Profit]]</f>
        <v>0.66400000000000003</v>
      </c>
      <c r="T24" s="28">
        <f>Master_Table[[#This Row],[Actual Net Profit]]/Master_Table[[#This Row],[Actual Sales]]</f>
        <v>0.86938349007314519</v>
      </c>
      <c r="U24" s="28" t="str">
        <f>_xlfn.TEXTJOIN(" - ", TRUE, Master_Table[[#This Row],[Product]], Master_Table[[#This Row],[Branch]])</f>
        <v>Mango - Abuja</v>
      </c>
    </row>
    <row r="25" spans="1:21" ht="14.4" x14ac:dyDescent="0.3">
      <c r="A25" s="2">
        <v>24</v>
      </c>
      <c r="B25" s="2">
        <v>100</v>
      </c>
      <c r="C25" s="1" t="str">
        <f>VLOOKUP(B25,Products!A:C,2,FALSE)</f>
        <v>Mango</v>
      </c>
      <c r="D25" s="1" t="s">
        <v>21</v>
      </c>
      <c r="E25" s="4" t="str">
        <f>_xlfn.XLOOKUP(D25,'Sales Manager'!$A$2:$A$6,'Sales Manager'!$B$2:$B$6,"")</f>
        <v>Emeka Nwosu</v>
      </c>
      <c r="F25" s="3">
        <f t="shared" si="4"/>
        <v>12</v>
      </c>
      <c r="G25" s="1" t="str">
        <f t="shared" si="4"/>
        <v>Dec</v>
      </c>
      <c r="H25" s="11">
        <v>3000</v>
      </c>
      <c r="I25" s="11">
        <v>8161</v>
      </c>
      <c r="J25" s="11" cm="1">
        <f t="array" ref="J25">_xlfn.XLOOKUP(C25&amp;D25&amp;F25,Expense!$C$2:$C$601&amp;Expense!$D$2:$D$601&amp;Expense!$E$2:$E$601,Expense!$G$2:$G$601,"")</f>
        <v>1500</v>
      </c>
      <c r="K25" s="11" cm="1">
        <f t="array" ref="K25">_xlfn.XLOOKUP(C25&amp;D25&amp;F25,Expense!$C$2:$C$601&amp;Expense!$D$2:$D$601&amp;Expense!$E$2:$E$601,Expense!$H$2:$H$601,"")</f>
        <v>900</v>
      </c>
      <c r="L25" s="14">
        <f t="shared" si="1"/>
        <v>5161</v>
      </c>
      <c r="M25" s="14">
        <f>Master_Table[[#This Row],[Expense Budget]]-Master_Table[[#This Row],[Actual Expense]]</f>
        <v>600</v>
      </c>
      <c r="N25" s="16">
        <f t="shared" si="2"/>
        <v>7261</v>
      </c>
      <c r="O25" s="29">
        <f t="shared" si="0"/>
        <v>1500</v>
      </c>
      <c r="P25" s="16">
        <f t="shared" si="3"/>
        <v>5761</v>
      </c>
      <c r="Q25" s="28">
        <f>Master_Table[[#This Row],[△Sales Variance]]/Master_Table[[#This Row],[Sales Budget]]</f>
        <v>1.7203333333333333</v>
      </c>
      <c r="R25" s="28">
        <f>Master_Table[[#This Row],[△Expense  Variance]]/Master_Table[[#This Row],[Expense Budget]]</f>
        <v>0.4</v>
      </c>
      <c r="S25" s="28">
        <f>Master_Table[[#This Row],[Net Profit Variance]]/Master_Table[[#This Row],[Budget Net Profit]]</f>
        <v>3.8406666666666665</v>
      </c>
      <c r="T25" s="28">
        <f>Master_Table[[#This Row],[Actual Net Profit]]/Master_Table[[#This Row],[Actual Sales]]</f>
        <v>0.88971939713270431</v>
      </c>
      <c r="U25" s="28" t="str">
        <f>_xlfn.TEXTJOIN(" - ", TRUE, Master_Table[[#This Row],[Product]], Master_Table[[#This Row],[Branch]])</f>
        <v>Mango - Abuja</v>
      </c>
    </row>
    <row r="26" spans="1:21" ht="14.4" x14ac:dyDescent="0.3">
      <c r="A26" s="2">
        <v>25</v>
      </c>
      <c r="B26" s="2">
        <v>100</v>
      </c>
      <c r="C26" s="1" t="str">
        <f>VLOOKUP(B26,Products!A:C,2,FALSE)</f>
        <v>Mango</v>
      </c>
      <c r="D26" s="1" t="s">
        <v>22</v>
      </c>
      <c r="E26" s="4" t="str">
        <f>_xlfn.XLOOKUP(D26,'Sales Manager'!$A$2:$A$6,'Sales Manager'!$B$2:$B$6,"")</f>
        <v>Gbenga Adesanya</v>
      </c>
      <c r="F26" s="3">
        <f t="shared" si="4"/>
        <v>1</v>
      </c>
      <c r="G26" s="1" t="str">
        <f t="shared" si="4"/>
        <v>Jan</v>
      </c>
      <c r="H26" s="11">
        <v>1000</v>
      </c>
      <c r="I26" s="11">
        <v>5974</v>
      </c>
      <c r="J26" s="11" cm="1">
        <f t="array" ref="J26">_xlfn.XLOOKUP(C26&amp;D26&amp;F26,Expense!$C$2:$C$601&amp;Expense!$D$2:$D$601&amp;Expense!$E$2:$E$601,Expense!$G$2:$G$601,"")</f>
        <v>500</v>
      </c>
      <c r="K26" s="11" cm="1">
        <f t="array" ref="K26">_xlfn.XLOOKUP(C26&amp;D26&amp;F26,Expense!$C$2:$C$601&amp;Expense!$D$2:$D$601&amp;Expense!$E$2:$E$601,Expense!$H$2:$H$601,"")</f>
        <v>200</v>
      </c>
      <c r="L26" s="14">
        <f t="shared" si="1"/>
        <v>4974</v>
      </c>
      <c r="M26" s="14">
        <f>Master_Table[[#This Row],[Expense Budget]]-Master_Table[[#This Row],[Actual Expense]]</f>
        <v>300</v>
      </c>
      <c r="N26" s="16">
        <f t="shared" si="2"/>
        <v>5774</v>
      </c>
      <c r="O26" s="29">
        <f t="shared" si="0"/>
        <v>500</v>
      </c>
      <c r="P26" s="16">
        <f t="shared" si="3"/>
        <v>5274</v>
      </c>
      <c r="Q26" s="28">
        <f>Master_Table[[#This Row],[△Sales Variance]]/Master_Table[[#This Row],[Sales Budget]]</f>
        <v>4.9740000000000002</v>
      </c>
      <c r="R26" s="28">
        <f>Master_Table[[#This Row],[△Expense  Variance]]/Master_Table[[#This Row],[Expense Budget]]</f>
        <v>0.6</v>
      </c>
      <c r="S26" s="28">
        <f>Master_Table[[#This Row],[Net Profit Variance]]/Master_Table[[#This Row],[Budget Net Profit]]</f>
        <v>10.548</v>
      </c>
      <c r="T26" s="28">
        <f>Master_Table[[#This Row],[Actual Net Profit]]/Master_Table[[#This Row],[Actual Sales]]</f>
        <v>0.96652159357214595</v>
      </c>
      <c r="U26" s="28" t="str">
        <f>_xlfn.TEXTJOIN(" - ", TRUE, Master_Table[[#This Row],[Product]], Master_Table[[#This Row],[Branch]])</f>
        <v>Mango - Warri</v>
      </c>
    </row>
    <row r="27" spans="1:21" ht="14.4" x14ac:dyDescent="0.3">
      <c r="A27" s="2">
        <v>26</v>
      </c>
      <c r="B27" s="2">
        <v>100</v>
      </c>
      <c r="C27" s="1" t="str">
        <f>VLOOKUP(B27,Products!A:C,2,FALSE)</f>
        <v>Mango</v>
      </c>
      <c r="D27" s="1" t="s">
        <v>22</v>
      </c>
      <c r="E27" s="4" t="str">
        <f>_xlfn.XLOOKUP(D27,'Sales Manager'!$A$2:$A$6,'Sales Manager'!$B$2:$B$6,"")</f>
        <v>Gbenga Adesanya</v>
      </c>
      <c r="F27" s="3">
        <f t="shared" si="4"/>
        <v>2</v>
      </c>
      <c r="G27" s="1" t="str">
        <f t="shared" si="4"/>
        <v>Feb</v>
      </c>
      <c r="H27" s="11">
        <v>4000</v>
      </c>
      <c r="I27" s="11">
        <v>2443</v>
      </c>
      <c r="J27" s="11" cm="1">
        <f t="array" ref="J27">_xlfn.XLOOKUP(C27&amp;D27&amp;F27,Expense!$C$2:$C$601&amp;Expense!$D$2:$D$601&amp;Expense!$E$2:$E$601,Expense!$G$2:$G$601,"")</f>
        <v>800</v>
      </c>
      <c r="K27" s="11" cm="1">
        <f t="array" ref="K27">_xlfn.XLOOKUP(C27&amp;D27&amp;F27,Expense!$C$2:$C$601&amp;Expense!$D$2:$D$601&amp;Expense!$E$2:$E$601,Expense!$H$2:$H$601,"")</f>
        <v>200</v>
      </c>
      <c r="L27" s="14">
        <f t="shared" si="1"/>
        <v>-1557</v>
      </c>
      <c r="M27" s="14">
        <f>Master_Table[[#This Row],[Expense Budget]]-Master_Table[[#This Row],[Actual Expense]]</f>
        <v>600</v>
      </c>
      <c r="N27" s="16">
        <f t="shared" si="2"/>
        <v>2243</v>
      </c>
      <c r="O27" s="29">
        <f t="shared" si="0"/>
        <v>3200</v>
      </c>
      <c r="P27" s="16">
        <f t="shared" si="3"/>
        <v>-957</v>
      </c>
      <c r="Q27" s="28">
        <f>Master_Table[[#This Row],[△Sales Variance]]/Master_Table[[#This Row],[Sales Budget]]</f>
        <v>-0.38924999999999998</v>
      </c>
      <c r="R27" s="28">
        <f>Master_Table[[#This Row],[△Expense  Variance]]/Master_Table[[#This Row],[Expense Budget]]</f>
        <v>0.75</v>
      </c>
      <c r="S27" s="28">
        <f>Master_Table[[#This Row],[Net Profit Variance]]/Master_Table[[#This Row],[Budget Net Profit]]</f>
        <v>-0.29906250000000001</v>
      </c>
      <c r="T27" s="28">
        <f>Master_Table[[#This Row],[Actual Net Profit]]/Master_Table[[#This Row],[Actual Sales]]</f>
        <v>0.9181334424887434</v>
      </c>
      <c r="U27" s="28" t="str">
        <f>_xlfn.TEXTJOIN(" - ", TRUE, Master_Table[[#This Row],[Product]], Master_Table[[#This Row],[Branch]])</f>
        <v>Mango - Warri</v>
      </c>
    </row>
    <row r="28" spans="1:21" ht="14.4" x14ac:dyDescent="0.3">
      <c r="A28" s="2">
        <v>27</v>
      </c>
      <c r="B28" s="2">
        <v>100</v>
      </c>
      <c r="C28" s="1" t="str">
        <f>VLOOKUP(B28,Products!A:C,2,FALSE)</f>
        <v>Mango</v>
      </c>
      <c r="D28" s="1" t="s">
        <v>22</v>
      </c>
      <c r="E28" s="4" t="str">
        <f>_xlfn.XLOOKUP(D28,'Sales Manager'!$A$2:$A$6,'Sales Manager'!$B$2:$B$6,"")</f>
        <v>Gbenga Adesanya</v>
      </c>
      <c r="F28" s="3">
        <f t="shared" si="4"/>
        <v>3</v>
      </c>
      <c r="G28" s="1" t="str">
        <f t="shared" si="4"/>
        <v>Mar</v>
      </c>
      <c r="H28" s="11">
        <v>1000</v>
      </c>
      <c r="I28" s="11">
        <v>3321</v>
      </c>
      <c r="J28" s="11" cm="1">
        <f t="array" ref="J28">_xlfn.XLOOKUP(C28&amp;D28&amp;F28,Expense!$C$2:$C$601&amp;Expense!$D$2:$D$601&amp;Expense!$E$2:$E$601,Expense!$G$2:$G$601,"")</f>
        <v>250</v>
      </c>
      <c r="K28" s="11" cm="1">
        <f t="array" ref="K28">_xlfn.XLOOKUP(C28&amp;D28&amp;F28,Expense!$C$2:$C$601&amp;Expense!$D$2:$D$601&amp;Expense!$E$2:$E$601,Expense!$H$2:$H$601,"")</f>
        <v>250</v>
      </c>
      <c r="L28" s="14">
        <f t="shared" si="1"/>
        <v>2321</v>
      </c>
      <c r="M28" s="14">
        <f>Master_Table[[#This Row],[Expense Budget]]-Master_Table[[#This Row],[Actual Expense]]</f>
        <v>0</v>
      </c>
      <c r="N28" s="16">
        <f t="shared" si="2"/>
        <v>3071</v>
      </c>
      <c r="O28" s="29">
        <f t="shared" si="0"/>
        <v>750</v>
      </c>
      <c r="P28" s="16">
        <f t="shared" si="3"/>
        <v>2321</v>
      </c>
      <c r="Q28" s="28">
        <f>Master_Table[[#This Row],[△Sales Variance]]/Master_Table[[#This Row],[Sales Budget]]</f>
        <v>2.3210000000000002</v>
      </c>
      <c r="R28" s="28">
        <f>Master_Table[[#This Row],[△Expense  Variance]]/Master_Table[[#This Row],[Expense Budget]]</f>
        <v>0</v>
      </c>
      <c r="S28" s="28">
        <f>Master_Table[[#This Row],[Net Profit Variance]]/Master_Table[[#This Row],[Budget Net Profit]]</f>
        <v>3.0946666666666665</v>
      </c>
      <c r="T28" s="28">
        <f>Master_Table[[#This Row],[Actual Net Profit]]/Master_Table[[#This Row],[Actual Sales]]</f>
        <v>0.92472146943691658</v>
      </c>
      <c r="U28" s="28" t="str">
        <f>_xlfn.TEXTJOIN(" - ", TRUE, Master_Table[[#This Row],[Product]], Master_Table[[#This Row],[Branch]])</f>
        <v>Mango - Warri</v>
      </c>
    </row>
    <row r="29" spans="1:21" ht="14.4" x14ac:dyDescent="0.3">
      <c r="A29" s="2">
        <v>28</v>
      </c>
      <c r="B29" s="2">
        <v>100</v>
      </c>
      <c r="C29" s="1" t="str">
        <f>VLOOKUP(B29,Products!A:C,2,FALSE)</f>
        <v>Mango</v>
      </c>
      <c r="D29" s="1" t="s">
        <v>22</v>
      </c>
      <c r="E29" s="4" t="str">
        <f>_xlfn.XLOOKUP(D29,'Sales Manager'!$A$2:$A$6,'Sales Manager'!$B$2:$B$6,"")</f>
        <v>Gbenga Adesanya</v>
      </c>
      <c r="F29" s="3">
        <f t="shared" si="4"/>
        <v>4</v>
      </c>
      <c r="G29" s="1" t="str">
        <f t="shared" si="4"/>
        <v>Apr</v>
      </c>
      <c r="H29" s="11">
        <v>7000</v>
      </c>
      <c r="I29" s="11">
        <v>6836</v>
      </c>
      <c r="J29" s="11" cm="1">
        <f t="array" ref="J29">_xlfn.XLOOKUP(C29&amp;D29&amp;F29,Expense!$C$2:$C$601&amp;Expense!$D$2:$D$601&amp;Expense!$E$2:$E$601,Expense!$G$2:$G$601,"")</f>
        <v>3500</v>
      </c>
      <c r="K29" s="11" cm="1">
        <f t="array" ref="K29">_xlfn.XLOOKUP(C29&amp;D29&amp;F29,Expense!$C$2:$C$601&amp;Expense!$D$2:$D$601&amp;Expense!$E$2:$E$601,Expense!$H$2:$H$601,"")</f>
        <v>3200</v>
      </c>
      <c r="L29" s="14">
        <f t="shared" si="1"/>
        <v>-164</v>
      </c>
      <c r="M29" s="14">
        <f>Master_Table[[#This Row],[Expense Budget]]-Master_Table[[#This Row],[Actual Expense]]</f>
        <v>300</v>
      </c>
      <c r="N29" s="16">
        <f t="shared" si="2"/>
        <v>3636</v>
      </c>
      <c r="O29" s="29">
        <f t="shared" si="0"/>
        <v>3500</v>
      </c>
      <c r="P29" s="16">
        <f t="shared" si="3"/>
        <v>136</v>
      </c>
      <c r="Q29" s="28">
        <f>Master_Table[[#This Row],[△Sales Variance]]/Master_Table[[#This Row],[Sales Budget]]</f>
        <v>-2.3428571428571427E-2</v>
      </c>
      <c r="R29" s="28">
        <f>Master_Table[[#This Row],[△Expense  Variance]]/Master_Table[[#This Row],[Expense Budget]]</f>
        <v>8.5714285714285715E-2</v>
      </c>
      <c r="S29" s="28">
        <f>Master_Table[[#This Row],[Net Profit Variance]]/Master_Table[[#This Row],[Budget Net Profit]]</f>
        <v>3.8857142857142854E-2</v>
      </c>
      <c r="T29" s="28">
        <f>Master_Table[[#This Row],[Actual Net Profit]]/Master_Table[[#This Row],[Actual Sales]]</f>
        <v>0.53188999414862492</v>
      </c>
      <c r="U29" s="28" t="str">
        <f>_xlfn.TEXTJOIN(" - ", TRUE, Master_Table[[#This Row],[Product]], Master_Table[[#This Row],[Branch]])</f>
        <v>Mango - Warri</v>
      </c>
    </row>
    <row r="30" spans="1:21" ht="14.4" x14ac:dyDescent="0.3">
      <c r="A30" s="2">
        <v>29</v>
      </c>
      <c r="B30" s="2">
        <v>100</v>
      </c>
      <c r="C30" s="1" t="str">
        <f>VLOOKUP(B30,Products!A:C,2,FALSE)</f>
        <v>Mango</v>
      </c>
      <c r="D30" s="1" t="s">
        <v>22</v>
      </c>
      <c r="E30" s="4" t="str">
        <f>_xlfn.XLOOKUP(D30,'Sales Manager'!$A$2:$A$6,'Sales Manager'!$B$2:$B$6,"")</f>
        <v>Gbenga Adesanya</v>
      </c>
      <c r="F30" s="3">
        <f t="shared" si="4"/>
        <v>5</v>
      </c>
      <c r="G30" s="1" t="str">
        <f t="shared" si="4"/>
        <v>May</v>
      </c>
      <c r="H30" s="11">
        <v>6000</v>
      </c>
      <c r="I30" s="11">
        <v>3565</v>
      </c>
      <c r="J30" s="11" cm="1">
        <f t="array" ref="J30">_xlfn.XLOOKUP(C30&amp;D30&amp;F30,Expense!$C$2:$C$601&amp;Expense!$D$2:$D$601&amp;Expense!$E$2:$E$601,Expense!$G$2:$G$601,"")</f>
        <v>1500</v>
      </c>
      <c r="K30" s="11" cm="1">
        <f t="array" ref="K30">_xlfn.XLOOKUP(C30&amp;D30&amp;F30,Expense!$C$2:$C$601&amp;Expense!$D$2:$D$601&amp;Expense!$E$2:$E$601,Expense!$H$2:$H$601,"")</f>
        <v>1500</v>
      </c>
      <c r="L30" s="14">
        <f t="shared" si="1"/>
        <v>-2435</v>
      </c>
      <c r="M30" s="14">
        <f>Master_Table[[#This Row],[Expense Budget]]-Master_Table[[#This Row],[Actual Expense]]</f>
        <v>0</v>
      </c>
      <c r="N30" s="16">
        <f t="shared" si="2"/>
        <v>2065</v>
      </c>
      <c r="O30" s="29">
        <f t="shared" si="0"/>
        <v>4500</v>
      </c>
      <c r="P30" s="16">
        <f t="shared" si="3"/>
        <v>-2435</v>
      </c>
      <c r="Q30" s="28">
        <f>Master_Table[[#This Row],[△Sales Variance]]/Master_Table[[#This Row],[Sales Budget]]</f>
        <v>-0.40583333333333332</v>
      </c>
      <c r="R30" s="28">
        <f>Master_Table[[#This Row],[△Expense  Variance]]/Master_Table[[#This Row],[Expense Budget]]</f>
        <v>0</v>
      </c>
      <c r="S30" s="28">
        <f>Master_Table[[#This Row],[Net Profit Variance]]/Master_Table[[#This Row],[Budget Net Profit]]</f>
        <v>-0.5411111111111111</v>
      </c>
      <c r="T30" s="28">
        <f>Master_Table[[#This Row],[Actual Net Profit]]/Master_Table[[#This Row],[Actual Sales]]</f>
        <v>0.57924263674614307</v>
      </c>
      <c r="U30" s="28" t="str">
        <f>_xlfn.TEXTJOIN(" - ", TRUE, Master_Table[[#This Row],[Product]], Master_Table[[#This Row],[Branch]])</f>
        <v>Mango - Warri</v>
      </c>
    </row>
    <row r="31" spans="1:21" ht="14.4" x14ac:dyDescent="0.3">
      <c r="A31" s="2">
        <v>30</v>
      </c>
      <c r="B31" s="2">
        <v>100</v>
      </c>
      <c r="C31" s="1" t="str">
        <f>VLOOKUP(B31,Products!A:C,2,FALSE)</f>
        <v>Mango</v>
      </c>
      <c r="D31" s="1" t="s">
        <v>22</v>
      </c>
      <c r="E31" s="4" t="str">
        <f>_xlfn.XLOOKUP(D31,'Sales Manager'!$A$2:$A$6,'Sales Manager'!$B$2:$B$6,"")</f>
        <v>Gbenga Adesanya</v>
      </c>
      <c r="F31" s="3">
        <f t="shared" ref="F31:G46" si="5">F19</f>
        <v>6</v>
      </c>
      <c r="G31" s="1" t="str">
        <f t="shared" si="5"/>
        <v>Jun</v>
      </c>
      <c r="H31" s="11">
        <v>1000</v>
      </c>
      <c r="I31" s="11">
        <v>8362</v>
      </c>
      <c r="J31" s="11" cm="1">
        <f t="array" ref="J31">_xlfn.XLOOKUP(C31&amp;D31&amp;F31,Expense!$C$2:$C$601&amp;Expense!$D$2:$D$601&amp;Expense!$E$2:$E$601,Expense!$G$2:$G$601,"")</f>
        <v>200</v>
      </c>
      <c r="K31" s="11" cm="1">
        <f t="array" ref="K31">_xlfn.XLOOKUP(C31&amp;D31&amp;F31,Expense!$C$2:$C$601&amp;Expense!$D$2:$D$601&amp;Expense!$E$2:$E$601,Expense!$H$2:$H$601,"")</f>
        <v>400</v>
      </c>
      <c r="L31" s="14">
        <f t="shared" si="1"/>
        <v>7362</v>
      </c>
      <c r="M31" s="14">
        <f>Master_Table[[#This Row],[Expense Budget]]-Master_Table[[#This Row],[Actual Expense]]</f>
        <v>-200</v>
      </c>
      <c r="N31" s="16">
        <f t="shared" si="2"/>
        <v>7962</v>
      </c>
      <c r="O31" s="29">
        <f t="shared" si="0"/>
        <v>800</v>
      </c>
      <c r="P31" s="16">
        <f t="shared" si="3"/>
        <v>7162</v>
      </c>
      <c r="Q31" s="28">
        <f>Master_Table[[#This Row],[△Sales Variance]]/Master_Table[[#This Row],[Sales Budget]]</f>
        <v>7.3620000000000001</v>
      </c>
      <c r="R31" s="28">
        <f>Master_Table[[#This Row],[△Expense  Variance]]/Master_Table[[#This Row],[Expense Budget]]</f>
        <v>-1</v>
      </c>
      <c r="S31" s="28">
        <f>Master_Table[[#This Row],[Net Profit Variance]]/Master_Table[[#This Row],[Budget Net Profit]]</f>
        <v>8.9525000000000006</v>
      </c>
      <c r="T31" s="28">
        <f>Master_Table[[#This Row],[Actual Net Profit]]/Master_Table[[#This Row],[Actual Sales]]</f>
        <v>0.95216455393446542</v>
      </c>
      <c r="U31" s="28" t="str">
        <f>_xlfn.TEXTJOIN(" - ", TRUE, Master_Table[[#This Row],[Product]], Master_Table[[#This Row],[Branch]])</f>
        <v>Mango - Warri</v>
      </c>
    </row>
    <row r="32" spans="1:21" ht="14.4" x14ac:dyDescent="0.3">
      <c r="A32" s="2">
        <v>31</v>
      </c>
      <c r="B32" s="2">
        <v>100</v>
      </c>
      <c r="C32" s="1" t="str">
        <f>VLOOKUP(B32,Products!A:C,2,FALSE)</f>
        <v>Mango</v>
      </c>
      <c r="D32" s="1" t="s">
        <v>22</v>
      </c>
      <c r="E32" s="4" t="str">
        <f>_xlfn.XLOOKUP(D32,'Sales Manager'!$A$2:$A$6,'Sales Manager'!$B$2:$B$6,"")</f>
        <v>Gbenga Adesanya</v>
      </c>
      <c r="F32" s="3">
        <f t="shared" si="5"/>
        <v>7</v>
      </c>
      <c r="G32" s="1" t="str">
        <f t="shared" si="5"/>
        <v>Jul</v>
      </c>
      <c r="H32" s="11">
        <v>6000</v>
      </c>
      <c r="I32" s="11">
        <v>7253</v>
      </c>
      <c r="J32" s="11" cm="1">
        <f t="array" ref="J32">_xlfn.XLOOKUP(C32&amp;D32&amp;F32,Expense!$C$2:$C$601&amp;Expense!$D$2:$D$601&amp;Expense!$E$2:$E$601,Expense!$G$2:$G$601,"")</f>
        <v>3000</v>
      </c>
      <c r="K32" s="11" cm="1">
        <f t="array" ref="K32">_xlfn.XLOOKUP(C32&amp;D32&amp;F32,Expense!$C$2:$C$601&amp;Expense!$D$2:$D$601&amp;Expense!$E$2:$E$601,Expense!$H$2:$H$601,"")</f>
        <v>2700</v>
      </c>
      <c r="L32" s="14">
        <f t="shared" si="1"/>
        <v>1253</v>
      </c>
      <c r="M32" s="14">
        <f>Master_Table[[#This Row],[Expense Budget]]-Master_Table[[#This Row],[Actual Expense]]</f>
        <v>300</v>
      </c>
      <c r="N32" s="16">
        <f t="shared" si="2"/>
        <v>4553</v>
      </c>
      <c r="O32" s="29">
        <f t="shared" si="0"/>
        <v>3000</v>
      </c>
      <c r="P32" s="16">
        <f t="shared" si="3"/>
        <v>1553</v>
      </c>
      <c r="Q32" s="28">
        <f>Master_Table[[#This Row],[△Sales Variance]]/Master_Table[[#This Row],[Sales Budget]]</f>
        <v>0.20883333333333334</v>
      </c>
      <c r="R32" s="28">
        <f>Master_Table[[#This Row],[△Expense  Variance]]/Master_Table[[#This Row],[Expense Budget]]</f>
        <v>0.1</v>
      </c>
      <c r="S32" s="28">
        <f>Master_Table[[#This Row],[Net Profit Variance]]/Master_Table[[#This Row],[Budget Net Profit]]</f>
        <v>0.51766666666666672</v>
      </c>
      <c r="T32" s="28">
        <f>Master_Table[[#This Row],[Actual Net Profit]]/Master_Table[[#This Row],[Actual Sales]]</f>
        <v>0.62774024541569007</v>
      </c>
      <c r="U32" s="28" t="str">
        <f>_xlfn.TEXTJOIN(" - ", TRUE, Master_Table[[#This Row],[Product]], Master_Table[[#This Row],[Branch]])</f>
        <v>Mango - Warri</v>
      </c>
    </row>
    <row r="33" spans="1:21" ht="14.4" x14ac:dyDescent="0.3">
      <c r="A33" s="2">
        <v>32</v>
      </c>
      <c r="B33" s="2">
        <v>100</v>
      </c>
      <c r="C33" s="1" t="str">
        <f>VLOOKUP(B33,Products!A:C,2,FALSE)</f>
        <v>Mango</v>
      </c>
      <c r="D33" s="1" t="s">
        <v>22</v>
      </c>
      <c r="E33" s="4" t="str">
        <f>_xlfn.XLOOKUP(D33,'Sales Manager'!$A$2:$A$6,'Sales Manager'!$B$2:$B$6,"")</f>
        <v>Gbenga Adesanya</v>
      </c>
      <c r="F33" s="3">
        <f t="shared" si="5"/>
        <v>8</v>
      </c>
      <c r="G33" s="1" t="str">
        <f t="shared" si="5"/>
        <v>Aug</v>
      </c>
      <c r="H33" s="11">
        <v>7000</v>
      </c>
      <c r="I33" s="11">
        <v>5653</v>
      </c>
      <c r="J33" s="11" cm="1">
        <f t="array" ref="J33">_xlfn.XLOOKUP(C33&amp;D33&amp;F33,Expense!$C$2:$C$601&amp;Expense!$D$2:$D$601&amp;Expense!$E$2:$E$601,Expense!$G$2:$G$601,"")</f>
        <v>2333.3333333333335</v>
      </c>
      <c r="K33" s="11" cm="1">
        <f t="array" ref="K33">_xlfn.XLOOKUP(C33&amp;D33&amp;F33,Expense!$C$2:$C$601&amp;Expense!$D$2:$D$601&amp;Expense!$E$2:$E$601,Expense!$H$2:$H$601,"")</f>
        <v>1833.3333333333335</v>
      </c>
      <c r="L33" s="14">
        <f t="shared" si="1"/>
        <v>-1347</v>
      </c>
      <c r="M33" s="14">
        <f>Master_Table[[#This Row],[Expense Budget]]-Master_Table[[#This Row],[Actual Expense]]</f>
        <v>500</v>
      </c>
      <c r="N33" s="16">
        <f t="shared" si="2"/>
        <v>3819.6666666666665</v>
      </c>
      <c r="O33" s="29">
        <f t="shared" si="0"/>
        <v>4666.6666666666661</v>
      </c>
      <c r="P33" s="16">
        <f t="shared" si="3"/>
        <v>-846.99999999999955</v>
      </c>
      <c r="Q33" s="28">
        <f>Master_Table[[#This Row],[△Sales Variance]]/Master_Table[[#This Row],[Sales Budget]]</f>
        <v>-0.19242857142857142</v>
      </c>
      <c r="R33" s="28">
        <f>Master_Table[[#This Row],[△Expense  Variance]]/Master_Table[[#This Row],[Expense Budget]]</f>
        <v>0.21428571428571427</v>
      </c>
      <c r="S33" s="28">
        <f>Master_Table[[#This Row],[Net Profit Variance]]/Master_Table[[#This Row],[Budget Net Profit]]</f>
        <v>-0.18149999999999994</v>
      </c>
      <c r="T33" s="28">
        <f>Master_Table[[#This Row],[Actual Net Profit]]/Master_Table[[#This Row],[Actual Sales]]</f>
        <v>0.67568842502506044</v>
      </c>
      <c r="U33" s="28" t="str">
        <f>_xlfn.TEXTJOIN(" - ", TRUE, Master_Table[[#This Row],[Product]], Master_Table[[#This Row],[Branch]])</f>
        <v>Mango - Warri</v>
      </c>
    </row>
    <row r="34" spans="1:21" ht="14.4" x14ac:dyDescent="0.3">
      <c r="A34" s="2">
        <v>33</v>
      </c>
      <c r="B34" s="2">
        <v>100</v>
      </c>
      <c r="C34" s="1" t="str">
        <f>VLOOKUP(B34,Products!A:C,2,FALSE)</f>
        <v>Mango</v>
      </c>
      <c r="D34" s="1" t="s">
        <v>22</v>
      </c>
      <c r="E34" s="4" t="str">
        <f>_xlfn.XLOOKUP(D34,'Sales Manager'!$A$2:$A$6,'Sales Manager'!$B$2:$B$6,"")</f>
        <v>Gbenga Adesanya</v>
      </c>
      <c r="F34" s="3">
        <f t="shared" si="5"/>
        <v>9</v>
      </c>
      <c r="G34" s="1" t="str">
        <f t="shared" si="5"/>
        <v>Sept</v>
      </c>
      <c r="H34" s="11">
        <v>4000</v>
      </c>
      <c r="I34" s="11">
        <v>2122</v>
      </c>
      <c r="J34" s="11" cm="1">
        <f t="array" ref="J34">_xlfn.XLOOKUP(C34&amp;D34&amp;F34,Expense!$C$2:$C$601&amp;Expense!$D$2:$D$601&amp;Expense!$E$2:$E$601,Expense!$G$2:$G$601,"")</f>
        <v>800</v>
      </c>
      <c r="K34" s="11" cm="1">
        <f t="array" ref="K34">_xlfn.XLOOKUP(C34&amp;D34&amp;F34,Expense!$C$2:$C$601&amp;Expense!$D$2:$D$601&amp;Expense!$E$2:$E$601,Expense!$H$2:$H$601,"")</f>
        <v>600</v>
      </c>
      <c r="L34" s="14">
        <f t="shared" si="1"/>
        <v>-1878</v>
      </c>
      <c r="M34" s="14">
        <f>Master_Table[[#This Row],[Expense Budget]]-Master_Table[[#This Row],[Actual Expense]]</f>
        <v>200</v>
      </c>
      <c r="N34" s="16">
        <f t="shared" si="2"/>
        <v>1522</v>
      </c>
      <c r="O34" s="29">
        <f t="shared" si="0"/>
        <v>3200</v>
      </c>
      <c r="P34" s="16">
        <f t="shared" si="3"/>
        <v>-1678</v>
      </c>
      <c r="Q34" s="28">
        <f>Master_Table[[#This Row],[△Sales Variance]]/Master_Table[[#This Row],[Sales Budget]]</f>
        <v>-0.46949999999999997</v>
      </c>
      <c r="R34" s="28">
        <f>Master_Table[[#This Row],[△Expense  Variance]]/Master_Table[[#This Row],[Expense Budget]]</f>
        <v>0.25</v>
      </c>
      <c r="S34" s="28">
        <f>Master_Table[[#This Row],[Net Profit Variance]]/Master_Table[[#This Row],[Budget Net Profit]]</f>
        <v>-0.52437500000000004</v>
      </c>
      <c r="T34" s="28">
        <f>Master_Table[[#This Row],[Actual Net Profit]]/Master_Table[[#This Row],[Actual Sales]]</f>
        <v>0.71724787935909518</v>
      </c>
      <c r="U34" s="28" t="str">
        <f>_xlfn.TEXTJOIN(" - ", TRUE, Master_Table[[#This Row],[Product]], Master_Table[[#This Row],[Branch]])</f>
        <v>Mango - Warri</v>
      </c>
    </row>
    <row r="35" spans="1:21" ht="14.4" x14ac:dyDescent="0.3">
      <c r="A35" s="2">
        <v>34</v>
      </c>
      <c r="B35" s="2">
        <v>100</v>
      </c>
      <c r="C35" s="1" t="str">
        <f>VLOOKUP(B35,Products!A:C,2,FALSE)</f>
        <v>Mango</v>
      </c>
      <c r="D35" s="1" t="s">
        <v>22</v>
      </c>
      <c r="E35" s="4" t="str">
        <f>_xlfn.XLOOKUP(D35,'Sales Manager'!$A$2:$A$6,'Sales Manager'!$B$2:$B$6,"")</f>
        <v>Gbenga Adesanya</v>
      </c>
      <c r="F35" s="3">
        <f t="shared" si="5"/>
        <v>10</v>
      </c>
      <c r="G35" s="1" t="str">
        <f t="shared" si="5"/>
        <v>Oct</v>
      </c>
      <c r="H35" s="11">
        <v>1000</v>
      </c>
      <c r="I35" s="11">
        <v>6646</v>
      </c>
      <c r="J35" s="11" cm="1">
        <f t="array" ref="J35">_xlfn.XLOOKUP(C35&amp;D35&amp;F35,Expense!$C$2:$C$601&amp;Expense!$D$2:$D$601&amp;Expense!$E$2:$E$601,Expense!$G$2:$G$601,"")</f>
        <v>250</v>
      </c>
      <c r="K35" s="11" cm="1">
        <f t="array" ref="K35">_xlfn.XLOOKUP(C35&amp;D35&amp;F35,Expense!$C$2:$C$601&amp;Expense!$D$2:$D$601&amp;Expense!$E$2:$E$601,Expense!$H$2:$H$601,"")</f>
        <v>150</v>
      </c>
      <c r="L35" s="14">
        <f t="shared" si="1"/>
        <v>5646</v>
      </c>
      <c r="M35" s="14">
        <f>Master_Table[[#This Row],[Expense Budget]]-Master_Table[[#This Row],[Actual Expense]]</f>
        <v>100</v>
      </c>
      <c r="N35" s="16">
        <f t="shared" si="2"/>
        <v>6496</v>
      </c>
      <c r="O35" s="29">
        <f t="shared" si="0"/>
        <v>750</v>
      </c>
      <c r="P35" s="16">
        <f t="shared" si="3"/>
        <v>5746</v>
      </c>
      <c r="Q35" s="28">
        <f>Master_Table[[#This Row],[△Sales Variance]]/Master_Table[[#This Row],[Sales Budget]]</f>
        <v>5.6459999999999999</v>
      </c>
      <c r="R35" s="28">
        <f>Master_Table[[#This Row],[△Expense  Variance]]/Master_Table[[#This Row],[Expense Budget]]</f>
        <v>0.4</v>
      </c>
      <c r="S35" s="28">
        <f>Master_Table[[#This Row],[Net Profit Variance]]/Master_Table[[#This Row],[Budget Net Profit]]</f>
        <v>7.6613333333333333</v>
      </c>
      <c r="T35" s="28">
        <f>Master_Table[[#This Row],[Actual Net Profit]]/Master_Table[[#This Row],[Actual Sales]]</f>
        <v>0.97743003310261811</v>
      </c>
      <c r="U35" s="28" t="str">
        <f>_xlfn.TEXTJOIN(" - ", TRUE, Master_Table[[#This Row],[Product]], Master_Table[[#This Row],[Branch]])</f>
        <v>Mango - Warri</v>
      </c>
    </row>
    <row r="36" spans="1:21" ht="14.4" x14ac:dyDescent="0.3">
      <c r="A36" s="2">
        <v>35</v>
      </c>
      <c r="B36" s="2">
        <v>100</v>
      </c>
      <c r="C36" s="1" t="str">
        <f>VLOOKUP(B36,Products!A:C,2,FALSE)</f>
        <v>Mango</v>
      </c>
      <c r="D36" s="1" t="s">
        <v>22</v>
      </c>
      <c r="E36" s="4" t="str">
        <f>_xlfn.XLOOKUP(D36,'Sales Manager'!$A$2:$A$6,'Sales Manager'!$B$2:$B$6,"")</f>
        <v>Gbenga Adesanya</v>
      </c>
      <c r="F36" s="3">
        <f t="shared" si="5"/>
        <v>11</v>
      </c>
      <c r="G36" s="1" t="str">
        <f t="shared" si="5"/>
        <v>Nov</v>
      </c>
      <c r="H36" s="11">
        <v>2000</v>
      </c>
      <c r="I36" s="11">
        <v>2974</v>
      </c>
      <c r="J36" s="11" cm="1">
        <f t="array" ref="J36">_xlfn.XLOOKUP(C36&amp;D36&amp;F36,Expense!$C$2:$C$601&amp;Expense!$D$2:$D$601&amp;Expense!$E$2:$E$601,Expense!$G$2:$G$601,"")</f>
        <v>400</v>
      </c>
      <c r="K36" s="11" cm="1">
        <f t="array" ref="K36">_xlfn.XLOOKUP(C36&amp;D36&amp;F36,Expense!$C$2:$C$601&amp;Expense!$D$2:$D$601&amp;Expense!$E$2:$E$601,Expense!$H$2:$H$601,"")</f>
        <v>300</v>
      </c>
      <c r="L36" s="14">
        <f t="shared" si="1"/>
        <v>974</v>
      </c>
      <c r="M36" s="14">
        <f>Master_Table[[#This Row],[Expense Budget]]-Master_Table[[#This Row],[Actual Expense]]</f>
        <v>100</v>
      </c>
      <c r="N36" s="16">
        <f t="shared" si="2"/>
        <v>2674</v>
      </c>
      <c r="O36" s="29">
        <f t="shared" si="0"/>
        <v>1600</v>
      </c>
      <c r="P36" s="16">
        <f t="shared" si="3"/>
        <v>1074</v>
      </c>
      <c r="Q36" s="28">
        <f>Master_Table[[#This Row],[△Sales Variance]]/Master_Table[[#This Row],[Sales Budget]]</f>
        <v>0.48699999999999999</v>
      </c>
      <c r="R36" s="28">
        <f>Master_Table[[#This Row],[△Expense  Variance]]/Master_Table[[#This Row],[Expense Budget]]</f>
        <v>0.25</v>
      </c>
      <c r="S36" s="28">
        <f>Master_Table[[#This Row],[Net Profit Variance]]/Master_Table[[#This Row],[Budget Net Profit]]</f>
        <v>0.67125000000000001</v>
      </c>
      <c r="T36" s="28">
        <f>Master_Table[[#This Row],[Actual Net Profit]]/Master_Table[[#This Row],[Actual Sales]]</f>
        <v>0.89912575655682581</v>
      </c>
      <c r="U36" s="28" t="str">
        <f>_xlfn.TEXTJOIN(" - ", TRUE, Master_Table[[#This Row],[Product]], Master_Table[[#This Row],[Branch]])</f>
        <v>Mango - Warri</v>
      </c>
    </row>
    <row r="37" spans="1:21" ht="14.4" x14ac:dyDescent="0.3">
      <c r="A37" s="2">
        <v>36</v>
      </c>
      <c r="B37" s="2">
        <v>100</v>
      </c>
      <c r="C37" s="1" t="str">
        <f>VLOOKUP(B37,Products!A:C,2,FALSE)</f>
        <v>Mango</v>
      </c>
      <c r="D37" s="1" t="s">
        <v>22</v>
      </c>
      <c r="E37" s="4" t="str">
        <f>_xlfn.XLOOKUP(D37,'Sales Manager'!$A$2:$A$6,'Sales Manager'!$B$2:$B$6,"")</f>
        <v>Gbenga Adesanya</v>
      </c>
      <c r="F37" s="3">
        <f t="shared" si="5"/>
        <v>12</v>
      </c>
      <c r="G37" s="1" t="str">
        <f t="shared" si="5"/>
        <v>Dec</v>
      </c>
      <c r="H37" s="11">
        <v>1000</v>
      </c>
      <c r="I37" s="11">
        <v>3623</v>
      </c>
      <c r="J37" s="11" cm="1">
        <f t="array" ref="J37">_xlfn.XLOOKUP(C37&amp;D37&amp;F37,Expense!$C$2:$C$601&amp;Expense!$D$2:$D$601&amp;Expense!$E$2:$E$601,Expense!$G$2:$G$601,"")</f>
        <v>200</v>
      </c>
      <c r="K37" s="11" cm="1">
        <f t="array" ref="K37">_xlfn.XLOOKUP(C37&amp;D37&amp;F37,Expense!$C$2:$C$601&amp;Expense!$D$2:$D$601&amp;Expense!$E$2:$E$601,Expense!$H$2:$H$601,"")</f>
        <v>500</v>
      </c>
      <c r="L37" s="14">
        <f t="shared" si="1"/>
        <v>2623</v>
      </c>
      <c r="M37" s="14">
        <f>Master_Table[[#This Row],[Expense Budget]]-Master_Table[[#This Row],[Actual Expense]]</f>
        <v>-300</v>
      </c>
      <c r="N37" s="16">
        <f t="shared" si="2"/>
        <v>3123</v>
      </c>
      <c r="O37" s="29">
        <f t="shared" si="0"/>
        <v>800</v>
      </c>
      <c r="P37" s="16">
        <f t="shared" si="3"/>
        <v>2323</v>
      </c>
      <c r="Q37" s="28">
        <f>Master_Table[[#This Row],[△Sales Variance]]/Master_Table[[#This Row],[Sales Budget]]</f>
        <v>2.6230000000000002</v>
      </c>
      <c r="R37" s="28">
        <f>Master_Table[[#This Row],[△Expense  Variance]]/Master_Table[[#This Row],[Expense Budget]]</f>
        <v>-1.5</v>
      </c>
      <c r="S37" s="28">
        <f>Master_Table[[#This Row],[Net Profit Variance]]/Master_Table[[#This Row],[Budget Net Profit]]</f>
        <v>2.9037500000000001</v>
      </c>
      <c r="T37" s="28">
        <f>Master_Table[[#This Row],[Actual Net Profit]]/Master_Table[[#This Row],[Actual Sales]]</f>
        <v>0.86199282362682861</v>
      </c>
      <c r="U37" s="28" t="str">
        <f>_xlfn.TEXTJOIN(" - ", TRUE, Master_Table[[#This Row],[Product]], Master_Table[[#This Row],[Branch]])</f>
        <v>Mango - Warri</v>
      </c>
    </row>
    <row r="38" spans="1:21" ht="14.4" x14ac:dyDescent="0.3">
      <c r="A38" s="2">
        <v>37</v>
      </c>
      <c r="B38" s="2">
        <v>100</v>
      </c>
      <c r="C38" s="1" t="str">
        <f>VLOOKUP(B38,Products!A:C,2,FALSE)</f>
        <v>Mango</v>
      </c>
      <c r="D38" s="1" t="s">
        <v>23</v>
      </c>
      <c r="E38" s="4" t="str">
        <f>_xlfn.XLOOKUP(D38,'Sales Manager'!$A$2:$A$6,'Sales Manager'!$B$2:$B$6,"")</f>
        <v>Musa Garba</v>
      </c>
      <c r="F38" s="3">
        <f t="shared" si="5"/>
        <v>1</v>
      </c>
      <c r="G38" s="1" t="str">
        <f t="shared" si="5"/>
        <v>Jan</v>
      </c>
      <c r="H38" s="11">
        <v>8000</v>
      </c>
      <c r="I38" s="11">
        <v>3324</v>
      </c>
      <c r="J38" s="11" cm="1">
        <f t="array" ref="J38">_xlfn.XLOOKUP(C38&amp;D38&amp;F38,Expense!$C$2:$C$601&amp;Expense!$D$2:$D$601&amp;Expense!$E$2:$E$601,Expense!$G$2:$G$601,"")</f>
        <v>2000</v>
      </c>
      <c r="K38" s="11" cm="1">
        <f t="array" ref="K38">_xlfn.XLOOKUP(C38&amp;D38&amp;F38,Expense!$C$2:$C$601&amp;Expense!$D$2:$D$601&amp;Expense!$E$2:$E$601,Expense!$H$2:$H$601,"")</f>
        <v>1700</v>
      </c>
      <c r="L38" s="14">
        <f t="shared" si="1"/>
        <v>-4676</v>
      </c>
      <c r="M38" s="14">
        <f>Master_Table[[#This Row],[Expense Budget]]-Master_Table[[#This Row],[Actual Expense]]</f>
        <v>300</v>
      </c>
      <c r="N38" s="16">
        <f t="shared" si="2"/>
        <v>1624</v>
      </c>
      <c r="O38" s="29">
        <f t="shared" si="0"/>
        <v>6000</v>
      </c>
      <c r="P38" s="16">
        <f t="shared" si="3"/>
        <v>-4376</v>
      </c>
      <c r="Q38" s="28">
        <f>Master_Table[[#This Row],[△Sales Variance]]/Master_Table[[#This Row],[Sales Budget]]</f>
        <v>-0.58450000000000002</v>
      </c>
      <c r="R38" s="28">
        <f>Master_Table[[#This Row],[△Expense  Variance]]/Master_Table[[#This Row],[Expense Budget]]</f>
        <v>0.15</v>
      </c>
      <c r="S38" s="28">
        <f>Master_Table[[#This Row],[Net Profit Variance]]/Master_Table[[#This Row],[Budget Net Profit]]</f>
        <v>-0.72933333333333328</v>
      </c>
      <c r="T38" s="28">
        <f>Master_Table[[#This Row],[Actual Net Profit]]/Master_Table[[#This Row],[Actual Sales]]</f>
        <v>0.48856799037304455</v>
      </c>
      <c r="U38" s="28" t="str">
        <f>_xlfn.TEXTJOIN(" - ", TRUE, Master_Table[[#This Row],[Product]], Master_Table[[#This Row],[Branch]])</f>
        <v>Mango - Kaduna</v>
      </c>
    </row>
    <row r="39" spans="1:21" ht="14.4" x14ac:dyDescent="0.3">
      <c r="A39" s="2">
        <v>38</v>
      </c>
      <c r="B39" s="2">
        <v>100</v>
      </c>
      <c r="C39" s="1" t="str">
        <f>VLOOKUP(B39,Products!A:C,2,FALSE)</f>
        <v>Mango</v>
      </c>
      <c r="D39" s="1" t="s">
        <v>23</v>
      </c>
      <c r="E39" s="4" t="str">
        <f>_xlfn.XLOOKUP(D39,'Sales Manager'!$A$2:$A$6,'Sales Manager'!$B$2:$B$6,"")</f>
        <v>Musa Garba</v>
      </c>
      <c r="F39" s="3">
        <f t="shared" si="5"/>
        <v>2</v>
      </c>
      <c r="G39" s="1" t="str">
        <f t="shared" si="5"/>
        <v>Feb</v>
      </c>
      <c r="H39" s="11">
        <v>8000</v>
      </c>
      <c r="I39" s="11">
        <v>10000</v>
      </c>
      <c r="J39" s="11" cm="1">
        <f t="array" ref="J39">_xlfn.XLOOKUP(C39&amp;D39&amp;F39,Expense!$C$2:$C$601&amp;Expense!$D$2:$D$601&amp;Expense!$E$2:$E$601,Expense!$G$2:$G$601,"")</f>
        <v>2000</v>
      </c>
      <c r="K39" s="11" cm="1">
        <f t="array" ref="K39">_xlfn.XLOOKUP(C39&amp;D39&amp;F39,Expense!$C$2:$C$601&amp;Expense!$D$2:$D$601&amp;Expense!$E$2:$E$601,Expense!$H$2:$H$601,"")</f>
        <v>1900</v>
      </c>
      <c r="L39" s="14">
        <f t="shared" si="1"/>
        <v>2000</v>
      </c>
      <c r="M39" s="14">
        <f>Master_Table[[#This Row],[Expense Budget]]-Master_Table[[#This Row],[Actual Expense]]</f>
        <v>100</v>
      </c>
      <c r="N39" s="16">
        <f t="shared" si="2"/>
        <v>8100</v>
      </c>
      <c r="O39" s="29">
        <f t="shared" si="0"/>
        <v>6000</v>
      </c>
      <c r="P39" s="16">
        <f t="shared" si="3"/>
        <v>2100</v>
      </c>
      <c r="Q39" s="28">
        <f>Master_Table[[#This Row],[△Sales Variance]]/Master_Table[[#This Row],[Sales Budget]]</f>
        <v>0.25</v>
      </c>
      <c r="R39" s="28">
        <f>Master_Table[[#This Row],[△Expense  Variance]]/Master_Table[[#This Row],[Expense Budget]]</f>
        <v>0.05</v>
      </c>
      <c r="S39" s="28">
        <f>Master_Table[[#This Row],[Net Profit Variance]]/Master_Table[[#This Row],[Budget Net Profit]]</f>
        <v>0.35</v>
      </c>
      <c r="T39" s="28">
        <f>Master_Table[[#This Row],[Actual Net Profit]]/Master_Table[[#This Row],[Actual Sales]]</f>
        <v>0.81</v>
      </c>
      <c r="U39" s="28" t="str">
        <f>_xlfn.TEXTJOIN(" - ", TRUE, Master_Table[[#This Row],[Product]], Master_Table[[#This Row],[Branch]])</f>
        <v>Mango - Kaduna</v>
      </c>
    </row>
    <row r="40" spans="1:21" ht="14.4" x14ac:dyDescent="0.3">
      <c r="A40" s="2">
        <v>39</v>
      </c>
      <c r="B40" s="2">
        <v>100</v>
      </c>
      <c r="C40" s="1" t="str">
        <f>VLOOKUP(B40,Products!A:C,2,FALSE)</f>
        <v>Mango</v>
      </c>
      <c r="D40" s="1" t="s">
        <v>23</v>
      </c>
      <c r="E40" s="4" t="str">
        <f>_xlfn.XLOOKUP(D40,'Sales Manager'!$A$2:$A$6,'Sales Manager'!$B$2:$B$6,"")</f>
        <v>Musa Garba</v>
      </c>
      <c r="F40" s="3">
        <f t="shared" si="5"/>
        <v>3</v>
      </c>
      <c r="G40" s="1" t="str">
        <f t="shared" si="5"/>
        <v>Mar</v>
      </c>
      <c r="H40" s="11">
        <v>5000</v>
      </c>
      <c r="I40" s="11">
        <v>9847</v>
      </c>
      <c r="J40" s="11" cm="1">
        <f t="array" ref="J40">_xlfn.XLOOKUP(C40&amp;D40&amp;F40,Expense!$C$2:$C$601&amp;Expense!$D$2:$D$601&amp;Expense!$E$2:$E$601,Expense!$G$2:$G$601,"")</f>
        <v>1666.6666666666667</v>
      </c>
      <c r="K40" s="11" cm="1">
        <f t="array" ref="K40">_xlfn.XLOOKUP(C40&amp;D40&amp;F40,Expense!$C$2:$C$601&amp;Expense!$D$2:$D$601&amp;Expense!$E$2:$E$601,Expense!$H$2:$H$601,"")</f>
        <v>1566.6666666666667</v>
      </c>
      <c r="L40" s="14">
        <f t="shared" si="1"/>
        <v>4847</v>
      </c>
      <c r="M40" s="14">
        <f>Master_Table[[#This Row],[Expense Budget]]-Master_Table[[#This Row],[Actual Expense]]</f>
        <v>100</v>
      </c>
      <c r="N40" s="16">
        <f t="shared" si="2"/>
        <v>8280.3333333333339</v>
      </c>
      <c r="O40" s="29">
        <f t="shared" si="0"/>
        <v>3333.333333333333</v>
      </c>
      <c r="P40" s="16">
        <f t="shared" si="3"/>
        <v>4947.0000000000009</v>
      </c>
      <c r="Q40" s="28">
        <f>Master_Table[[#This Row],[△Sales Variance]]/Master_Table[[#This Row],[Sales Budget]]</f>
        <v>0.96940000000000004</v>
      </c>
      <c r="R40" s="28">
        <f>Master_Table[[#This Row],[△Expense  Variance]]/Master_Table[[#This Row],[Expense Budget]]</f>
        <v>0.06</v>
      </c>
      <c r="S40" s="28">
        <f>Master_Table[[#This Row],[Net Profit Variance]]/Master_Table[[#This Row],[Budget Net Profit]]</f>
        <v>1.4841000000000004</v>
      </c>
      <c r="T40" s="28">
        <f>Master_Table[[#This Row],[Actual Net Profit]]/Master_Table[[#This Row],[Actual Sales]]</f>
        <v>0.84089908940117131</v>
      </c>
      <c r="U40" s="28" t="str">
        <f>_xlfn.TEXTJOIN(" - ", TRUE, Master_Table[[#This Row],[Product]], Master_Table[[#This Row],[Branch]])</f>
        <v>Mango - Kaduna</v>
      </c>
    </row>
    <row r="41" spans="1:21" ht="14.4" x14ac:dyDescent="0.3">
      <c r="A41" s="2">
        <v>40</v>
      </c>
      <c r="B41" s="2">
        <v>100</v>
      </c>
      <c r="C41" s="1" t="str">
        <f>VLOOKUP(B41,Products!A:C,2,FALSE)</f>
        <v>Mango</v>
      </c>
      <c r="D41" s="1" t="s">
        <v>23</v>
      </c>
      <c r="E41" s="4" t="str">
        <f>_xlfn.XLOOKUP(D41,'Sales Manager'!$A$2:$A$6,'Sales Manager'!$B$2:$B$6,"")</f>
        <v>Musa Garba</v>
      </c>
      <c r="F41" s="3">
        <f t="shared" si="5"/>
        <v>4</v>
      </c>
      <c r="G41" s="1" t="str">
        <f t="shared" si="5"/>
        <v>Apr</v>
      </c>
      <c r="H41" s="11">
        <v>4000</v>
      </c>
      <c r="I41" s="11">
        <v>2332</v>
      </c>
      <c r="J41" s="11" cm="1">
        <f t="array" ref="J41">_xlfn.XLOOKUP(C41&amp;D41&amp;F41,Expense!$C$2:$C$601&amp;Expense!$D$2:$D$601&amp;Expense!$E$2:$E$601,Expense!$G$2:$G$601,"")</f>
        <v>1333.3333333333333</v>
      </c>
      <c r="K41" s="11" cm="1">
        <f t="array" ref="K41">_xlfn.XLOOKUP(C41&amp;D41&amp;F41,Expense!$C$2:$C$601&amp;Expense!$D$2:$D$601&amp;Expense!$E$2:$E$601,Expense!$H$2:$H$601,"")</f>
        <v>533.33333333333326</v>
      </c>
      <c r="L41" s="14">
        <f t="shared" si="1"/>
        <v>-1668</v>
      </c>
      <c r="M41" s="14">
        <f>Master_Table[[#This Row],[Expense Budget]]-Master_Table[[#This Row],[Actual Expense]]</f>
        <v>800</v>
      </c>
      <c r="N41" s="16">
        <f t="shared" si="2"/>
        <v>1798.6666666666667</v>
      </c>
      <c r="O41" s="29">
        <f t="shared" si="0"/>
        <v>2666.666666666667</v>
      </c>
      <c r="P41" s="16">
        <f t="shared" si="3"/>
        <v>-868.00000000000023</v>
      </c>
      <c r="Q41" s="28">
        <f>Master_Table[[#This Row],[△Sales Variance]]/Master_Table[[#This Row],[Sales Budget]]</f>
        <v>-0.41699999999999998</v>
      </c>
      <c r="R41" s="28">
        <f>Master_Table[[#This Row],[△Expense  Variance]]/Master_Table[[#This Row],[Expense Budget]]</f>
        <v>0.60000000000000009</v>
      </c>
      <c r="S41" s="28">
        <f>Master_Table[[#This Row],[Net Profit Variance]]/Master_Table[[#This Row],[Budget Net Profit]]</f>
        <v>-0.32550000000000007</v>
      </c>
      <c r="T41" s="28">
        <f>Master_Table[[#This Row],[Actual Net Profit]]/Master_Table[[#This Row],[Actual Sales]]</f>
        <v>0.77129788450543169</v>
      </c>
      <c r="U41" s="28" t="str">
        <f>_xlfn.TEXTJOIN(" - ", TRUE, Master_Table[[#This Row],[Product]], Master_Table[[#This Row],[Branch]])</f>
        <v>Mango - Kaduna</v>
      </c>
    </row>
    <row r="42" spans="1:21" ht="14.4" x14ac:dyDescent="0.3">
      <c r="A42" s="2">
        <v>41</v>
      </c>
      <c r="B42" s="2">
        <v>100</v>
      </c>
      <c r="C42" s="1" t="str">
        <f>VLOOKUP(B42,Products!A:C,2,FALSE)</f>
        <v>Mango</v>
      </c>
      <c r="D42" s="1" t="s">
        <v>23</v>
      </c>
      <c r="E42" s="4" t="str">
        <f>_xlfn.XLOOKUP(D42,'Sales Manager'!$A$2:$A$6,'Sales Manager'!$B$2:$B$6,"")</f>
        <v>Musa Garba</v>
      </c>
      <c r="F42" s="3">
        <f t="shared" si="5"/>
        <v>5</v>
      </c>
      <c r="G42" s="1" t="str">
        <f t="shared" si="5"/>
        <v>May</v>
      </c>
      <c r="H42" s="11">
        <v>2000</v>
      </c>
      <c r="I42" s="11">
        <v>2442</v>
      </c>
      <c r="J42" s="11" cm="1">
        <f t="array" ref="J42">_xlfn.XLOOKUP(C42&amp;D42&amp;F42,Expense!$C$2:$C$601&amp;Expense!$D$2:$D$601&amp;Expense!$E$2:$E$601,Expense!$G$2:$G$601,"")</f>
        <v>666.66666666666663</v>
      </c>
      <c r="K42" s="11" cm="1">
        <f t="array" ref="K42">_xlfn.XLOOKUP(C42&amp;D42&amp;F42,Expense!$C$2:$C$601&amp;Expense!$D$2:$D$601&amp;Expense!$E$2:$E$601,Expense!$H$2:$H$601,"")</f>
        <v>133.33333333333337</v>
      </c>
      <c r="L42" s="14">
        <f t="shared" si="1"/>
        <v>442</v>
      </c>
      <c r="M42" s="14">
        <f>Master_Table[[#This Row],[Expense Budget]]-Master_Table[[#This Row],[Actual Expense]]</f>
        <v>533.33333333333326</v>
      </c>
      <c r="N42" s="16">
        <f t="shared" si="2"/>
        <v>2308.6666666666665</v>
      </c>
      <c r="O42" s="29">
        <f t="shared" si="0"/>
        <v>1333.3333333333335</v>
      </c>
      <c r="P42" s="16">
        <f t="shared" si="3"/>
        <v>975.33333333333303</v>
      </c>
      <c r="Q42" s="28">
        <f>Master_Table[[#This Row],[△Sales Variance]]/Master_Table[[#This Row],[Sales Budget]]</f>
        <v>0.221</v>
      </c>
      <c r="R42" s="28">
        <f>Master_Table[[#This Row],[△Expense  Variance]]/Master_Table[[#This Row],[Expense Budget]]</f>
        <v>0.79999999999999993</v>
      </c>
      <c r="S42" s="28">
        <f>Master_Table[[#This Row],[Net Profit Variance]]/Master_Table[[#This Row],[Budget Net Profit]]</f>
        <v>0.73149999999999971</v>
      </c>
      <c r="T42" s="28">
        <f>Master_Table[[#This Row],[Actual Net Profit]]/Master_Table[[#This Row],[Actual Sales]]</f>
        <v>0.94539994539994532</v>
      </c>
      <c r="U42" s="28" t="str">
        <f>_xlfn.TEXTJOIN(" - ", TRUE, Master_Table[[#This Row],[Product]], Master_Table[[#This Row],[Branch]])</f>
        <v>Mango - Kaduna</v>
      </c>
    </row>
    <row r="43" spans="1:21" ht="14.4" x14ac:dyDescent="0.3">
      <c r="A43" s="2">
        <v>42</v>
      </c>
      <c r="B43" s="2">
        <v>100</v>
      </c>
      <c r="C43" s="1" t="str">
        <f>VLOOKUP(B43,Products!A:C,2,FALSE)</f>
        <v>Mango</v>
      </c>
      <c r="D43" s="1" t="s">
        <v>23</v>
      </c>
      <c r="E43" s="4" t="str">
        <f>_xlfn.XLOOKUP(D43,'Sales Manager'!$A$2:$A$6,'Sales Manager'!$B$2:$B$6,"")</f>
        <v>Musa Garba</v>
      </c>
      <c r="F43" s="3">
        <f t="shared" si="5"/>
        <v>6</v>
      </c>
      <c r="G43" s="1" t="str">
        <f t="shared" si="5"/>
        <v>Jun</v>
      </c>
      <c r="H43" s="11">
        <v>1000</v>
      </c>
      <c r="I43" s="11">
        <v>7441</v>
      </c>
      <c r="J43" s="11" cm="1">
        <f t="array" ref="J43">_xlfn.XLOOKUP(C43&amp;D43&amp;F43,Expense!$C$2:$C$601&amp;Expense!$D$2:$D$601&amp;Expense!$E$2:$E$601,Expense!$G$2:$G$601,"")</f>
        <v>333.33333333333331</v>
      </c>
      <c r="K43" s="11" cm="1">
        <f t="array" ref="K43">_xlfn.XLOOKUP(C43&amp;D43&amp;F43,Expense!$C$2:$C$601&amp;Expense!$D$2:$D$601&amp;Expense!$E$2:$E$601,Expense!$H$2:$H$601,"")</f>
        <v>566.66666666666674</v>
      </c>
      <c r="L43" s="14">
        <f t="shared" si="1"/>
        <v>6441</v>
      </c>
      <c r="M43" s="14">
        <f>Master_Table[[#This Row],[Expense Budget]]-Master_Table[[#This Row],[Actual Expense]]</f>
        <v>-233.33333333333343</v>
      </c>
      <c r="N43" s="16">
        <f t="shared" si="2"/>
        <v>6874.333333333333</v>
      </c>
      <c r="O43" s="29">
        <f t="shared" si="0"/>
        <v>666.66666666666674</v>
      </c>
      <c r="P43" s="16">
        <f t="shared" si="3"/>
        <v>6207.6666666666661</v>
      </c>
      <c r="Q43" s="28">
        <f>Master_Table[[#This Row],[△Sales Variance]]/Master_Table[[#This Row],[Sales Budget]]</f>
        <v>6.4409999999999998</v>
      </c>
      <c r="R43" s="28">
        <f>Master_Table[[#This Row],[△Expense  Variance]]/Master_Table[[#This Row],[Expense Budget]]</f>
        <v>-0.70000000000000029</v>
      </c>
      <c r="S43" s="28">
        <f>Master_Table[[#This Row],[Net Profit Variance]]/Master_Table[[#This Row],[Budget Net Profit]]</f>
        <v>9.3114999999999988</v>
      </c>
      <c r="T43" s="28">
        <f>Master_Table[[#This Row],[Actual Net Profit]]/Master_Table[[#This Row],[Actual Sales]]</f>
        <v>0.92384536128656536</v>
      </c>
      <c r="U43" s="28" t="str">
        <f>_xlfn.TEXTJOIN(" - ", TRUE, Master_Table[[#This Row],[Product]], Master_Table[[#This Row],[Branch]])</f>
        <v>Mango - Kaduna</v>
      </c>
    </row>
    <row r="44" spans="1:21" ht="14.4" x14ac:dyDescent="0.3">
      <c r="A44" s="2">
        <v>43</v>
      </c>
      <c r="B44" s="2">
        <v>100</v>
      </c>
      <c r="C44" s="1" t="str">
        <f>VLOOKUP(B44,Products!A:C,2,FALSE)</f>
        <v>Mango</v>
      </c>
      <c r="D44" s="1" t="s">
        <v>23</v>
      </c>
      <c r="E44" s="4" t="str">
        <f>_xlfn.XLOOKUP(D44,'Sales Manager'!$A$2:$A$6,'Sales Manager'!$B$2:$B$6,"")</f>
        <v>Musa Garba</v>
      </c>
      <c r="F44" s="3">
        <f t="shared" si="5"/>
        <v>7</v>
      </c>
      <c r="G44" s="1" t="str">
        <f t="shared" si="5"/>
        <v>Jul</v>
      </c>
      <c r="H44" s="11">
        <v>9000</v>
      </c>
      <c r="I44" s="11">
        <v>6777</v>
      </c>
      <c r="J44" s="11" cm="1">
        <f t="array" ref="J44">_xlfn.XLOOKUP(C44&amp;D44&amp;F44,Expense!$C$2:$C$601&amp;Expense!$D$2:$D$601&amp;Expense!$E$2:$E$601,Expense!$G$2:$G$601,"")</f>
        <v>1800</v>
      </c>
      <c r="K44" s="11" cm="1">
        <f t="array" ref="K44">_xlfn.XLOOKUP(C44&amp;D44&amp;F44,Expense!$C$2:$C$601&amp;Expense!$D$2:$D$601&amp;Expense!$E$2:$E$601,Expense!$H$2:$H$601,"")</f>
        <v>1400</v>
      </c>
      <c r="L44" s="14">
        <f t="shared" si="1"/>
        <v>-2223</v>
      </c>
      <c r="M44" s="14">
        <f>Master_Table[[#This Row],[Expense Budget]]-Master_Table[[#This Row],[Actual Expense]]</f>
        <v>400</v>
      </c>
      <c r="N44" s="16">
        <f t="shared" si="2"/>
        <v>5377</v>
      </c>
      <c r="O44" s="29">
        <f t="shared" si="0"/>
        <v>7200</v>
      </c>
      <c r="P44" s="16">
        <f t="shared" si="3"/>
        <v>-1823</v>
      </c>
      <c r="Q44" s="28">
        <f>Master_Table[[#This Row],[△Sales Variance]]/Master_Table[[#This Row],[Sales Budget]]</f>
        <v>-0.247</v>
      </c>
      <c r="R44" s="28">
        <f>Master_Table[[#This Row],[△Expense  Variance]]/Master_Table[[#This Row],[Expense Budget]]</f>
        <v>0.22222222222222221</v>
      </c>
      <c r="S44" s="28">
        <f>Master_Table[[#This Row],[Net Profit Variance]]/Master_Table[[#This Row],[Budget Net Profit]]</f>
        <v>-0.25319444444444444</v>
      </c>
      <c r="T44" s="28">
        <f>Master_Table[[#This Row],[Actual Net Profit]]/Master_Table[[#This Row],[Actual Sales]]</f>
        <v>0.79341891692489297</v>
      </c>
      <c r="U44" s="28" t="str">
        <f>_xlfn.TEXTJOIN(" - ", TRUE, Master_Table[[#This Row],[Product]], Master_Table[[#This Row],[Branch]])</f>
        <v>Mango - Kaduna</v>
      </c>
    </row>
    <row r="45" spans="1:21" ht="14.4" x14ac:dyDescent="0.3">
      <c r="A45" s="2">
        <v>44</v>
      </c>
      <c r="B45" s="2">
        <v>100</v>
      </c>
      <c r="C45" s="1" t="str">
        <f>VLOOKUP(B45,Products!A:C,2,FALSE)</f>
        <v>Mango</v>
      </c>
      <c r="D45" s="1" t="s">
        <v>23</v>
      </c>
      <c r="E45" s="4" t="str">
        <f>_xlfn.XLOOKUP(D45,'Sales Manager'!$A$2:$A$6,'Sales Manager'!$B$2:$B$6,"")</f>
        <v>Musa Garba</v>
      </c>
      <c r="F45" s="3">
        <f t="shared" si="5"/>
        <v>8</v>
      </c>
      <c r="G45" s="1" t="str">
        <f t="shared" si="5"/>
        <v>Aug</v>
      </c>
      <c r="H45" s="11">
        <v>7000</v>
      </c>
      <c r="I45" s="11">
        <v>5273</v>
      </c>
      <c r="J45" s="11" cm="1">
        <f t="array" ref="J45">_xlfn.XLOOKUP(C45&amp;D45&amp;F45,Expense!$C$2:$C$601&amp;Expense!$D$2:$D$601&amp;Expense!$E$2:$E$601,Expense!$G$2:$G$601,"")</f>
        <v>3500</v>
      </c>
      <c r="K45" s="11" cm="1">
        <f t="array" ref="K45">_xlfn.XLOOKUP(C45&amp;D45&amp;F45,Expense!$C$2:$C$601&amp;Expense!$D$2:$D$601&amp;Expense!$E$2:$E$601,Expense!$H$2:$H$601,"")</f>
        <v>3400</v>
      </c>
      <c r="L45" s="14">
        <f t="shared" si="1"/>
        <v>-1727</v>
      </c>
      <c r="M45" s="14">
        <f>Master_Table[[#This Row],[Expense Budget]]-Master_Table[[#This Row],[Actual Expense]]</f>
        <v>100</v>
      </c>
      <c r="N45" s="16">
        <f t="shared" si="2"/>
        <v>1873</v>
      </c>
      <c r="O45" s="29">
        <f t="shared" si="0"/>
        <v>3500</v>
      </c>
      <c r="P45" s="16">
        <f t="shared" si="3"/>
        <v>-1627</v>
      </c>
      <c r="Q45" s="28">
        <f>Master_Table[[#This Row],[△Sales Variance]]/Master_Table[[#This Row],[Sales Budget]]</f>
        <v>-0.24671428571428572</v>
      </c>
      <c r="R45" s="28">
        <f>Master_Table[[#This Row],[△Expense  Variance]]/Master_Table[[#This Row],[Expense Budget]]</f>
        <v>2.8571428571428571E-2</v>
      </c>
      <c r="S45" s="28">
        <f>Master_Table[[#This Row],[Net Profit Variance]]/Master_Table[[#This Row],[Budget Net Profit]]</f>
        <v>-0.46485714285714286</v>
      </c>
      <c r="T45" s="28">
        <f>Master_Table[[#This Row],[Actual Net Profit]]/Master_Table[[#This Row],[Actual Sales]]</f>
        <v>0.3552057652190404</v>
      </c>
      <c r="U45" s="28" t="str">
        <f>_xlfn.TEXTJOIN(" - ", TRUE, Master_Table[[#This Row],[Product]], Master_Table[[#This Row],[Branch]])</f>
        <v>Mango - Kaduna</v>
      </c>
    </row>
    <row r="46" spans="1:21" ht="14.4" x14ac:dyDescent="0.3">
      <c r="A46" s="2">
        <v>45</v>
      </c>
      <c r="B46" s="2">
        <v>100</v>
      </c>
      <c r="C46" s="1" t="str">
        <f>VLOOKUP(B46,Products!A:C,2,FALSE)</f>
        <v>Mango</v>
      </c>
      <c r="D46" s="1" t="s">
        <v>23</v>
      </c>
      <c r="E46" s="4" t="str">
        <f>_xlfn.XLOOKUP(D46,'Sales Manager'!$A$2:$A$6,'Sales Manager'!$B$2:$B$6,"")</f>
        <v>Musa Garba</v>
      </c>
      <c r="F46" s="3">
        <f t="shared" si="5"/>
        <v>9</v>
      </c>
      <c r="G46" s="1" t="str">
        <f t="shared" si="5"/>
        <v>Sept</v>
      </c>
      <c r="H46" s="11">
        <v>8000</v>
      </c>
      <c r="I46" s="11">
        <v>5347</v>
      </c>
      <c r="J46" s="11" cm="1">
        <f t="array" ref="J46">_xlfn.XLOOKUP(C46&amp;D46&amp;F46,Expense!$C$2:$C$601&amp;Expense!$D$2:$D$601&amp;Expense!$E$2:$E$601,Expense!$G$2:$G$601,"")</f>
        <v>2666.6666666666665</v>
      </c>
      <c r="K46" s="11" cm="1">
        <f t="array" ref="K46">_xlfn.XLOOKUP(C46&amp;D46&amp;F46,Expense!$C$2:$C$601&amp;Expense!$D$2:$D$601&amp;Expense!$E$2:$E$601,Expense!$H$2:$H$601,"")</f>
        <v>2266.6666666666665</v>
      </c>
      <c r="L46" s="14">
        <f t="shared" si="1"/>
        <v>-2653</v>
      </c>
      <c r="M46" s="14">
        <f>Master_Table[[#This Row],[Expense Budget]]-Master_Table[[#This Row],[Actual Expense]]</f>
        <v>400</v>
      </c>
      <c r="N46" s="16">
        <f t="shared" si="2"/>
        <v>3080.3333333333335</v>
      </c>
      <c r="O46" s="29">
        <f t="shared" si="0"/>
        <v>5333.3333333333339</v>
      </c>
      <c r="P46" s="16">
        <f t="shared" si="3"/>
        <v>-2253.0000000000005</v>
      </c>
      <c r="Q46" s="28">
        <f>Master_Table[[#This Row],[△Sales Variance]]/Master_Table[[#This Row],[Sales Budget]]</f>
        <v>-0.331625</v>
      </c>
      <c r="R46" s="28">
        <f>Master_Table[[#This Row],[△Expense  Variance]]/Master_Table[[#This Row],[Expense Budget]]</f>
        <v>0.15000000000000002</v>
      </c>
      <c r="S46" s="28">
        <f>Master_Table[[#This Row],[Net Profit Variance]]/Master_Table[[#This Row],[Budget Net Profit]]</f>
        <v>-0.42243750000000002</v>
      </c>
      <c r="T46" s="28">
        <f>Master_Table[[#This Row],[Actual Net Profit]]/Master_Table[[#This Row],[Actual Sales]]</f>
        <v>0.5760862789102924</v>
      </c>
      <c r="U46" s="28" t="str">
        <f>_xlfn.TEXTJOIN(" - ", TRUE, Master_Table[[#This Row],[Product]], Master_Table[[#This Row],[Branch]])</f>
        <v>Mango - Kaduna</v>
      </c>
    </row>
    <row r="47" spans="1:21" ht="14.4" x14ac:dyDescent="0.3">
      <c r="A47" s="2">
        <v>46</v>
      </c>
      <c r="B47" s="2">
        <v>100</v>
      </c>
      <c r="C47" s="1" t="str">
        <f>VLOOKUP(B47,Products!A:C,2,FALSE)</f>
        <v>Mango</v>
      </c>
      <c r="D47" s="1" t="s">
        <v>23</v>
      </c>
      <c r="E47" s="4" t="str">
        <f>_xlfn.XLOOKUP(D47,'Sales Manager'!$A$2:$A$6,'Sales Manager'!$B$2:$B$6,"")</f>
        <v>Musa Garba</v>
      </c>
      <c r="F47" s="3">
        <f t="shared" ref="F47:G62" si="6">F35</f>
        <v>10</v>
      </c>
      <c r="G47" s="1" t="str">
        <f t="shared" si="6"/>
        <v>Oct</v>
      </c>
      <c r="H47" s="11">
        <v>3000</v>
      </c>
      <c r="I47" s="11">
        <v>7341</v>
      </c>
      <c r="J47" s="11" cm="1">
        <f t="array" ref="J47">_xlfn.XLOOKUP(C47&amp;D47&amp;F47,Expense!$C$2:$C$601&amp;Expense!$D$2:$D$601&amp;Expense!$E$2:$E$601,Expense!$G$2:$G$601,"")</f>
        <v>1000</v>
      </c>
      <c r="K47" s="11" cm="1">
        <f t="array" ref="K47">_xlfn.XLOOKUP(C47&amp;D47&amp;F47,Expense!$C$2:$C$601&amp;Expense!$D$2:$D$601&amp;Expense!$E$2:$E$601,Expense!$H$2:$H$601,"")</f>
        <v>900</v>
      </c>
      <c r="L47" s="14">
        <f t="shared" si="1"/>
        <v>4341</v>
      </c>
      <c r="M47" s="14">
        <f>Master_Table[[#This Row],[Expense Budget]]-Master_Table[[#This Row],[Actual Expense]]</f>
        <v>100</v>
      </c>
      <c r="N47" s="16">
        <f t="shared" si="2"/>
        <v>6441</v>
      </c>
      <c r="O47" s="29">
        <f t="shared" si="0"/>
        <v>2000</v>
      </c>
      <c r="P47" s="16">
        <f t="shared" si="3"/>
        <v>4441</v>
      </c>
      <c r="Q47" s="28">
        <f>Master_Table[[#This Row],[△Sales Variance]]/Master_Table[[#This Row],[Sales Budget]]</f>
        <v>1.4470000000000001</v>
      </c>
      <c r="R47" s="28">
        <f>Master_Table[[#This Row],[△Expense  Variance]]/Master_Table[[#This Row],[Expense Budget]]</f>
        <v>0.1</v>
      </c>
      <c r="S47" s="28">
        <f>Master_Table[[#This Row],[Net Profit Variance]]/Master_Table[[#This Row],[Budget Net Profit]]</f>
        <v>2.2204999999999999</v>
      </c>
      <c r="T47" s="28">
        <f>Master_Table[[#This Row],[Actual Net Profit]]/Master_Table[[#This Row],[Actual Sales]]</f>
        <v>0.87740089906007357</v>
      </c>
      <c r="U47" s="28" t="str">
        <f>_xlfn.TEXTJOIN(" - ", TRUE, Master_Table[[#This Row],[Product]], Master_Table[[#This Row],[Branch]])</f>
        <v>Mango - Kaduna</v>
      </c>
    </row>
    <row r="48" spans="1:21" ht="14.4" x14ac:dyDescent="0.3">
      <c r="A48" s="2">
        <v>47</v>
      </c>
      <c r="B48" s="2">
        <v>100</v>
      </c>
      <c r="C48" s="1" t="str">
        <f>VLOOKUP(B48,Products!A:C,2,FALSE)</f>
        <v>Mango</v>
      </c>
      <c r="D48" s="1" t="s">
        <v>23</v>
      </c>
      <c r="E48" s="4" t="str">
        <f>_xlfn.XLOOKUP(D48,'Sales Manager'!$A$2:$A$6,'Sales Manager'!$B$2:$B$6,"")</f>
        <v>Musa Garba</v>
      </c>
      <c r="F48" s="3">
        <f t="shared" si="6"/>
        <v>11</v>
      </c>
      <c r="G48" s="1" t="str">
        <f t="shared" si="6"/>
        <v>Nov</v>
      </c>
      <c r="H48" s="11">
        <v>5000</v>
      </c>
      <c r="I48" s="11">
        <v>2882</v>
      </c>
      <c r="J48" s="11" cm="1">
        <f t="array" ref="J48">_xlfn.XLOOKUP(C48&amp;D48&amp;F48,Expense!$C$2:$C$601&amp;Expense!$D$2:$D$601&amp;Expense!$E$2:$E$601,Expense!$G$2:$G$601,"")</f>
        <v>2500</v>
      </c>
      <c r="K48" s="11" cm="1">
        <f t="array" ref="K48">_xlfn.XLOOKUP(C48&amp;D48&amp;F48,Expense!$C$2:$C$601&amp;Expense!$D$2:$D$601&amp;Expense!$E$2:$E$601,Expense!$H$2:$H$601,"")</f>
        <v>2400</v>
      </c>
      <c r="L48" s="14">
        <f t="shared" si="1"/>
        <v>-2118</v>
      </c>
      <c r="M48" s="14">
        <f>Master_Table[[#This Row],[Expense Budget]]-Master_Table[[#This Row],[Actual Expense]]</f>
        <v>100</v>
      </c>
      <c r="N48" s="16">
        <f t="shared" si="2"/>
        <v>482</v>
      </c>
      <c r="O48" s="29">
        <f t="shared" si="0"/>
        <v>2500</v>
      </c>
      <c r="P48" s="16">
        <f t="shared" si="3"/>
        <v>-2018</v>
      </c>
      <c r="Q48" s="28">
        <f>Master_Table[[#This Row],[△Sales Variance]]/Master_Table[[#This Row],[Sales Budget]]</f>
        <v>-0.42359999999999998</v>
      </c>
      <c r="R48" s="28">
        <f>Master_Table[[#This Row],[△Expense  Variance]]/Master_Table[[#This Row],[Expense Budget]]</f>
        <v>0.04</v>
      </c>
      <c r="S48" s="28">
        <f>Master_Table[[#This Row],[Net Profit Variance]]/Master_Table[[#This Row],[Budget Net Profit]]</f>
        <v>-0.80720000000000003</v>
      </c>
      <c r="T48" s="28">
        <f>Master_Table[[#This Row],[Actual Net Profit]]/Master_Table[[#This Row],[Actual Sales]]</f>
        <v>0.16724496877168632</v>
      </c>
      <c r="U48" s="28" t="str">
        <f>_xlfn.TEXTJOIN(" - ", TRUE, Master_Table[[#This Row],[Product]], Master_Table[[#This Row],[Branch]])</f>
        <v>Mango - Kaduna</v>
      </c>
    </row>
    <row r="49" spans="1:21" ht="14.4" x14ac:dyDescent="0.3">
      <c r="A49" s="2">
        <v>48</v>
      </c>
      <c r="B49" s="2">
        <v>100</v>
      </c>
      <c r="C49" s="1" t="str">
        <f>VLOOKUP(B49,Products!A:C,2,FALSE)</f>
        <v>Mango</v>
      </c>
      <c r="D49" s="1" t="s">
        <v>23</v>
      </c>
      <c r="E49" s="4" t="str">
        <f>_xlfn.XLOOKUP(D49,'Sales Manager'!$A$2:$A$6,'Sales Manager'!$B$2:$B$6,"")</f>
        <v>Musa Garba</v>
      </c>
      <c r="F49" s="3">
        <f t="shared" si="6"/>
        <v>12</v>
      </c>
      <c r="G49" s="1" t="str">
        <f t="shared" si="6"/>
        <v>Dec</v>
      </c>
      <c r="H49" s="11">
        <v>3000</v>
      </c>
      <c r="I49" s="11">
        <v>4451</v>
      </c>
      <c r="J49" s="11" cm="1">
        <f t="array" ref="J49">_xlfn.XLOOKUP(C49&amp;D49&amp;F49,Expense!$C$2:$C$601&amp;Expense!$D$2:$D$601&amp;Expense!$E$2:$E$601,Expense!$G$2:$G$601,"")</f>
        <v>1000</v>
      </c>
      <c r="K49" s="11" cm="1">
        <f t="array" ref="K49">_xlfn.XLOOKUP(C49&amp;D49&amp;F49,Expense!$C$2:$C$601&amp;Expense!$D$2:$D$601&amp;Expense!$E$2:$E$601,Expense!$H$2:$H$601,"")</f>
        <v>300</v>
      </c>
      <c r="L49" s="14">
        <f t="shared" si="1"/>
        <v>1451</v>
      </c>
      <c r="M49" s="14">
        <f>Master_Table[[#This Row],[Expense Budget]]-Master_Table[[#This Row],[Actual Expense]]</f>
        <v>700</v>
      </c>
      <c r="N49" s="16">
        <f t="shared" si="2"/>
        <v>4151</v>
      </c>
      <c r="O49" s="29">
        <f t="shared" si="0"/>
        <v>2000</v>
      </c>
      <c r="P49" s="16">
        <f t="shared" si="3"/>
        <v>2151</v>
      </c>
      <c r="Q49" s="28">
        <f>Master_Table[[#This Row],[△Sales Variance]]/Master_Table[[#This Row],[Sales Budget]]</f>
        <v>0.48366666666666669</v>
      </c>
      <c r="R49" s="28">
        <f>Master_Table[[#This Row],[△Expense  Variance]]/Master_Table[[#This Row],[Expense Budget]]</f>
        <v>0.7</v>
      </c>
      <c r="S49" s="28">
        <f>Master_Table[[#This Row],[Net Profit Variance]]/Master_Table[[#This Row],[Budget Net Profit]]</f>
        <v>1.0754999999999999</v>
      </c>
      <c r="T49" s="28">
        <f>Master_Table[[#This Row],[Actual Net Profit]]/Master_Table[[#This Row],[Actual Sales]]</f>
        <v>0.93259941586160411</v>
      </c>
      <c r="U49" s="28" t="str">
        <f>_xlfn.TEXTJOIN(" - ", TRUE, Master_Table[[#This Row],[Product]], Master_Table[[#This Row],[Branch]])</f>
        <v>Mango - Kaduna</v>
      </c>
    </row>
    <row r="50" spans="1:21" ht="14.4" x14ac:dyDescent="0.3">
      <c r="A50" s="2">
        <v>49</v>
      </c>
      <c r="B50" s="2">
        <v>100</v>
      </c>
      <c r="C50" s="1" t="str">
        <f>VLOOKUP(B50,Products!A:C,2,FALSE)</f>
        <v>Mango</v>
      </c>
      <c r="D50" s="1" t="s">
        <v>24</v>
      </c>
      <c r="E50" s="4" t="str">
        <f>_xlfn.XLOOKUP(D50,'Sales Manager'!$A$2:$A$6,'Sales Manager'!$B$2:$B$6,"")</f>
        <v>Funmi Adeyemi</v>
      </c>
      <c r="F50" s="3">
        <f t="shared" si="6"/>
        <v>1</v>
      </c>
      <c r="G50" s="1" t="str">
        <f t="shared" si="6"/>
        <v>Jan</v>
      </c>
      <c r="H50" s="11">
        <v>3000</v>
      </c>
      <c r="I50" s="11">
        <v>4373</v>
      </c>
      <c r="J50" s="11" cm="1">
        <f t="array" ref="J50">_xlfn.XLOOKUP(C50&amp;D50&amp;F50,Expense!$C$2:$C$601&amp;Expense!$D$2:$D$601&amp;Expense!$E$2:$E$601,Expense!$G$2:$G$601,"")</f>
        <v>1500</v>
      </c>
      <c r="K50" s="11" cm="1">
        <f t="array" ref="K50">_xlfn.XLOOKUP(C50&amp;D50&amp;F50,Expense!$C$2:$C$601&amp;Expense!$D$2:$D$601&amp;Expense!$E$2:$E$601,Expense!$H$2:$H$601,"")</f>
        <v>1500</v>
      </c>
      <c r="L50" s="14">
        <f t="shared" si="1"/>
        <v>1373</v>
      </c>
      <c r="M50" s="14">
        <f>Master_Table[[#This Row],[Expense Budget]]-Master_Table[[#This Row],[Actual Expense]]</f>
        <v>0</v>
      </c>
      <c r="N50" s="16">
        <f t="shared" si="2"/>
        <v>2873</v>
      </c>
      <c r="O50" s="29">
        <f t="shared" si="0"/>
        <v>1500</v>
      </c>
      <c r="P50" s="16">
        <f t="shared" si="3"/>
        <v>1373</v>
      </c>
      <c r="Q50" s="28">
        <f>Master_Table[[#This Row],[△Sales Variance]]/Master_Table[[#This Row],[Sales Budget]]</f>
        <v>0.45766666666666667</v>
      </c>
      <c r="R50" s="28">
        <f>Master_Table[[#This Row],[△Expense  Variance]]/Master_Table[[#This Row],[Expense Budget]]</f>
        <v>0</v>
      </c>
      <c r="S50" s="28">
        <f>Master_Table[[#This Row],[Net Profit Variance]]/Master_Table[[#This Row],[Budget Net Profit]]</f>
        <v>0.91533333333333333</v>
      </c>
      <c r="T50" s="28">
        <f>Master_Table[[#This Row],[Actual Net Profit]]/Master_Table[[#This Row],[Actual Sales]]</f>
        <v>0.65698605076606453</v>
      </c>
      <c r="U50" s="28" t="str">
        <f>_xlfn.TEXTJOIN(" - ", TRUE, Master_Table[[#This Row],[Product]], Master_Table[[#This Row],[Branch]])</f>
        <v>Mango - Ibadan</v>
      </c>
    </row>
    <row r="51" spans="1:21" ht="14.4" x14ac:dyDescent="0.3">
      <c r="A51" s="2">
        <v>50</v>
      </c>
      <c r="B51" s="2">
        <v>100</v>
      </c>
      <c r="C51" s="1" t="str">
        <f>VLOOKUP(B51,Products!A:C,2,FALSE)</f>
        <v>Mango</v>
      </c>
      <c r="D51" s="1" t="s">
        <v>24</v>
      </c>
      <c r="E51" s="4" t="str">
        <f>_xlfn.XLOOKUP(D51,'Sales Manager'!$A$2:$A$6,'Sales Manager'!$B$2:$B$6,"")</f>
        <v>Funmi Adeyemi</v>
      </c>
      <c r="F51" s="3">
        <f t="shared" si="6"/>
        <v>2</v>
      </c>
      <c r="G51" s="1" t="str">
        <f t="shared" si="6"/>
        <v>Feb</v>
      </c>
      <c r="H51" s="11">
        <v>1000</v>
      </c>
      <c r="I51" s="11">
        <v>7152</v>
      </c>
      <c r="J51" s="11" cm="1">
        <f t="array" ref="J51">_xlfn.XLOOKUP(C51&amp;D51&amp;F51,Expense!$C$2:$C$601&amp;Expense!$D$2:$D$601&amp;Expense!$E$2:$E$601,Expense!$G$2:$G$601,"")</f>
        <v>200</v>
      </c>
      <c r="K51" s="11" cm="1">
        <f t="array" ref="K51">_xlfn.XLOOKUP(C51&amp;D51&amp;F51,Expense!$C$2:$C$601&amp;Expense!$D$2:$D$601&amp;Expense!$E$2:$E$601,Expense!$H$2:$H$601,"")</f>
        <v>600</v>
      </c>
      <c r="L51" s="14">
        <f t="shared" si="1"/>
        <v>6152</v>
      </c>
      <c r="M51" s="14">
        <f>Master_Table[[#This Row],[Expense Budget]]-Master_Table[[#This Row],[Actual Expense]]</f>
        <v>-400</v>
      </c>
      <c r="N51" s="16">
        <f t="shared" si="2"/>
        <v>6552</v>
      </c>
      <c r="O51" s="29">
        <f t="shared" si="0"/>
        <v>800</v>
      </c>
      <c r="P51" s="16">
        <f t="shared" si="3"/>
        <v>5752</v>
      </c>
      <c r="Q51" s="28">
        <f>Master_Table[[#This Row],[△Sales Variance]]/Master_Table[[#This Row],[Sales Budget]]</f>
        <v>6.1520000000000001</v>
      </c>
      <c r="R51" s="28">
        <f>Master_Table[[#This Row],[△Expense  Variance]]/Master_Table[[#This Row],[Expense Budget]]</f>
        <v>-2</v>
      </c>
      <c r="S51" s="28">
        <f>Master_Table[[#This Row],[Net Profit Variance]]/Master_Table[[#This Row],[Budget Net Profit]]</f>
        <v>7.19</v>
      </c>
      <c r="T51" s="28">
        <f>Master_Table[[#This Row],[Actual Net Profit]]/Master_Table[[#This Row],[Actual Sales]]</f>
        <v>0.91610738255033553</v>
      </c>
      <c r="U51" s="28" t="str">
        <f>_xlfn.TEXTJOIN(" - ", TRUE, Master_Table[[#This Row],[Product]], Master_Table[[#This Row],[Branch]])</f>
        <v>Mango - Ibadan</v>
      </c>
    </row>
    <row r="52" spans="1:21" ht="14.4" x14ac:dyDescent="0.3">
      <c r="A52" s="2">
        <v>51</v>
      </c>
      <c r="B52" s="2">
        <v>100</v>
      </c>
      <c r="C52" s="1" t="str">
        <f>VLOOKUP(B52,Products!A:C,2,FALSE)</f>
        <v>Mango</v>
      </c>
      <c r="D52" s="1" t="s">
        <v>24</v>
      </c>
      <c r="E52" s="4" t="str">
        <f>_xlfn.XLOOKUP(D52,'Sales Manager'!$A$2:$A$6,'Sales Manager'!$B$2:$B$6,"")</f>
        <v>Funmi Adeyemi</v>
      </c>
      <c r="F52" s="3">
        <f t="shared" si="6"/>
        <v>3</v>
      </c>
      <c r="G52" s="1" t="str">
        <f t="shared" si="6"/>
        <v>Mar</v>
      </c>
      <c r="H52" s="11">
        <v>4000</v>
      </c>
      <c r="I52" s="11">
        <v>2152</v>
      </c>
      <c r="J52" s="11" cm="1">
        <f t="array" ref="J52">_xlfn.XLOOKUP(C52&amp;D52&amp;F52,Expense!$C$2:$C$601&amp;Expense!$D$2:$D$601&amp;Expense!$E$2:$E$601,Expense!$G$2:$G$601,"")</f>
        <v>2000</v>
      </c>
      <c r="K52" s="11" cm="1">
        <f t="array" ref="K52">_xlfn.XLOOKUP(C52&amp;D52&amp;F52,Expense!$C$2:$C$601&amp;Expense!$D$2:$D$601&amp;Expense!$E$2:$E$601,Expense!$H$2:$H$601,"")</f>
        <v>1700</v>
      </c>
      <c r="L52" s="14">
        <f t="shared" si="1"/>
        <v>-1848</v>
      </c>
      <c r="M52" s="14">
        <f>Master_Table[[#This Row],[Expense Budget]]-Master_Table[[#This Row],[Actual Expense]]</f>
        <v>300</v>
      </c>
      <c r="N52" s="16">
        <f t="shared" si="2"/>
        <v>452</v>
      </c>
      <c r="O52" s="29">
        <f t="shared" si="0"/>
        <v>2000</v>
      </c>
      <c r="P52" s="16">
        <f t="shared" si="3"/>
        <v>-1548</v>
      </c>
      <c r="Q52" s="28">
        <f>Master_Table[[#This Row],[△Sales Variance]]/Master_Table[[#This Row],[Sales Budget]]</f>
        <v>-0.46200000000000002</v>
      </c>
      <c r="R52" s="28">
        <f>Master_Table[[#This Row],[△Expense  Variance]]/Master_Table[[#This Row],[Expense Budget]]</f>
        <v>0.15</v>
      </c>
      <c r="S52" s="28">
        <f>Master_Table[[#This Row],[Net Profit Variance]]/Master_Table[[#This Row],[Budget Net Profit]]</f>
        <v>-0.77400000000000002</v>
      </c>
      <c r="T52" s="28">
        <f>Master_Table[[#This Row],[Actual Net Profit]]/Master_Table[[#This Row],[Actual Sales]]</f>
        <v>0.2100371747211896</v>
      </c>
      <c r="U52" s="28" t="str">
        <f>_xlfn.TEXTJOIN(" - ", TRUE, Master_Table[[#This Row],[Product]], Master_Table[[#This Row],[Branch]])</f>
        <v>Mango - Ibadan</v>
      </c>
    </row>
    <row r="53" spans="1:21" ht="14.4" x14ac:dyDescent="0.3">
      <c r="A53" s="2">
        <v>52</v>
      </c>
      <c r="B53" s="2">
        <v>100</v>
      </c>
      <c r="C53" s="1" t="str">
        <f>VLOOKUP(B53,Products!A:C,2,FALSE)</f>
        <v>Mango</v>
      </c>
      <c r="D53" s="1" t="s">
        <v>24</v>
      </c>
      <c r="E53" s="4" t="str">
        <f>_xlfn.XLOOKUP(D53,'Sales Manager'!$A$2:$A$6,'Sales Manager'!$B$2:$B$6,"")</f>
        <v>Funmi Adeyemi</v>
      </c>
      <c r="F53" s="3">
        <f t="shared" si="6"/>
        <v>4</v>
      </c>
      <c r="G53" s="1" t="str">
        <f t="shared" si="6"/>
        <v>Apr</v>
      </c>
      <c r="H53" s="11">
        <v>1000</v>
      </c>
      <c r="I53" s="11">
        <v>5183</v>
      </c>
      <c r="J53" s="11" cm="1">
        <f t="array" ref="J53">_xlfn.XLOOKUP(C53&amp;D53&amp;F53,Expense!$C$2:$C$601&amp;Expense!$D$2:$D$601&amp;Expense!$E$2:$E$601,Expense!$G$2:$G$601,"")</f>
        <v>500</v>
      </c>
      <c r="K53" s="11" cm="1">
        <f t="array" ref="K53">_xlfn.XLOOKUP(C53&amp;D53&amp;F53,Expense!$C$2:$C$601&amp;Expense!$D$2:$D$601&amp;Expense!$E$2:$E$601,Expense!$H$2:$H$601,"")</f>
        <v>200</v>
      </c>
      <c r="L53" s="14">
        <f t="shared" si="1"/>
        <v>4183</v>
      </c>
      <c r="M53" s="14">
        <f>Master_Table[[#This Row],[Expense Budget]]-Master_Table[[#This Row],[Actual Expense]]</f>
        <v>300</v>
      </c>
      <c r="N53" s="16">
        <f t="shared" si="2"/>
        <v>4983</v>
      </c>
      <c r="O53" s="29">
        <f t="shared" si="0"/>
        <v>500</v>
      </c>
      <c r="P53" s="16">
        <f t="shared" si="3"/>
        <v>4483</v>
      </c>
      <c r="Q53" s="28">
        <f>Master_Table[[#This Row],[△Sales Variance]]/Master_Table[[#This Row],[Sales Budget]]</f>
        <v>4.1829999999999998</v>
      </c>
      <c r="R53" s="28">
        <f>Master_Table[[#This Row],[△Expense  Variance]]/Master_Table[[#This Row],[Expense Budget]]</f>
        <v>0.6</v>
      </c>
      <c r="S53" s="28">
        <f>Master_Table[[#This Row],[Net Profit Variance]]/Master_Table[[#This Row],[Budget Net Profit]]</f>
        <v>8.9659999999999993</v>
      </c>
      <c r="T53" s="28">
        <f>Master_Table[[#This Row],[Actual Net Profit]]/Master_Table[[#This Row],[Actual Sales]]</f>
        <v>0.96141230947327805</v>
      </c>
      <c r="U53" s="28" t="str">
        <f>_xlfn.TEXTJOIN(" - ", TRUE, Master_Table[[#This Row],[Product]], Master_Table[[#This Row],[Branch]])</f>
        <v>Mango - Ibadan</v>
      </c>
    </row>
    <row r="54" spans="1:21" ht="14.4" x14ac:dyDescent="0.3">
      <c r="A54" s="2">
        <v>53</v>
      </c>
      <c r="B54" s="2">
        <v>100</v>
      </c>
      <c r="C54" s="1" t="str">
        <f>VLOOKUP(B54,Products!A:C,2,FALSE)</f>
        <v>Mango</v>
      </c>
      <c r="D54" s="1" t="s">
        <v>24</v>
      </c>
      <c r="E54" s="4" t="str">
        <f>_xlfn.XLOOKUP(D54,'Sales Manager'!$A$2:$A$6,'Sales Manager'!$B$2:$B$6,"")</f>
        <v>Funmi Adeyemi</v>
      </c>
      <c r="F54" s="3">
        <f t="shared" si="6"/>
        <v>5</v>
      </c>
      <c r="G54" s="1" t="str">
        <f t="shared" si="6"/>
        <v>May</v>
      </c>
      <c r="H54" s="11">
        <v>3000</v>
      </c>
      <c r="I54" s="11">
        <v>8548</v>
      </c>
      <c r="J54" s="11" cm="1">
        <f t="array" ref="J54">_xlfn.XLOOKUP(C54&amp;D54&amp;F54,Expense!$C$2:$C$601&amp;Expense!$D$2:$D$601&amp;Expense!$E$2:$E$601,Expense!$G$2:$G$601,"")</f>
        <v>600</v>
      </c>
      <c r="K54" s="11" cm="1">
        <f t="array" ref="K54">_xlfn.XLOOKUP(C54&amp;D54&amp;F54,Expense!$C$2:$C$601&amp;Expense!$D$2:$D$601&amp;Expense!$E$2:$E$601,Expense!$H$2:$H$601,"")</f>
        <v>600</v>
      </c>
      <c r="L54" s="14">
        <f t="shared" si="1"/>
        <v>5548</v>
      </c>
      <c r="M54" s="14">
        <f>Master_Table[[#This Row],[Expense Budget]]-Master_Table[[#This Row],[Actual Expense]]</f>
        <v>0</v>
      </c>
      <c r="N54" s="16">
        <f t="shared" si="2"/>
        <v>7948</v>
      </c>
      <c r="O54" s="29">
        <f t="shared" si="0"/>
        <v>2400</v>
      </c>
      <c r="P54" s="16">
        <f t="shared" si="3"/>
        <v>5548</v>
      </c>
      <c r="Q54" s="28">
        <f>Master_Table[[#This Row],[△Sales Variance]]/Master_Table[[#This Row],[Sales Budget]]</f>
        <v>1.8493333333333333</v>
      </c>
      <c r="R54" s="28">
        <f>Master_Table[[#This Row],[△Expense  Variance]]/Master_Table[[#This Row],[Expense Budget]]</f>
        <v>0</v>
      </c>
      <c r="S54" s="28">
        <f>Master_Table[[#This Row],[Net Profit Variance]]/Master_Table[[#This Row],[Budget Net Profit]]</f>
        <v>2.3116666666666665</v>
      </c>
      <c r="T54" s="28">
        <f>Master_Table[[#This Row],[Actual Net Profit]]/Master_Table[[#This Row],[Actual Sales]]</f>
        <v>0.92980814225549835</v>
      </c>
      <c r="U54" s="28" t="str">
        <f>_xlfn.TEXTJOIN(" - ", TRUE, Master_Table[[#This Row],[Product]], Master_Table[[#This Row],[Branch]])</f>
        <v>Mango - Ibadan</v>
      </c>
    </row>
    <row r="55" spans="1:21" ht="14.4" x14ac:dyDescent="0.3">
      <c r="A55" s="2">
        <v>54</v>
      </c>
      <c r="B55" s="2">
        <v>100</v>
      </c>
      <c r="C55" s="1" t="str">
        <f>VLOOKUP(B55,Products!A:C,2,FALSE)</f>
        <v>Mango</v>
      </c>
      <c r="D55" s="1" t="s">
        <v>24</v>
      </c>
      <c r="E55" s="4" t="str">
        <f>_xlfn.XLOOKUP(D55,'Sales Manager'!$A$2:$A$6,'Sales Manager'!$B$2:$B$6,"")</f>
        <v>Funmi Adeyemi</v>
      </c>
      <c r="F55" s="3">
        <f t="shared" si="6"/>
        <v>6</v>
      </c>
      <c r="G55" s="1" t="str">
        <f t="shared" si="6"/>
        <v>Jun</v>
      </c>
      <c r="H55" s="11">
        <v>2000</v>
      </c>
      <c r="I55" s="11">
        <v>2237</v>
      </c>
      <c r="J55" s="11" cm="1">
        <f t="array" ref="J55">_xlfn.XLOOKUP(C55&amp;D55&amp;F55,Expense!$C$2:$C$601&amp;Expense!$D$2:$D$601&amp;Expense!$E$2:$E$601,Expense!$G$2:$G$601,"")</f>
        <v>666.66666666666663</v>
      </c>
      <c r="K55" s="11" cm="1">
        <f t="array" ref="K55">_xlfn.XLOOKUP(C55&amp;D55&amp;F55,Expense!$C$2:$C$601&amp;Expense!$D$2:$D$601&amp;Expense!$E$2:$E$601,Expense!$H$2:$H$601,"")</f>
        <v>266.66666666666663</v>
      </c>
      <c r="L55" s="14">
        <f t="shared" si="1"/>
        <v>237</v>
      </c>
      <c r="M55" s="14">
        <f>Master_Table[[#This Row],[Expense Budget]]-Master_Table[[#This Row],[Actual Expense]]</f>
        <v>400</v>
      </c>
      <c r="N55" s="16">
        <f t="shared" si="2"/>
        <v>1970.3333333333335</v>
      </c>
      <c r="O55" s="29">
        <f t="shared" si="0"/>
        <v>1333.3333333333335</v>
      </c>
      <c r="P55" s="16">
        <f t="shared" si="3"/>
        <v>637</v>
      </c>
      <c r="Q55" s="28">
        <f>Master_Table[[#This Row],[△Sales Variance]]/Master_Table[[#This Row],[Sales Budget]]</f>
        <v>0.11849999999999999</v>
      </c>
      <c r="R55" s="28">
        <f>Master_Table[[#This Row],[△Expense  Variance]]/Master_Table[[#This Row],[Expense Budget]]</f>
        <v>0.60000000000000009</v>
      </c>
      <c r="S55" s="28">
        <f>Master_Table[[#This Row],[Net Profit Variance]]/Master_Table[[#This Row],[Budget Net Profit]]</f>
        <v>0.47774999999999995</v>
      </c>
      <c r="T55" s="28">
        <f>Master_Table[[#This Row],[Actual Net Profit]]/Master_Table[[#This Row],[Actual Sales]]</f>
        <v>0.88079272835642985</v>
      </c>
      <c r="U55" s="28" t="str">
        <f>_xlfn.TEXTJOIN(" - ", TRUE, Master_Table[[#This Row],[Product]], Master_Table[[#This Row],[Branch]])</f>
        <v>Mango - Ibadan</v>
      </c>
    </row>
    <row r="56" spans="1:21" ht="14.4" x14ac:dyDescent="0.3">
      <c r="A56" s="2">
        <v>55</v>
      </c>
      <c r="B56" s="2">
        <v>100</v>
      </c>
      <c r="C56" s="1" t="str">
        <f>VLOOKUP(B56,Products!A:C,2,FALSE)</f>
        <v>Mango</v>
      </c>
      <c r="D56" s="1" t="s">
        <v>24</v>
      </c>
      <c r="E56" s="4" t="str">
        <f>_xlfn.XLOOKUP(D56,'Sales Manager'!$A$2:$A$6,'Sales Manager'!$B$2:$B$6,"")</f>
        <v>Funmi Adeyemi</v>
      </c>
      <c r="F56" s="3">
        <f t="shared" si="6"/>
        <v>7</v>
      </c>
      <c r="G56" s="1" t="str">
        <f t="shared" si="6"/>
        <v>Jul</v>
      </c>
      <c r="H56" s="11">
        <v>4000</v>
      </c>
      <c r="I56" s="11">
        <v>4365</v>
      </c>
      <c r="J56" s="11" cm="1">
        <f t="array" ref="J56">_xlfn.XLOOKUP(C56&amp;D56&amp;F56,Expense!$C$2:$C$601&amp;Expense!$D$2:$D$601&amp;Expense!$E$2:$E$601,Expense!$G$2:$G$601,"")</f>
        <v>1333.3333333333333</v>
      </c>
      <c r="K56" s="11" cm="1">
        <f t="array" ref="K56">_xlfn.XLOOKUP(C56&amp;D56&amp;F56,Expense!$C$2:$C$601&amp;Expense!$D$2:$D$601&amp;Expense!$E$2:$E$601,Expense!$H$2:$H$601,"")</f>
        <v>533.33333333333326</v>
      </c>
      <c r="L56" s="14">
        <f t="shared" si="1"/>
        <v>365</v>
      </c>
      <c r="M56" s="14">
        <f>Master_Table[[#This Row],[Expense Budget]]-Master_Table[[#This Row],[Actual Expense]]</f>
        <v>800</v>
      </c>
      <c r="N56" s="16">
        <f t="shared" si="2"/>
        <v>3831.666666666667</v>
      </c>
      <c r="O56" s="29">
        <f t="shared" si="0"/>
        <v>2666.666666666667</v>
      </c>
      <c r="P56" s="16">
        <f t="shared" si="3"/>
        <v>1165</v>
      </c>
      <c r="Q56" s="28">
        <f>Master_Table[[#This Row],[△Sales Variance]]/Master_Table[[#This Row],[Sales Budget]]</f>
        <v>9.1249999999999998E-2</v>
      </c>
      <c r="R56" s="28">
        <f>Master_Table[[#This Row],[△Expense  Variance]]/Master_Table[[#This Row],[Expense Budget]]</f>
        <v>0.60000000000000009</v>
      </c>
      <c r="S56" s="28">
        <f>Master_Table[[#This Row],[Net Profit Variance]]/Master_Table[[#This Row],[Budget Net Profit]]</f>
        <v>0.43687499999999996</v>
      </c>
      <c r="T56" s="28">
        <f>Master_Table[[#This Row],[Actual Net Profit]]/Master_Table[[#This Row],[Actual Sales]]</f>
        <v>0.87781596029018716</v>
      </c>
      <c r="U56" s="28" t="str">
        <f>_xlfn.TEXTJOIN(" - ", TRUE, Master_Table[[#This Row],[Product]], Master_Table[[#This Row],[Branch]])</f>
        <v>Mango - Ibadan</v>
      </c>
    </row>
    <row r="57" spans="1:21" ht="14.4" x14ac:dyDescent="0.3">
      <c r="A57" s="2">
        <v>56</v>
      </c>
      <c r="B57" s="2">
        <v>100</v>
      </c>
      <c r="C57" s="1" t="str">
        <f>VLOOKUP(B57,Products!A:C,2,FALSE)</f>
        <v>Mango</v>
      </c>
      <c r="D57" s="1" t="s">
        <v>24</v>
      </c>
      <c r="E57" s="4" t="str">
        <f>_xlfn.XLOOKUP(D57,'Sales Manager'!$A$2:$A$6,'Sales Manager'!$B$2:$B$6,"")</f>
        <v>Funmi Adeyemi</v>
      </c>
      <c r="F57" s="3">
        <f t="shared" si="6"/>
        <v>8</v>
      </c>
      <c r="G57" s="1" t="str">
        <f t="shared" si="6"/>
        <v>Aug</v>
      </c>
      <c r="H57" s="11">
        <v>2000</v>
      </c>
      <c r="I57" s="11">
        <v>2253</v>
      </c>
      <c r="J57" s="11" cm="1">
        <f t="array" ref="J57">_xlfn.XLOOKUP(C57&amp;D57&amp;F57,Expense!$C$2:$C$601&amp;Expense!$D$2:$D$601&amp;Expense!$E$2:$E$601,Expense!$G$2:$G$601,"")</f>
        <v>500</v>
      </c>
      <c r="K57" s="11" cm="1">
        <f t="array" ref="K57">_xlfn.XLOOKUP(C57&amp;D57&amp;F57,Expense!$C$2:$C$601&amp;Expense!$D$2:$D$601&amp;Expense!$E$2:$E$601,Expense!$H$2:$H$601,"")</f>
        <v>400</v>
      </c>
      <c r="L57" s="14">
        <f t="shared" si="1"/>
        <v>253</v>
      </c>
      <c r="M57" s="14">
        <f>Master_Table[[#This Row],[Expense Budget]]-Master_Table[[#This Row],[Actual Expense]]</f>
        <v>100</v>
      </c>
      <c r="N57" s="16">
        <f t="shared" si="2"/>
        <v>1853</v>
      </c>
      <c r="O57" s="29">
        <f t="shared" si="0"/>
        <v>1500</v>
      </c>
      <c r="P57" s="16">
        <f t="shared" si="3"/>
        <v>353</v>
      </c>
      <c r="Q57" s="28">
        <f>Master_Table[[#This Row],[△Sales Variance]]/Master_Table[[#This Row],[Sales Budget]]</f>
        <v>0.1265</v>
      </c>
      <c r="R57" s="28">
        <f>Master_Table[[#This Row],[△Expense  Variance]]/Master_Table[[#This Row],[Expense Budget]]</f>
        <v>0.2</v>
      </c>
      <c r="S57" s="28">
        <f>Master_Table[[#This Row],[Net Profit Variance]]/Master_Table[[#This Row],[Budget Net Profit]]</f>
        <v>0.23533333333333334</v>
      </c>
      <c r="T57" s="28">
        <f>Master_Table[[#This Row],[Actual Net Profit]]/Master_Table[[#This Row],[Actual Sales]]</f>
        <v>0.82245894363071459</v>
      </c>
      <c r="U57" s="28" t="str">
        <f>_xlfn.TEXTJOIN(" - ", TRUE, Master_Table[[#This Row],[Product]], Master_Table[[#This Row],[Branch]])</f>
        <v>Mango - Ibadan</v>
      </c>
    </row>
    <row r="58" spans="1:21" ht="14.4" x14ac:dyDescent="0.3">
      <c r="A58" s="2">
        <v>57</v>
      </c>
      <c r="B58" s="2">
        <v>100</v>
      </c>
      <c r="C58" s="1" t="str">
        <f>VLOOKUP(B58,Products!A:C,2,FALSE)</f>
        <v>Mango</v>
      </c>
      <c r="D58" s="1" t="s">
        <v>24</v>
      </c>
      <c r="E58" s="4" t="str">
        <f>_xlfn.XLOOKUP(D58,'Sales Manager'!$A$2:$A$6,'Sales Manager'!$B$2:$B$6,"")</f>
        <v>Funmi Adeyemi</v>
      </c>
      <c r="F58" s="3">
        <f t="shared" si="6"/>
        <v>9</v>
      </c>
      <c r="G58" s="1" t="str">
        <f t="shared" si="6"/>
        <v>Sept</v>
      </c>
      <c r="H58" s="11">
        <v>2000</v>
      </c>
      <c r="I58" s="11">
        <v>2455</v>
      </c>
      <c r="J58" s="11" cm="1">
        <f t="array" ref="J58">_xlfn.XLOOKUP(C58&amp;D58&amp;F58,Expense!$C$2:$C$601&amp;Expense!$D$2:$D$601&amp;Expense!$E$2:$E$601,Expense!$G$2:$G$601,"")</f>
        <v>1000</v>
      </c>
      <c r="K58" s="11" cm="1">
        <f t="array" ref="K58">_xlfn.XLOOKUP(C58&amp;D58&amp;F58,Expense!$C$2:$C$601&amp;Expense!$D$2:$D$601&amp;Expense!$E$2:$E$601,Expense!$H$2:$H$601,"")</f>
        <v>500</v>
      </c>
      <c r="L58" s="14">
        <f t="shared" si="1"/>
        <v>455</v>
      </c>
      <c r="M58" s="14">
        <f>Master_Table[[#This Row],[Expense Budget]]-Master_Table[[#This Row],[Actual Expense]]</f>
        <v>500</v>
      </c>
      <c r="N58" s="16">
        <f t="shared" si="2"/>
        <v>1955</v>
      </c>
      <c r="O58" s="29">
        <f t="shared" si="0"/>
        <v>1000</v>
      </c>
      <c r="P58" s="16">
        <f t="shared" si="3"/>
        <v>955</v>
      </c>
      <c r="Q58" s="28">
        <f>Master_Table[[#This Row],[△Sales Variance]]/Master_Table[[#This Row],[Sales Budget]]</f>
        <v>0.22750000000000001</v>
      </c>
      <c r="R58" s="28">
        <f>Master_Table[[#This Row],[△Expense  Variance]]/Master_Table[[#This Row],[Expense Budget]]</f>
        <v>0.5</v>
      </c>
      <c r="S58" s="28">
        <f>Master_Table[[#This Row],[Net Profit Variance]]/Master_Table[[#This Row],[Budget Net Profit]]</f>
        <v>0.95499999999999996</v>
      </c>
      <c r="T58" s="28">
        <f>Master_Table[[#This Row],[Actual Net Profit]]/Master_Table[[#This Row],[Actual Sales]]</f>
        <v>0.79633401221995925</v>
      </c>
      <c r="U58" s="28" t="str">
        <f>_xlfn.TEXTJOIN(" - ", TRUE, Master_Table[[#This Row],[Product]], Master_Table[[#This Row],[Branch]])</f>
        <v>Mango - Ibadan</v>
      </c>
    </row>
    <row r="59" spans="1:21" ht="14.4" x14ac:dyDescent="0.3">
      <c r="A59" s="2">
        <v>58</v>
      </c>
      <c r="B59" s="2">
        <v>100</v>
      </c>
      <c r="C59" s="1" t="str">
        <f>VLOOKUP(B59,Products!A:C,2,FALSE)</f>
        <v>Mango</v>
      </c>
      <c r="D59" s="1" t="s">
        <v>24</v>
      </c>
      <c r="E59" s="4" t="str">
        <f>_xlfn.XLOOKUP(D59,'Sales Manager'!$A$2:$A$6,'Sales Manager'!$B$2:$B$6,"")</f>
        <v>Funmi Adeyemi</v>
      </c>
      <c r="F59" s="3">
        <f t="shared" si="6"/>
        <v>10</v>
      </c>
      <c r="G59" s="1" t="str">
        <f t="shared" si="6"/>
        <v>Oct</v>
      </c>
      <c r="H59" s="11">
        <v>4000</v>
      </c>
      <c r="I59" s="11">
        <v>5164</v>
      </c>
      <c r="J59" s="11" cm="1">
        <f t="array" ref="J59">_xlfn.XLOOKUP(C59&amp;D59&amp;F59,Expense!$C$2:$C$601&amp;Expense!$D$2:$D$601&amp;Expense!$E$2:$E$601,Expense!$G$2:$G$601,"")</f>
        <v>2000</v>
      </c>
      <c r="K59" s="11" cm="1">
        <f t="array" ref="K59">_xlfn.XLOOKUP(C59&amp;D59&amp;F59,Expense!$C$2:$C$601&amp;Expense!$D$2:$D$601&amp;Expense!$E$2:$E$601,Expense!$H$2:$H$601,"")</f>
        <v>1800</v>
      </c>
      <c r="L59" s="14">
        <f t="shared" si="1"/>
        <v>1164</v>
      </c>
      <c r="M59" s="14">
        <f>Master_Table[[#This Row],[Expense Budget]]-Master_Table[[#This Row],[Actual Expense]]</f>
        <v>200</v>
      </c>
      <c r="N59" s="16">
        <f t="shared" si="2"/>
        <v>3364</v>
      </c>
      <c r="O59" s="29">
        <f t="shared" si="0"/>
        <v>2000</v>
      </c>
      <c r="P59" s="16">
        <f t="shared" si="3"/>
        <v>1364</v>
      </c>
      <c r="Q59" s="28">
        <f>Master_Table[[#This Row],[△Sales Variance]]/Master_Table[[#This Row],[Sales Budget]]</f>
        <v>0.29099999999999998</v>
      </c>
      <c r="R59" s="28">
        <f>Master_Table[[#This Row],[△Expense  Variance]]/Master_Table[[#This Row],[Expense Budget]]</f>
        <v>0.1</v>
      </c>
      <c r="S59" s="28">
        <f>Master_Table[[#This Row],[Net Profit Variance]]/Master_Table[[#This Row],[Budget Net Profit]]</f>
        <v>0.68200000000000005</v>
      </c>
      <c r="T59" s="28">
        <f>Master_Table[[#This Row],[Actual Net Profit]]/Master_Table[[#This Row],[Actual Sales]]</f>
        <v>0.65143299767621998</v>
      </c>
      <c r="U59" s="28" t="str">
        <f>_xlfn.TEXTJOIN(" - ", TRUE, Master_Table[[#This Row],[Product]], Master_Table[[#This Row],[Branch]])</f>
        <v>Mango - Ibadan</v>
      </c>
    </row>
    <row r="60" spans="1:21" ht="14.4" x14ac:dyDescent="0.3">
      <c r="A60" s="2">
        <v>59</v>
      </c>
      <c r="B60" s="2">
        <v>100</v>
      </c>
      <c r="C60" s="1" t="str">
        <f>VLOOKUP(B60,Products!A:C,2,FALSE)</f>
        <v>Mango</v>
      </c>
      <c r="D60" s="1" t="s">
        <v>24</v>
      </c>
      <c r="E60" s="4" t="str">
        <f>_xlfn.XLOOKUP(D60,'Sales Manager'!$A$2:$A$6,'Sales Manager'!$B$2:$B$6,"")</f>
        <v>Funmi Adeyemi</v>
      </c>
      <c r="F60" s="3">
        <f t="shared" si="6"/>
        <v>11</v>
      </c>
      <c r="G60" s="1" t="str">
        <f t="shared" si="6"/>
        <v>Nov</v>
      </c>
      <c r="H60" s="11">
        <v>5000</v>
      </c>
      <c r="I60" s="11">
        <v>5223</v>
      </c>
      <c r="J60" s="11" cm="1">
        <f t="array" ref="J60">_xlfn.XLOOKUP(C60&amp;D60&amp;F60,Expense!$C$2:$C$601&amp;Expense!$D$2:$D$601&amp;Expense!$E$2:$E$601,Expense!$G$2:$G$601,"")</f>
        <v>2500</v>
      </c>
      <c r="K60" s="11" cm="1">
        <f t="array" ref="K60">_xlfn.XLOOKUP(C60&amp;D60&amp;F60,Expense!$C$2:$C$601&amp;Expense!$D$2:$D$601&amp;Expense!$E$2:$E$601,Expense!$H$2:$H$601,"")</f>
        <v>2000</v>
      </c>
      <c r="L60" s="14">
        <f t="shared" si="1"/>
        <v>223</v>
      </c>
      <c r="M60" s="14">
        <f>Master_Table[[#This Row],[Expense Budget]]-Master_Table[[#This Row],[Actual Expense]]</f>
        <v>500</v>
      </c>
      <c r="N60" s="16">
        <f t="shared" si="2"/>
        <v>3223</v>
      </c>
      <c r="O60" s="29">
        <f t="shared" si="0"/>
        <v>2500</v>
      </c>
      <c r="P60" s="16">
        <f t="shared" si="3"/>
        <v>723</v>
      </c>
      <c r="Q60" s="28">
        <f>Master_Table[[#This Row],[△Sales Variance]]/Master_Table[[#This Row],[Sales Budget]]</f>
        <v>4.4600000000000001E-2</v>
      </c>
      <c r="R60" s="28">
        <f>Master_Table[[#This Row],[△Expense  Variance]]/Master_Table[[#This Row],[Expense Budget]]</f>
        <v>0.2</v>
      </c>
      <c r="S60" s="28">
        <f>Master_Table[[#This Row],[Net Profit Variance]]/Master_Table[[#This Row],[Budget Net Profit]]</f>
        <v>0.28920000000000001</v>
      </c>
      <c r="T60" s="28">
        <f>Master_Table[[#This Row],[Actual Net Profit]]/Master_Table[[#This Row],[Actual Sales]]</f>
        <v>0.61707830748611914</v>
      </c>
      <c r="U60" s="28" t="str">
        <f>_xlfn.TEXTJOIN(" - ", TRUE, Master_Table[[#This Row],[Product]], Master_Table[[#This Row],[Branch]])</f>
        <v>Mango - Ibadan</v>
      </c>
    </row>
    <row r="61" spans="1:21" ht="14.4" x14ac:dyDescent="0.3">
      <c r="A61" s="2">
        <v>60</v>
      </c>
      <c r="B61" s="2">
        <v>100</v>
      </c>
      <c r="C61" s="1" t="str">
        <f>VLOOKUP(B61,Products!A:C,2,FALSE)</f>
        <v>Mango</v>
      </c>
      <c r="D61" s="1" t="s">
        <v>24</v>
      </c>
      <c r="E61" s="4" t="str">
        <f>_xlfn.XLOOKUP(D61,'Sales Manager'!$A$2:$A$6,'Sales Manager'!$B$2:$B$6,"")</f>
        <v>Funmi Adeyemi</v>
      </c>
      <c r="F61" s="3">
        <f t="shared" si="6"/>
        <v>12</v>
      </c>
      <c r="G61" s="1" t="str">
        <f t="shared" si="6"/>
        <v>Dec</v>
      </c>
      <c r="H61" s="11">
        <v>7000</v>
      </c>
      <c r="I61" s="11">
        <v>2174</v>
      </c>
      <c r="J61" s="11" cm="1">
        <f t="array" ref="J61">_xlfn.XLOOKUP(C61&amp;D61&amp;F61,Expense!$C$2:$C$601&amp;Expense!$D$2:$D$601&amp;Expense!$E$2:$E$601,Expense!$G$2:$G$601,"")</f>
        <v>1400</v>
      </c>
      <c r="K61" s="11" cm="1">
        <f t="array" ref="K61">_xlfn.XLOOKUP(C61&amp;D61&amp;F61,Expense!$C$2:$C$601&amp;Expense!$D$2:$D$601&amp;Expense!$E$2:$E$601,Expense!$H$2:$H$601,"")</f>
        <v>1400</v>
      </c>
      <c r="L61" s="14">
        <f t="shared" si="1"/>
        <v>-4826</v>
      </c>
      <c r="M61" s="14">
        <f>Master_Table[[#This Row],[Expense Budget]]-Master_Table[[#This Row],[Actual Expense]]</f>
        <v>0</v>
      </c>
      <c r="N61" s="16">
        <f t="shared" si="2"/>
        <v>774</v>
      </c>
      <c r="O61" s="29">
        <f t="shared" si="0"/>
        <v>5600</v>
      </c>
      <c r="P61" s="16">
        <f t="shared" si="3"/>
        <v>-4826</v>
      </c>
      <c r="Q61" s="28">
        <f>Master_Table[[#This Row],[△Sales Variance]]/Master_Table[[#This Row],[Sales Budget]]</f>
        <v>-0.68942857142857139</v>
      </c>
      <c r="R61" s="28">
        <f>Master_Table[[#This Row],[△Expense  Variance]]/Master_Table[[#This Row],[Expense Budget]]</f>
        <v>0</v>
      </c>
      <c r="S61" s="28">
        <f>Master_Table[[#This Row],[Net Profit Variance]]/Master_Table[[#This Row],[Budget Net Profit]]</f>
        <v>-0.86178571428571427</v>
      </c>
      <c r="T61" s="28">
        <f>Master_Table[[#This Row],[Actual Net Profit]]/Master_Table[[#This Row],[Actual Sales]]</f>
        <v>0.35602575896964123</v>
      </c>
      <c r="U61" s="28" t="str">
        <f>_xlfn.TEXTJOIN(" - ", TRUE, Master_Table[[#This Row],[Product]], Master_Table[[#This Row],[Branch]])</f>
        <v>Mango - Ibadan</v>
      </c>
    </row>
    <row r="62" spans="1:21" ht="14.4" x14ac:dyDescent="0.3">
      <c r="A62" s="2">
        <v>61</v>
      </c>
      <c r="B62" s="2">
        <f>B2+1</f>
        <v>101</v>
      </c>
      <c r="C62" s="1" t="str">
        <f>VLOOKUP(B62,Products!A:C,2,FALSE)</f>
        <v>Orange</v>
      </c>
      <c r="D62" s="1" t="str">
        <f>D2</f>
        <v>Lagos</v>
      </c>
      <c r="E62" s="4" t="str">
        <f>_xlfn.XLOOKUP(D62,'Sales Manager'!$A$2:$A$6,'Sales Manager'!$B$2:$B$6,"")</f>
        <v>Adaora Okafor</v>
      </c>
      <c r="F62" s="3">
        <f t="shared" si="6"/>
        <v>1</v>
      </c>
      <c r="G62" s="1" t="str">
        <f t="shared" si="6"/>
        <v>Jan</v>
      </c>
      <c r="H62" s="11">
        <v>8000</v>
      </c>
      <c r="I62" s="11">
        <v>10325</v>
      </c>
      <c r="J62" s="11" cm="1">
        <f t="array" ref="J62">_xlfn.XLOOKUP(C62&amp;D62&amp;F62,Expense!$C$2:$C$601&amp;Expense!$D$2:$D$601&amp;Expense!$E$2:$E$601,Expense!$G$2:$G$601,"")</f>
        <v>1600</v>
      </c>
      <c r="K62" s="11" cm="1">
        <f t="array" ref="K62">_xlfn.XLOOKUP(C62&amp;D62&amp;F62,Expense!$C$2:$C$601&amp;Expense!$D$2:$D$601&amp;Expense!$E$2:$E$601,Expense!$H$2:$H$601,"")</f>
        <v>1100</v>
      </c>
      <c r="L62" s="14">
        <f t="shared" si="1"/>
        <v>2325</v>
      </c>
      <c r="M62" s="14">
        <f>Master_Table[[#This Row],[Expense Budget]]-Master_Table[[#This Row],[Actual Expense]]</f>
        <v>500</v>
      </c>
      <c r="N62" s="16">
        <f t="shared" si="2"/>
        <v>9225</v>
      </c>
      <c r="O62" s="29">
        <f t="shared" si="0"/>
        <v>6400</v>
      </c>
      <c r="P62" s="16">
        <f t="shared" si="3"/>
        <v>2825</v>
      </c>
      <c r="Q62" s="28">
        <f>Master_Table[[#This Row],[△Sales Variance]]/Master_Table[[#This Row],[Sales Budget]]</f>
        <v>0.29062500000000002</v>
      </c>
      <c r="R62" s="28">
        <f>Master_Table[[#This Row],[△Expense  Variance]]/Master_Table[[#This Row],[Expense Budget]]</f>
        <v>0.3125</v>
      </c>
      <c r="S62" s="28">
        <f>Master_Table[[#This Row],[Net Profit Variance]]/Master_Table[[#This Row],[Budget Net Profit]]</f>
        <v>0.44140625</v>
      </c>
      <c r="T62" s="28">
        <f>Master_Table[[#This Row],[Actual Net Profit]]/Master_Table[[#This Row],[Actual Sales]]</f>
        <v>0.89346246973365617</v>
      </c>
      <c r="U62" s="28" t="str">
        <f>_xlfn.TEXTJOIN(" - ", TRUE, Master_Table[[#This Row],[Product]], Master_Table[[#This Row],[Branch]])</f>
        <v>Orange - Lagos</v>
      </c>
    </row>
    <row r="63" spans="1:21" ht="14.4" x14ac:dyDescent="0.3">
      <c r="A63" s="2">
        <v>62</v>
      </c>
      <c r="B63" s="2">
        <f t="shared" ref="B63:B126" si="7">B3+1</f>
        <v>101</v>
      </c>
      <c r="C63" s="1" t="str">
        <f>VLOOKUP(B63,Products!A:C,2,FALSE)</f>
        <v>Orange</v>
      </c>
      <c r="D63" s="1" t="str">
        <f t="shared" ref="D63:D126" si="8">D3</f>
        <v>Lagos</v>
      </c>
      <c r="E63" s="4" t="str">
        <f>_xlfn.XLOOKUP(D63,'Sales Manager'!$A$2:$A$6,'Sales Manager'!$B$2:$B$6,"")</f>
        <v>Adaora Okafor</v>
      </c>
      <c r="F63" s="3">
        <f t="shared" ref="F63:G78" si="9">F51</f>
        <v>2</v>
      </c>
      <c r="G63" s="1" t="str">
        <f t="shared" si="9"/>
        <v>Feb</v>
      </c>
      <c r="H63" s="11">
        <v>5000</v>
      </c>
      <c r="I63" s="11">
        <v>5222</v>
      </c>
      <c r="J63" s="11" cm="1">
        <f t="array" ref="J63">_xlfn.XLOOKUP(C63&amp;D63&amp;F63,Expense!$C$2:$C$601&amp;Expense!$D$2:$D$601&amp;Expense!$E$2:$E$601,Expense!$G$2:$G$601,"")</f>
        <v>1000</v>
      </c>
      <c r="K63" s="11" cm="1">
        <f t="array" ref="K63">_xlfn.XLOOKUP(C63&amp;D63&amp;F63,Expense!$C$2:$C$601&amp;Expense!$D$2:$D$601&amp;Expense!$E$2:$E$601,Expense!$H$2:$H$601,"")</f>
        <v>800</v>
      </c>
      <c r="L63" s="14">
        <f t="shared" si="1"/>
        <v>222</v>
      </c>
      <c r="M63" s="14">
        <f>Master_Table[[#This Row],[Expense Budget]]-Master_Table[[#This Row],[Actual Expense]]</f>
        <v>200</v>
      </c>
      <c r="N63" s="16">
        <f t="shared" si="2"/>
        <v>4422</v>
      </c>
      <c r="O63" s="29">
        <f t="shared" si="0"/>
        <v>4000</v>
      </c>
      <c r="P63" s="16">
        <f t="shared" si="3"/>
        <v>422</v>
      </c>
      <c r="Q63" s="28">
        <f>Master_Table[[#This Row],[△Sales Variance]]/Master_Table[[#This Row],[Sales Budget]]</f>
        <v>4.4400000000000002E-2</v>
      </c>
      <c r="R63" s="28">
        <f>Master_Table[[#This Row],[△Expense  Variance]]/Master_Table[[#This Row],[Expense Budget]]</f>
        <v>0.2</v>
      </c>
      <c r="S63" s="28">
        <f>Master_Table[[#This Row],[Net Profit Variance]]/Master_Table[[#This Row],[Budget Net Profit]]</f>
        <v>0.1055</v>
      </c>
      <c r="T63" s="28">
        <f>Master_Table[[#This Row],[Actual Net Profit]]/Master_Table[[#This Row],[Actual Sales]]</f>
        <v>0.84680199157410951</v>
      </c>
      <c r="U63" s="28" t="str">
        <f>_xlfn.TEXTJOIN(" - ", TRUE, Master_Table[[#This Row],[Product]], Master_Table[[#This Row],[Branch]])</f>
        <v>Orange - Lagos</v>
      </c>
    </row>
    <row r="64" spans="1:21" ht="14.4" x14ac:dyDescent="0.3">
      <c r="A64" s="2">
        <v>63</v>
      </c>
      <c r="B64" s="2">
        <f t="shared" si="7"/>
        <v>101</v>
      </c>
      <c r="C64" s="1" t="str">
        <f>VLOOKUP(B64,Products!A:C,2,FALSE)</f>
        <v>Orange</v>
      </c>
      <c r="D64" s="1" t="str">
        <f t="shared" si="8"/>
        <v>Lagos</v>
      </c>
      <c r="E64" s="4" t="str">
        <f>_xlfn.XLOOKUP(D64,'Sales Manager'!$A$2:$A$6,'Sales Manager'!$B$2:$B$6,"")</f>
        <v>Adaora Okafor</v>
      </c>
      <c r="F64" s="3">
        <f t="shared" si="9"/>
        <v>3</v>
      </c>
      <c r="G64" s="1" t="str">
        <f t="shared" si="9"/>
        <v>Mar</v>
      </c>
      <c r="H64" s="11">
        <v>2000</v>
      </c>
      <c r="I64" s="11">
        <v>2139</v>
      </c>
      <c r="J64" s="11" cm="1">
        <f t="array" ref="J64">_xlfn.XLOOKUP(C64&amp;D64&amp;F64,Expense!$C$2:$C$601&amp;Expense!$D$2:$D$601&amp;Expense!$E$2:$E$601,Expense!$G$2:$G$601,"")</f>
        <v>1000</v>
      </c>
      <c r="K64" s="11" cm="1">
        <f t="array" ref="K64">_xlfn.XLOOKUP(C64&amp;D64&amp;F64,Expense!$C$2:$C$601&amp;Expense!$D$2:$D$601&amp;Expense!$E$2:$E$601,Expense!$H$2:$H$601,"")</f>
        <v>600</v>
      </c>
      <c r="L64" s="14">
        <f t="shared" si="1"/>
        <v>139</v>
      </c>
      <c r="M64" s="14">
        <f>Master_Table[[#This Row],[Expense Budget]]-Master_Table[[#This Row],[Actual Expense]]</f>
        <v>400</v>
      </c>
      <c r="N64" s="16">
        <f t="shared" si="2"/>
        <v>1539</v>
      </c>
      <c r="O64" s="29">
        <f t="shared" si="0"/>
        <v>1000</v>
      </c>
      <c r="P64" s="16">
        <f t="shared" si="3"/>
        <v>539</v>
      </c>
      <c r="Q64" s="28">
        <f>Master_Table[[#This Row],[△Sales Variance]]/Master_Table[[#This Row],[Sales Budget]]</f>
        <v>6.9500000000000006E-2</v>
      </c>
      <c r="R64" s="28">
        <f>Master_Table[[#This Row],[△Expense  Variance]]/Master_Table[[#This Row],[Expense Budget]]</f>
        <v>0.4</v>
      </c>
      <c r="S64" s="28">
        <f>Master_Table[[#This Row],[Net Profit Variance]]/Master_Table[[#This Row],[Budget Net Profit]]</f>
        <v>0.53900000000000003</v>
      </c>
      <c r="T64" s="28">
        <f>Master_Table[[#This Row],[Actual Net Profit]]/Master_Table[[#This Row],[Actual Sales]]</f>
        <v>0.71949509116409538</v>
      </c>
      <c r="U64" s="28" t="str">
        <f>_xlfn.TEXTJOIN(" - ", TRUE, Master_Table[[#This Row],[Product]], Master_Table[[#This Row],[Branch]])</f>
        <v>Orange - Lagos</v>
      </c>
    </row>
    <row r="65" spans="1:21" ht="14.4" x14ac:dyDescent="0.3">
      <c r="A65" s="2">
        <v>64</v>
      </c>
      <c r="B65" s="2">
        <f t="shared" si="7"/>
        <v>101</v>
      </c>
      <c r="C65" s="1" t="str">
        <f>VLOOKUP(B65,Products!A:C,2,FALSE)</f>
        <v>Orange</v>
      </c>
      <c r="D65" s="1" t="str">
        <f t="shared" si="8"/>
        <v>Lagos</v>
      </c>
      <c r="E65" s="4" t="str">
        <f>_xlfn.XLOOKUP(D65,'Sales Manager'!$A$2:$A$6,'Sales Manager'!$B$2:$B$6,"")</f>
        <v>Adaora Okafor</v>
      </c>
      <c r="F65" s="3">
        <f t="shared" si="9"/>
        <v>4</v>
      </c>
      <c r="G65" s="1" t="str">
        <f t="shared" si="9"/>
        <v>Apr</v>
      </c>
      <c r="H65" s="11">
        <v>6000</v>
      </c>
      <c r="I65" s="11">
        <v>3859</v>
      </c>
      <c r="J65" s="11" cm="1">
        <f t="array" ref="J65">_xlfn.XLOOKUP(C65&amp;D65&amp;F65,Expense!$C$2:$C$601&amp;Expense!$D$2:$D$601&amp;Expense!$E$2:$E$601,Expense!$G$2:$G$601,"")</f>
        <v>1200</v>
      </c>
      <c r="K65" s="11" cm="1">
        <f t="array" ref="K65">_xlfn.XLOOKUP(C65&amp;D65&amp;F65,Expense!$C$2:$C$601&amp;Expense!$D$2:$D$601&amp;Expense!$E$2:$E$601,Expense!$H$2:$H$601,"")</f>
        <v>1200</v>
      </c>
      <c r="L65" s="14">
        <f t="shared" si="1"/>
        <v>-2141</v>
      </c>
      <c r="M65" s="14">
        <f>Master_Table[[#This Row],[Expense Budget]]-Master_Table[[#This Row],[Actual Expense]]</f>
        <v>0</v>
      </c>
      <c r="N65" s="16">
        <f t="shared" si="2"/>
        <v>2659</v>
      </c>
      <c r="O65" s="29">
        <f t="shared" si="0"/>
        <v>4800</v>
      </c>
      <c r="P65" s="16">
        <f t="shared" si="3"/>
        <v>-2141</v>
      </c>
      <c r="Q65" s="28">
        <f>Master_Table[[#This Row],[△Sales Variance]]/Master_Table[[#This Row],[Sales Budget]]</f>
        <v>-0.35683333333333334</v>
      </c>
      <c r="R65" s="28">
        <f>Master_Table[[#This Row],[△Expense  Variance]]/Master_Table[[#This Row],[Expense Budget]]</f>
        <v>0</v>
      </c>
      <c r="S65" s="28">
        <f>Master_Table[[#This Row],[Net Profit Variance]]/Master_Table[[#This Row],[Budget Net Profit]]</f>
        <v>-0.44604166666666667</v>
      </c>
      <c r="T65" s="28">
        <f>Master_Table[[#This Row],[Actual Net Profit]]/Master_Table[[#This Row],[Actual Sales]]</f>
        <v>0.68903861103912933</v>
      </c>
      <c r="U65" s="28" t="str">
        <f>_xlfn.TEXTJOIN(" - ", TRUE, Master_Table[[#This Row],[Product]], Master_Table[[#This Row],[Branch]])</f>
        <v>Orange - Lagos</v>
      </c>
    </row>
    <row r="66" spans="1:21" ht="14.4" x14ac:dyDescent="0.3">
      <c r="A66" s="2">
        <v>65</v>
      </c>
      <c r="B66" s="2">
        <f t="shared" si="7"/>
        <v>101</v>
      </c>
      <c r="C66" s="1" t="str">
        <f>VLOOKUP(B66,Products!A:C,2,FALSE)</f>
        <v>Orange</v>
      </c>
      <c r="D66" s="1" t="str">
        <f t="shared" si="8"/>
        <v>Lagos</v>
      </c>
      <c r="E66" s="4" t="str">
        <f>_xlfn.XLOOKUP(D66,'Sales Manager'!$A$2:$A$6,'Sales Manager'!$B$2:$B$6,"")</f>
        <v>Adaora Okafor</v>
      </c>
      <c r="F66" s="3">
        <f t="shared" si="9"/>
        <v>5</v>
      </c>
      <c r="G66" s="1" t="str">
        <f t="shared" si="9"/>
        <v>May</v>
      </c>
      <c r="H66" s="11">
        <v>1000</v>
      </c>
      <c r="I66" s="11">
        <v>2236</v>
      </c>
      <c r="J66" s="11" cm="1">
        <f t="array" ref="J66">_xlfn.XLOOKUP(C66&amp;D66&amp;F66,Expense!$C$2:$C$601&amp;Expense!$D$2:$D$601&amp;Expense!$E$2:$E$601,Expense!$G$2:$G$601,"")</f>
        <v>333.33333333333331</v>
      </c>
      <c r="K66" s="11" cm="1">
        <f t="array" ref="K66">_xlfn.XLOOKUP(C66&amp;D66&amp;F66,Expense!$C$2:$C$601&amp;Expense!$D$2:$D$601&amp;Expense!$E$2:$E$601,Expense!$H$2:$H$601,"")</f>
        <v>766.66666666666674</v>
      </c>
      <c r="L66" s="14">
        <f t="shared" si="1"/>
        <v>1236</v>
      </c>
      <c r="M66" s="14">
        <f>Master_Table[[#This Row],[Expense Budget]]-Master_Table[[#This Row],[Actual Expense]]</f>
        <v>-433.33333333333343</v>
      </c>
      <c r="N66" s="16">
        <f t="shared" si="2"/>
        <v>1469.3333333333333</v>
      </c>
      <c r="O66" s="29">
        <f t="shared" ref="O66:O129" si="10">H66-J66</f>
        <v>666.66666666666674</v>
      </c>
      <c r="P66" s="16">
        <f t="shared" ref="P66:P129" si="11">N66-O66</f>
        <v>802.66666666666652</v>
      </c>
      <c r="Q66" s="28">
        <f>Master_Table[[#This Row],[△Sales Variance]]/Master_Table[[#This Row],[Sales Budget]]</f>
        <v>1.236</v>
      </c>
      <c r="R66" s="28">
        <f>Master_Table[[#This Row],[△Expense  Variance]]/Master_Table[[#This Row],[Expense Budget]]</f>
        <v>-1.3000000000000003</v>
      </c>
      <c r="S66" s="28">
        <f>Master_Table[[#This Row],[Net Profit Variance]]/Master_Table[[#This Row],[Budget Net Profit]]</f>
        <v>1.2039999999999997</v>
      </c>
      <c r="T66" s="28">
        <f>Master_Table[[#This Row],[Actual Net Profit]]/Master_Table[[#This Row],[Actual Sales]]</f>
        <v>0.65712581991651753</v>
      </c>
      <c r="U66" s="28" t="str">
        <f>_xlfn.TEXTJOIN(" - ", TRUE, Master_Table[[#This Row],[Product]], Master_Table[[#This Row],[Branch]])</f>
        <v>Orange - Lagos</v>
      </c>
    </row>
    <row r="67" spans="1:21" ht="14.4" x14ac:dyDescent="0.3">
      <c r="A67" s="2">
        <v>66</v>
      </c>
      <c r="B67" s="2">
        <f t="shared" si="7"/>
        <v>101</v>
      </c>
      <c r="C67" s="1" t="str">
        <f>VLOOKUP(B67,Products!A:C,2,FALSE)</f>
        <v>Orange</v>
      </c>
      <c r="D67" s="1" t="str">
        <f t="shared" si="8"/>
        <v>Lagos</v>
      </c>
      <c r="E67" s="4" t="str">
        <f>_xlfn.XLOOKUP(D67,'Sales Manager'!$A$2:$A$6,'Sales Manager'!$B$2:$B$6,"")</f>
        <v>Adaora Okafor</v>
      </c>
      <c r="F67" s="3">
        <f t="shared" si="9"/>
        <v>6</v>
      </c>
      <c r="G67" s="1" t="str">
        <f t="shared" si="9"/>
        <v>Jun</v>
      </c>
      <c r="H67" s="11">
        <v>1000</v>
      </c>
      <c r="I67" s="11">
        <v>6353</v>
      </c>
      <c r="J67" s="11" cm="1">
        <f t="array" ref="J67">_xlfn.XLOOKUP(C67&amp;D67&amp;F67,Expense!$C$2:$C$601&amp;Expense!$D$2:$D$601&amp;Expense!$E$2:$E$601,Expense!$G$2:$G$601,"")</f>
        <v>333.33333333333331</v>
      </c>
      <c r="K67" s="11" cm="1">
        <f t="array" ref="K67">_xlfn.XLOOKUP(C67&amp;D67&amp;F67,Expense!$C$2:$C$601&amp;Expense!$D$2:$D$601&amp;Expense!$E$2:$E$601,Expense!$H$2:$H$601,"")</f>
        <v>133.33333333333331</v>
      </c>
      <c r="L67" s="14">
        <f t="shared" ref="L67:L130" si="12">I67-H67</f>
        <v>5353</v>
      </c>
      <c r="M67" s="14">
        <f>Master_Table[[#This Row],[Expense Budget]]-Master_Table[[#This Row],[Actual Expense]]</f>
        <v>200</v>
      </c>
      <c r="N67" s="16">
        <f t="shared" ref="N67:N130" si="13">I67-K67</f>
        <v>6219.666666666667</v>
      </c>
      <c r="O67" s="29">
        <f t="shared" si="10"/>
        <v>666.66666666666674</v>
      </c>
      <c r="P67" s="16">
        <f t="shared" si="11"/>
        <v>5553</v>
      </c>
      <c r="Q67" s="28">
        <f>Master_Table[[#This Row],[△Sales Variance]]/Master_Table[[#This Row],[Sales Budget]]</f>
        <v>5.3529999999999998</v>
      </c>
      <c r="R67" s="28">
        <f>Master_Table[[#This Row],[△Expense  Variance]]/Master_Table[[#This Row],[Expense Budget]]</f>
        <v>0.60000000000000009</v>
      </c>
      <c r="S67" s="28">
        <f>Master_Table[[#This Row],[Net Profit Variance]]/Master_Table[[#This Row],[Budget Net Profit]]</f>
        <v>8.3294999999999995</v>
      </c>
      <c r="T67" s="28">
        <f>Master_Table[[#This Row],[Actual Net Profit]]/Master_Table[[#This Row],[Actual Sales]]</f>
        <v>0.97901254000734561</v>
      </c>
      <c r="U67" s="28" t="str">
        <f>_xlfn.TEXTJOIN(" - ", TRUE, Master_Table[[#This Row],[Product]], Master_Table[[#This Row],[Branch]])</f>
        <v>Orange - Lagos</v>
      </c>
    </row>
    <row r="68" spans="1:21" ht="14.4" x14ac:dyDescent="0.3">
      <c r="A68" s="2">
        <v>67</v>
      </c>
      <c r="B68" s="2">
        <f t="shared" si="7"/>
        <v>101</v>
      </c>
      <c r="C68" s="1" t="str">
        <f>VLOOKUP(B68,Products!A:C,2,FALSE)</f>
        <v>Orange</v>
      </c>
      <c r="D68" s="1" t="str">
        <f t="shared" si="8"/>
        <v>Lagos</v>
      </c>
      <c r="E68" s="4" t="str">
        <f>_xlfn.XLOOKUP(D68,'Sales Manager'!$A$2:$A$6,'Sales Manager'!$B$2:$B$6,"")</f>
        <v>Adaora Okafor</v>
      </c>
      <c r="F68" s="3">
        <f t="shared" si="9"/>
        <v>7</v>
      </c>
      <c r="G68" s="1" t="str">
        <f t="shared" si="9"/>
        <v>Jul</v>
      </c>
      <c r="H68" s="11">
        <v>3000</v>
      </c>
      <c r="I68" s="11">
        <v>5666</v>
      </c>
      <c r="J68" s="11" cm="1">
        <f t="array" ref="J68">_xlfn.XLOOKUP(C68&amp;D68&amp;F68,Expense!$C$2:$C$601&amp;Expense!$D$2:$D$601&amp;Expense!$E$2:$E$601,Expense!$G$2:$G$601,"")</f>
        <v>750</v>
      </c>
      <c r="K68" s="11" cm="1">
        <f t="array" ref="K68">_xlfn.XLOOKUP(C68&amp;D68&amp;F68,Expense!$C$2:$C$601&amp;Expense!$D$2:$D$601&amp;Expense!$E$2:$E$601,Expense!$H$2:$H$601,"")</f>
        <v>450</v>
      </c>
      <c r="L68" s="14">
        <f t="shared" si="12"/>
        <v>2666</v>
      </c>
      <c r="M68" s="14">
        <f>Master_Table[[#This Row],[Expense Budget]]-Master_Table[[#This Row],[Actual Expense]]</f>
        <v>300</v>
      </c>
      <c r="N68" s="16">
        <f t="shared" si="13"/>
        <v>5216</v>
      </c>
      <c r="O68" s="29">
        <f t="shared" si="10"/>
        <v>2250</v>
      </c>
      <c r="P68" s="16">
        <f t="shared" si="11"/>
        <v>2966</v>
      </c>
      <c r="Q68" s="28">
        <f>Master_Table[[#This Row],[△Sales Variance]]/Master_Table[[#This Row],[Sales Budget]]</f>
        <v>0.88866666666666672</v>
      </c>
      <c r="R68" s="28">
        <f>Master_Table[[#This Row],[△Expense  Variance]]/Master_Table[[#This Row],[Expense Budget]]</f>
        <v>0.4</v>
      </c>
      <c r="S68" s="28">
        <f>Master_Table[[#This Row],[Net Profit Variance]]/Master_Table[[#This Row],[Budget Net Profit]]</f>
        <v>1.3182222222222222</v>
      </c>
      <c r="T68" s="28">
        <f>Master_Table[[#This Row],[Actual Net Profit]]/Master_Table[[#This Row],[Actual Sales]]</f>
        <v>0.92057889163430995</v>
      </c>
      <c r="U68" s="28" t="str">
        <f>_xlfn.TEXTJOIN(" - ", TRUE, Master_Table[[#This Row],[Product]], Master_Table[[#This Row],[Branch]])</f>
        <v>Orange - Lagos</v>
      </c>
    </row>
    <row r="69" spans="1:21" ht="14.4" x14ac:dyDescent="0.3">
      <c r="A69" s="2">
        <v>68</v>
      </c>
      <c r="B69" s="2">
        <f t="shared" si="7"/>
        <v>101</v>
      </c>
      <c r="C69" s="1" t="str">
        <f>VLOOKUP(B69,Products!A:C,2,FALSE)</f>
        <v>Orange</v>
      </c>
      <c r="D69" s="1" t="str">
        <f t="shared" si="8"/>
        <v>Lagos</v>
      </c>
      <c r="E69" s="4" t="str">
        <f>_xlfn.XLOOKUP(D69,'Sales Manager'!$A$2:$A$6,'Sales Manager'!$B$2:$B$6,"")</f>
        <v>Adaora Okafor</v>
      </c>
      <c r="F69" s="3">
        <f t="shared" si="9"/>
        <v>8</v>
      </c>
      <c r="G69" s="1" t="str">
        <f t="shared" si="9"/>
        <v>Aug</v>
      </c>
      <c r="H69" s="11">
        <v>8000</v>
      </c>
      <c r="I69" s="11">
        <v>9444</v>
      </c>
      <c r="J69" s="11" cm="1">
        <f t="array" ref="J69">_xlfn.XLOOKUP(C69&amp;D69&amp;F69,Expense!$C$2:$C$601&amp;Expense!$D$2:$D$601&amp;Expense!$E$2:$E$601,Expense!$G$2:$G$601,"")</f>
        <v>2666.6666666666665</v>
      </c>
      <c r="K69" s="11" cm="1">
        <f t="array" ref="K69">_xlfn.XLOOKUP(C69&amp;D69&amp;F69,Expense!$C$2:$C$601&amp;Expense!$D$2:$D$601&amp;Expense!$E$2:$E$601,Expense!$H$2:$H$601,"")</f>
        <v>2566.6666666666665</v>
      </c>
      <c r="L69" s="14">
        <f t="shared" si="12"/>
        <v>1444</v>
      </c>
      <c r="M69" s="14">
        <f>Master_Table[[#This Row],[Expense Budget]]-Master_Table[[#This Row],[Actual Expense]]</f>
        <v>100</v>
      </c>
      <c r="N69" s="16">
        <f t="shared" si="13"/>
        <v>6877.3333333333339</v>
      </c>
      <c r="O69" s="29">
        <f t="shared" si="10"/>
        <v>5333.3333333333339</v>
      </c>
      <c r="P69" s="16">
        <f t="shared" si="11"/>
        <v>1544</v>
      </c>
      <c r="Q69" s="28">
        <f>Master_Table[[#This Row],[△Sales Variance]]/Master_Table[[#This Row],[Sales Budget]]</f>
        <v>0.18049999999999999</v>
      </c>
      <c r="R69" s="28">
        <f>Master_Table[[#This Row],[△Expense  Variance]]/Master_Table[[#This Row],[Expense Budget]]</f>
        <v>3.7500000000000006E-2</v>
      </c>
      <c r="S69" s="28">
        <f>Master_Table[[#This Row],[Net Profit Variance]]/Master_Table[[#This Row],[Budget Net Profit]]</f>
        <v>0.28949999999999998</v>
      </c>
      <c r="T69" s="28">
        <f>Master_Table[[#This Row],[Actual Net Profit]]/Master_Table[[#This Row],[Actual Sales]]</f>
        <v>0.72822250458845128</v>
      </c>
      <c r="U69" s="28" t="str">
        <f>_xlfn.TEXTJOIN(" - ", TRUE, Master_Table[[#This Row],[Product]], Master_Table[[#This Row],[Branch]])</f>
        <v>Orange - Lagos</v>
      </c>
    </row>
    <row r="70" spans="1:21" ht="14.4" x14ac:dyDescent="0.3">
      <c r="A70" s="2">
        <v>69</v>
      </c>
      <c r="B70" s="2">
        <f t="shared" si="7"/>
        <v>101</v>
      </c>
      <c r="C70" s="1" t="str">
        <f>VLOOKUP(B70,Products!A:C,2,FALSE)</f>
        <v>Orange</v>
      </c>
      <c r="D70" s="1" t="str">
        <f t="shared" si="8"/>
        <v>Lagos</v>
      </c>
      <c r="E70" s="4" t="str">
        <f>_xlfn.XLOOKUP(D70,'Sales Manager'!$A$2:$A$6,'Sales Manager'!$B$2:$B$6,"")</f>
        <v>Adaora Okafor</v>
      </c>
      <c r="F70" s="3">
        <f t="shared" si="9"/>
        <v>9</v>
      </c>
      <c r="G70" s="1" t="str">
        <f t="shared" si="9"/>
        <v>Sept</v>
      </c>
      <c r="H70" s="11">
        <v>2000</v>
      </c>
      <c r="I70" s="11">
        <v>4831</v>
      </c>
      <c r="J70" s="11" cm="1">
        <f t="array" ref="J70">_xlfn.XLOOKUP(C70&amp;D70&amp;F70,Expense!$C$2:$C$601&amp;Expense!$D$2:$D$601&amp;Expense!$E$2:$E$601,Expense!$G$2:$G$601,"")</f>
        <v>1000</v>
      </c>
      <c r="K70" s="11" cm="1">
        <f t="array" ref="K70">_xlfn.XLOOKUP(C70&amp;D70&amp;F70,Expense!$C$2:$C$601&amp;Expense!$D$2:$D$601&amp;Expense!$E$2:$E$601,Expense!$H$2:$H$601,"")</f>
        <v>700</v>
      </c>
      <c r="L70" s="14">
        <f t="shared" si="12"/>
        <v>2831</v>
      </c>
      <c r="M70" s="14">
        <f>Master_Table[[#This Row],[Expense Budget]]-Master_Table[[#This Row],[Actual Expense]]</f>
        <v>300</v>
      </c>
      <c r="N70" s="16">
        <f t="shared" si="13"/>
        <v>4131</v>
      </c>
      <c r="O70" s="29">
        <f t="shared" si="10"/>
        <v>1000</v>
      </c>
      <c r="P70" s="16">
        <f t="shared" si="11"/>
        <v>3131</v>
      </c>
      <c r="Q70" s="28">
        <f>Master_Table[[#This Row],[△Sales Variance]]/Master_Table[[#This Row],[Sales Budget]]</f>
        <v>1.4155</v>
      </c>
      <c r="R70" s="28">
        <f>Master_Table[[#This Row],[△Expense  Variance]]/Master_Table[[#This Row],[Expense Budget]]</f>
        <v>0.3</v>
      </c>
      <c r="S70" s="28">
        <f>Master_Table[[#This Row],[Net Profit Variance]]/Master_Table[[#This Row],[Budget Net Profit]]</f>
        <v>3.1309999999999998</v>
      </c>
      <c r="T70" s="28">
        <f>Master_Table[[#This Row],[Actual Net Profit]]/Master_Table[[#This Row],[Actual Sales]]</f>
        <v>0.85510246325812456</v>
      </c>
      <c r="U70" s="28" t="str">
        <f>_xlfn.TEXTJOIN(" - ", TRUE, Master_Table[[#This Row],[Product]], Master_Table[[#This Row],[Branch]])</f>
        <v>Orange - Lagos</v>
      </c>
    </row>
    <row r="71" spans="1:21" ht="14.4" x14ac:dyDescent="0.3">
      <c r="A71" s="2">
        <v>70</v>
      </c>
      <c r="B71" s="2">
        <f t="shared" si="7"/>
        <v>101</v>
      </c>
      <c r="C71" s="1" t="str">
        <f>VLOOKUP(B71,Products!A:C,2,FALSE)</f>
        <v>Orange</v>
      </c>
      <c r="D71" s="1" t="str">
        <f t="shared" si="8"/>
        <v>Lagos</v>
      </c>
      <c r="E71" s="4" t="str">
        <f>_xlfn.XLOOKUP(D71,'Sales Manager'!$A$2:$A$6,'Sales Manager'!$B$2:$B$6,"")</f>
        <v>Adaora Okafor</v>
      </c>
      <c r="F71" s="3">
        <f t="shared" si="9"/>
        <v>10</v>
      </c>
      <c r="G71" s="1" t="str">
        <f t="shared" si="9"/>
        <v>Oct</v>
      </c>
      <c r="H71" s="11">
        <v>6000</v>
      </c>
      <c r="I71" s="11">
        <v>8644</v>
      </c>
      <c r="J71" s="11" cm="1">
        <f t="array" ref="J71">_xlfn.XLOOKUP(C71&amp;D71&amp;F71,Expense!$C$2:$C$601&amp;Expense!$D$2:$D$601&amp;Expense!$E$2:$E$601,Expense!$G$2:$G$601,"")</f>
        <v>1500</v>
      </c>
      <c r="K71" s="11" cm="1">
        <f t="array" ref="K71">_xlfn.XLOOKUP(C71&amp;D71&amp;F71,Expense!$C$2:$C$601&amp;Expense!$D$2:$D$601&amp;Expense!$E$2:$E$601,Expense!$H$2:$H$601,"")</f>
        <v>1400</v>
      </c>
      <c r="L71" s="14">
        <f t="shared" si="12"/>
        <v>2644</v>
      </c>
      <c r="M71" s="14">
        <f>Master_Table[[#This Row],[Expense Budget]]-Master_Table[[#This Row],[Actual Expense]]</f>
        <v>100</v>
      </c>
      <c r="N71" s="16">
        <f t="shared" si="13"/>
        <v>7244</v>
      </c>
      <c r="O71" s="29">
        <f t="shared" si="10"/>
        <v>4500</v>
      </c>
      <c r="P71" s="16">
        <f t="shared" si="11"/>
        <v>2744</v>
      </c>
      <c r="Q71" s="28">
        <f>Master_Table[[#This Row],[△Sales Variance]]/Master_Table[[#This Row],[Sales Budget]]</f>
        <v>0.44066666666666665</v>
      </c>
      <c r="R71" s="28">
        <f>Master_Table[[#This Row],[△Expense  Variance]]/Master_Table[[#This Row],[Expense Budget]]</f>
        <v>6.6666666666666666E-2</v>
      </c>
      <c r="S71" s="28">
        <f>Master_Table[[#This Row],[Net Profit Variance]]/Master_Table[[#This Row],[Budget Net Profit]]</f>
        <v>0.60977777777777775</v>
      </c>
      <c r="T71" s="28">
        <f>Master_Table[[#This Row],[Actual Net Profit]]/Master_Table[[#This Row],[Actual Sales]]</f>
        <v>0.83803794539565013</v>
      </c>
      <c r="U71" s="28" t="str">
        <f>_xlfn.TEXTJOIN(" - ", TRUE, Master_Table[[#This Row],[Product]], Master_Table[[#This Row],[Branch]])</f>
        <v>Orange - Lagos</v>
      </c>
    </row>
    <row r="72" spans="1:21" ht="14.4" x14ac:dyDescent="0.3">
      <c r="A72" s="2">
        <v>71</v>
      </c>
      <c r="B72" s="2">
        <f t="shared" si="7"/>
        <v>101</v>
      </c>
      <c r="C72" s="1" t="str">
        <f>VLOOKUP(B72,Products!A:C,2,FALSE)</f>
        <v>Orange</v>
      </c>
      <c r="D72" s="1" t="str">
        <f t="shared" si="8"/>
        <v>Lagos</v>
      </c>
      <c r="E72" s="4" t="str">
        <f>_xlfn.XLOOKUP(D72,'Sales Manager'!$A$2:$A$6,'Sales Manager'!$B$2:$B$6,"")</f>
        <v>Adaora Okafor</v>
      </c>
      <c r="F72" s="3">
        <f t="shared" si="9"/>
        <v>11</v>
      </c>
      <c r="G72" s="1" t="str">
        <f t="shared" si="9"/>
        <v>Nov</v>
      </c>
      <c r="H72" s="11">
        <v>4000</v>
      </c>
      <c r="I72" s="11">
        <v>3826</v>
      </c>
      <c r="J72" s="11" cm="1">
        <f t="array" ref="J72">_xlfn.XLOOKUP(C72&amp;D72&amp;F72,Expense!$C$2:$C$601&amp;Expense!$D$2:$D$601&amp;Expense!$E$2:$E$601,Expense!$G$2:$G$601,"")</f>
        <v>1333.3333333333333</v>
      </c>
      <c r="K72" s="11" cm="1">
        <f t="array" ref="K72">_xlfn.XLOOKUP(C72&amp;D72&amp;F72,Expense!$C$2:$C$601&amp;Expense!$D$2:$D$601&amp;Expense!$E$2:$E$601,Expense!$H$2:$H$601,"")</f>
        <v>1233.3333333333333</v>
      </c>
      <c r="L72" s="14">
        <f t="shared" si="12"/>
        <v>-174</v>
      </c>
      <c r="M72" s="14">
        <f>Master_Table[[#This Row],[Expense Budget]]-Master_Table[[#This Row],[Actual Expense]]</f>
        <v>100</v>
      </c>
      <c r="N72" s="16">
        <f t="shared" si="13"/>
        <v>2592.666666666667</v>
      </c>
      <c r="O72" s="29">
        <f t="shared" si="10"/>
        <v>2666.666666666667</v>
      </c>
      <c r="P72" s="16">
        <f t="shared" si="11"/>
        <v>-74</v>
      </c>
      <c r="Q72" s="28">
        <f>Master_Table[[#This Row],[△Sales Variance]]/Master_Table[[#This Row],[Sales Budget]]</f>
        <v>-4.3499999999999997E-2</v>
      </c>
      <c r="R72" s="28">
        <f>Master_Table[[#This Row],[△Expense  Variance]]/Master_Table[[#This Row],[Expense Budget]]</f>
        <v>7.5000000000000011E-2</v>
      </c>
      <c r="S72" s="28">
        <f>Master_Table[[#This Row],[Net Profit Variance]]/Master_Table[[#This Row],[Budget Net Profit]]</f>
        <v>-2.7749999999999997E-2</v>
      </c>
      <c r="T72" s="28">
        <f>Master_Table[[#This Row],[Actual Net Profit]]/Master_Table[[#This Row],[Actual Sales]]</f>
        <v>0.67764418888308076</v>
      </c>
      <c r="U72" s="28" t="str">
        <f>_xlfn.TEXTJOIN(" - ", TRUE, Master_Table[[#This Row],[Product]], Master_Table[[#This Row],[Branch]])</f>
        <v>Orange - Lagos</v>
      </c>
    </row>
    <row r="73" spans="1:21" ht="14.4" x14ac:dyDescent="0.3">
      <c r="A73" s="2">
        <v>72</v>
      </c>
      <c r="B73" s="2">
        <f t="shared" si="7"/>
        <v>101</v>
      </c>
      <c r="C73" s="1" t="str">
        <f>VLOOKUP(B73,Products!A:C,2,FALSE)</f>
        <v>Orange</v>
      </c>
      <c r="D73" s="1" t="str">
        <f t="shared" si="8"/>
        <v>Lagos</v>
      </c>
      <c r="E73" s="4" t="str">
        <f>_xlfn.XLOOKUP(D73,'Sales Manager'!$A$2:$A$6,'Sales Manager'!$B$2:$B$6,"")</f>
        <v>Adaora Okafor</v>
      </c>
      <c r="F73" s="3">
        <f t="shared" si="9"/>
        <v>12</v>
      </c>
      <c r="G73" s="1" t="str">
        <f t="shared" si="9"/>
        <v>Dec</v>
      </c>
      <c r="H73" s="11">
        <v>4000</v>
      </c>
      <c r="I73" s="11">
        <v>2454</v>
      </c>
      <c r="J73" s="11" cm="1">
        <f t="array" ref="J73">_xlfn.XLOOKUP(C73&amp;D73&amp;F73,Expense!$C$2:$C$601&amp;Expense!$D$2:$D$601&amp;Expense!$E$2:$E$601,Expense!$G$2:$G$601,"")</f>
        <v>800</v>
      </c>
      <c r="K73" s="11" cm="1">
        <f t="array" ref="K73">_xlfn.XLOOKUP(C73&amp;D73&amp;F73,Expense!$C$2:$C$601&amp;Expense!$D$2:$D$601&amp;Expense!$E$2:$E$601,Expense!$H$2:$H$601,"")</f>
        <v>600</v>
      </c>
      <c r="L73" s="14">
        <f t="shared" si="12"/>
        <v>-1546</v>
      </c>
      <c r="M73" s="14">
        <f>Master_Table[[#This Row],[Expense Budget]]-Master_Table[[#This Row],[Actual Expense]]</f>
        <v>200</v>
      </c>
      <c r="N73" s="16">
        <f t="shared" si="13"/>
        <v>1854</v>
      </c>
      <c r="O73" s="29">
        <f t="shared" si="10"/>
        <v>3200</v>
      </c>
      <c r="P73" s="16">
        <f t="shared" si="11"/>
        <v>-1346</v>
      </c>
      <c r="Q73" s="28">
        <f>Master_Table[[#This Row],[△Sales Variance]]/Master_Table[[#This Row],[Sales Budget]]</f>
        <v>-0.38650000000000001</v>
      </c>
      <c r="R73" s="28">
        <f>Master_Table[[#This Row],[△Expense  Variance]]/Master_Table[[#This Row],[Expense Budget]]</f>
        <v>0.25</v>
      </c>
      <c r="S73" s="28">
        <f>Master_Table[[#This Row],[Net Profit Variance]]/Master_Table[[#This Row],[Budget Net Profit]]</f>
        <v>-0.42062500000000003</v>
      </c>
      <c r="T73" s="28">
        <f>Master_Table[[#This Row],[Actual Net Profit]]/Master_Table[[#This Row],[Actual Sales]]</f>
        <v>0.75550122249388751</v>
      </c>
      <c r="U73" s="28" t="str">
        <f>_xlfn.TEXTJOIN(" - ", TRUE, Master_Table[[#This Row],[Product]], Master_Table[[#This Row],[Branch]])</f>
        <v>Orange - Lagos</v>
      </c>
    </row>
    <row r="74" spans="1:21" ht="14.4" x14ac:dyDescent="0.3">
      <c r="A74" s="2">
        <v>73</v>
      </c>
      <c r="B74" s="2">
        <f t="shared" si="7"/>
        <v>101</v>
      </c>
      <c r="C74" s="1" t="str">
        <f>VLOOKUP(B74,Products!A:C,2,FALSE)</f>
        <v>Orange</v>
      </c>
      <c r="D74" s="1" t="str">
        <f t="shared" si="8"/>
        <v>Abuja</v>
      </c>
      <c r="E74" s="4" t="str">
        <f>_xlfn.XLOOKUP(D74,'Sales Manager'!$A$2:$A$6,'Sales Manager'!$B$2:$B$6,"")</f>
        <v>Emeka Nwosu</v>
      </c>
      <c r="F74" s="3">
        <f t="shared" si="9"/>
        <v>1</v>
      </c>
      <c r="G74" s="1" t="str">
        <f t="shared" si="9"/>
        <v>Jan</v>
      </c>
      <c r="H74" s="11">
        <v>4000</v>
      </c>
      <c r="I74" s="11">
        <v>7634</v>
      </c>
      <c r="J74" s="11" cm="1">
        <f t="array" ref="J74">_xlfn.XLOOKUP(C74&amp;D74&amp;F74,Expense!$C$2:$C$601&amp;Expense!$D$2:$D$601&amp;Expense!$E$2:$E$601,Expense!$G$2:$G$601,"")</f>
        <v>1333.3333333333333</v>
      </c>
      <c r="K74" s="11" cm="1">
        <f t="array" ref="K74">_xlfn.XLOOKUP(C74&amp;D74&amp;F74,Expense!$C$2:$C$601&amp;Expense!$D$2:$D$601&amp;Expense!$E$2:$E$601,Expense!$H$2:$H$601,"")</f>
        <v>633.33333333333326</v>
      </c>
      <c r="L74" s="14">
        <f t="shared" si="12"/>
        <v>3634</v>
      </c>
      <c r="M74" s="14">
        <f>Master_Table[[#This Row],[Expense Budget]]-Master_Table[[#This Row],[Actual Expense]]</f>
        <v>700</v>
      </c>
      <c r="N74" s="16">
        <f t="shared" si="13"/>
        <v>7000.666666666667</v>
      </c>
      <c r="O74" s="29">
        <f t="shared" si="10"/>
        <v>2666.666666666667</v>
      </c>
      <c r="P74" s="16">
        <f t="shared" si="11"/>
        <v>4334</v>
      </c>
      <c r="Q74" s="28">
        <f>Master_Table[[#This Row],[△Sales Variance]]/Master_Table[[#This Row],[Sales Budget]]</f>
        <v>0.90849999999999997</v>
      </c>
      <c r="R74" s="28">
        <f>Master_Table[[#This Row],[△Expense  Variance]]/Master_Table[[#This Row],[Expense Budget]]</f>
        <v>0.52500000000000002</v>
      </c>
      <c r="S74" s="28">
        <f>Master_Table[[#This Row],[Net Profit Variance]]/Master_Table[[#This Row],[Budget Net Profit]]</f>
        <v>1.6252499999999999</v>
      </c>
      <c r="T74" s="28">
        <f>Master_Table[[#This Row],[Actual Net Profit]]/Master_Table[[#This Row],[Actual Sales]]</f>
        <v>0.91703781329141565</v>
      </c>
      <c r="U74" s="28" t="str">
        <f>_xlfn.TEXTJOIN(" - ", TRUE, Master_Table[[#This Row],[Product]], Master_Table[[#This Row],[Branch]])</f>
        <v>Orange - Abuja</v>
      </c>
    </row>
    <row r="75" spans="1:21" ht="14.4" x14ac:dyDescent="0.3">
      <c r="A75" s="2">
        <v>74</v>
      </c>
      <c r="B75" s="2">
        <f t="shared" si="7"/>
        <v>101</v>
      </c>
      <c r="C75" s="1" t="str">
        <f>VLOOKUP(B75,Products!A:C,2,FALSE)</f>
        <v>Orange</v>
      </c>
      <c r="D75" s="1" t="str">
        <f t="shared" si="8"/>
        <v>Abuja</v>
      </c>
      <c r="E75" s="4" t="str">
        <f>_xlfn.XLOOKUP(D75,'Sales Manager'!$A$2:$A$6,'Sales Manager'!$B$2:$B$6,"")</f>
        <v>Emeka Nwosu</v>
      </c>
      <c r="F75" s="3">
        <f t="shared" si="9"/>
        <v>2</v>
      </c>
      <c r="G75" s="1" t="str">
        <f t="shared" si="9"/>
        <v>Feb</v>
      </c>
      <c r="H75" s="11">
        <v>7000</v>
      </c>
      <c r="I75" s="11">
        <v>6264</v>
      </c>
      <c r="J75" s="11" cm="1">
        <f t="array" ref="J75">_xlfn.XLOOKUP(C75&amp;D75&amp;F75,Expense!$C$2:$C$601&amp;Expense!$D$2:$D$601&amp;Expense!$E$2:$E$601,Expense!$G$2:$G$601,"")</f>
        <v>3500</v>
      </c>
      <c r="K75" s="11" cm="1">
        <f t="array" ref="K75">_xlfn.XLOOKUP(C75&amp;D75&amp;F75,Expense!$C$2:$C$601&amp;Expense!$D$2:$D$601&amp;Expense!$E$2:$E$601,Expense!$H$2:$H$601,"")</f>
        <v>3000</v>
      </c>
      <c r="L75" s="14">
        <f t="shared" si="12"/>
        <v>-736</v>
      </c>
      <c r="M75" s="14">
        <f>Master_Table[[#This Row],[Expense Budget]]-Master_Table[[#This Row],[Actual Expense]]</f>
        <v>500</v>
      </c>
      <c r="N75" s="16">
        <f t="shared" si="13"/>
        <v>3264</v>
      </c>
      <c r="O75" s="29">
        <f t="shared" si="10"/>
        <v>3500</v>
      </c>
      <c r="P75" s="16">
        <f t="shared" si="11"/>
        <v>-236</v>
      </c>
      <c r="Q75" s="28">
        <f>Master_Table[[#This Row],[△Sales Variance]]/Master_Table[[#This Row],[Sales Budget]]</f>
        <v>-0.10514285714285715</v>
      </c>
      <c r="R75" s="28">
        <f>Master_Table[[#This Row],[△Expense  Variance]]/Master_Table[[#This Row],[Expense Budget]]</f>
        <v>0.14285714285714285</v>
      </c>
      <c r="S75" s="28">
        <f>Master_Table[[#This Row],[Net Profit Variance]]/Master_Table[[#This Row],[Budget Net Profit]]</f>
        <v>-6.7428571428571435E-2</v>
      </c>
      <c r="T75" s="28">
        <f>Master_Table[[#This Row],[Actual Net Profit]]/Master_Table[[#This Row],[Actual Sales]]</f>
        <v>0.52107279693486586</v>
      </c>
      <c r="U75" s="28" t="str">
        <f>_xlfn.TEXTJOIN(" - ", TRUE, Master_Table[[#This Row],[Product]], Master_Table[[#This Row],[Branch]])</f>
        <v>Orange - Abuja</v>
      </c>
    </row>
    <row r="76" spans="1:21" ht="14.4" x14ac:dyDescent="0.3">
      <c r="A76" s="2">
        <v>75</v>
      </c>
      <c r="B76" s="2">
        <f t="shared" si="7"/>
        <v>101</v>
      </c>
      <c r="C76" s="1" t="str">
        <f>VLOOKUP(B76,Products!A:C,2,FALSE)</f>
        <v>Orange</v>
      </c>
      <c r="D76" s="1" t="str">
        <f t="shared" si="8"/>
        <v>Abuja</v>
      </c>
      <c r="E76" s="4" t="str">
        <f>_xlfn.XLOOKUP(D76,'Sales Manager'!$A$2:$A$6,'Sales Manager'!$B$2:$B$6,"")</f>
        <v>Emeka Nwosu</v>
      </c>
      <c r="F76" s="3">
        <f t="shared" si="9"/>
        <v>3</v>
      </c>
      <c r="G76" s="1" t="str">
        <f t="shared" si="9"/>
        <v>Mar</v>
      </c>
      <c r="H76" s="11">
        <v>1000</v>
      </c>
      <c r="I76" s="11">
        <v>5142</v>
      </c>
      <c r="J76" s="11" cm="1">
        <f t="array" ref="J76">_xlfn.XLOOKUP(C76&amp;D76&amp;F76,Expense!$C$2:$C$601&amp;Expense!$D$2:$D$601&amp;Expense!$E$2:$E$601,Expense!$G$2:$G$601,"")</f>
        <v>500</v>
      </c>
      <c r="K76" s="11" cm="1">
        <f t="array" ref="K76">_xlfn.XLOOKUP(C76&amp;D76&amp;F76,Expense!$C$2:$C$601&amp;Expense!$D$2:$D$601&amp;Expense!$E$2:$E$601,Expense!$H$2:$H$601,"")</f>
        <v>200</v>
      </c>
      <c r="L76" s="14">
        <f t="shared" si="12"/>
        <v>4142</v>
      </c>
      <c r="M76" s="14">
        <f>Master_Table[[#This Row],[Expense Budget]]-Master_Table[[#This Row],[Actual Expense]]</f>
        <v>300</v>
      </c>
      <c r="N76" s="16">
        <f t="shared" si="13"/>
        <v>4942</v>
      </c>
      <c r="O76" s="29">
        <f t="shared" si="10"/>
        <v>500</v>
      </c>
      <c r="P76" s="16">
        <f t="shared" si="11"/>
        <v>4442</v>
      </c>
      <c r="Q76" s="28">
        <f>Master_Table[[#This Row],[△Sales Variance]]/Master_Table[[#This Row],[Sales Budget]]</f>
        <v>4.1420000000000003</v>
      </c>
      <c r="R76" s="28">
        <f>Master_Table[[#This Row],[△Expense  Variance]]/Master_Table[[#This Row],[Expense Budget]]</f>
        <v>0.6</v>
      </c>
      <c r="S76" s="28">
        <f>Master_Table[[#This Row],[Net Profit Variance]]/Master_Table[[#This Row],[Budget Net Profit]]</f>
        <v>8.8840000000000003</v>
      </c>
      <c r="T76" s="28">
        <f>Master_Table[[#This Row],[Actual Net Profit]]/Master_Table[[#This Row],[Actual Sales]]</f>
        <v>0.96110462854920264</v>
      </c>
      <c r="U76" s="28" t="str">
        <f>_xlfn.TEXTJOIN(" - ", TRUE, Master_Table[[#This Row],[Product]], Master_Table[[#This Row],[Branch]])</f>
        <v>Orange - Abuja</v>
      </c>
    </row>
    <row r="77" spans="1:21" ht="14.4" x14ac:dyDescent="0.3">
      <c r="A77" s="2">
        <v>76</v>
      </c>
      <c r="B77" s="2">
        <f t="shared" si="7"/>
        <v>101</v>
      </c>
      <c r="C77" s="1" t="str">
        <f>VLOOKUP(B77,Products!A:C,2,FALSE)</f>
        <v>Orange</v>
      </c>
      <c r="D77" s="1" t="str">
        <f t="shared" si="8"/>
        <v>Abuja</v>
      </c>
      <c r="E77" s="4" t="str">
        <f>_xlfn.XLOOKUP(D77,'Sales Manager'!$A$2:$A$6,'Sales Manager'!$B$2:$B$6,"")</f>
        <v>Emeka Nwosu</v>
      </c>
      <c r="F77" s="3">
        <f t="shared" si="9"/>
        <v>4</v>
      </c>
      <c r="G77" s="1" t="str">
        <f t="shared" si="9"/>
        <v>Apr</v>
      </c>
      <c r="H77" s="11">
        <v>3000</v>
      </c>
      <c r="I77" s="11">
        <v>8316</v>
      </c>
      <c r="J77" s="11" cm="1">
        <f t="array" ref="J77">_xlfn.XLOOKUP(C77&amp;D77&amp;F77,Expense!$C$2:$C$601&amp;Expense!$D$2:$D$601&amp;Expense!$E$2:$E$601,Expense!$G$2:$G$601,"")</f>
        <v>600</v>
      </c>
      <c r="K77" s="11" cm="1">
        <f t="array" ref="K77">_xlfn.XLOOKUP(C77&amp;D77&amp;F77,Expense!$C$2:$C$601&amp;Expense!$D$2:$D$601&amp;Expense!$E$2:$E$601,Expense!$H$2:$H$601,"")</f>
        <v>200</v>
      </c>
      <c r="L77" s="14">
        <f t="shared" si="12"/>
        <v>5316</v>
      </c>
      <c r="M77" s="14">
        <f>Master_Table[[#This Row],[Expense Budget]]-Master_Table[[#This Row],[Actual Expense]]</f>
        <v>400</v>
      </c>
      <c r="N77" s="16">
        <f t="shared" si="13"/>
        <v>8116</v>
      </c>
      <c r="O77" s="29">
        <f t="shared" si="10"/>
        <v>2400</v>
      </c>
      <c r="P77" s="16">
        <f t="shared" si="11"/>
        <v>5716</v>
      </c>
      <c r="Q77" s="28">
        <f>Master_Table[[#This Row],[△Sales Variance]]/Master_Table[[#This Row],[Sales Budget]]</f>
        <v>1.772</v>
      </c>
      <c r="R77" s="28">
        <f>Master_Table[[#This Row],[△Expense  Variance]]/Master_Table[[#This Row],[Expense Budget]]</f>
        <v>0.66666666666666663</v>
      </c>
      <c r="S77" s="28">
        <f>Master_Table[[#This Row],[Net Profit Variance]]/Master_Table[[#This Row],[Budget Net Profit]]</f>
        <v>2.3816666666666668</v>
      </c>
      <c r="T77" s="28">
        <f>Master_Table[[#This Row],[Actual Net Profit]]/Master_Table[[#This Row],[Actual Sales]]</f>
        <v>0.9759499759499759</v>
      </c>
      <c r="U77" s="28" t="str">
        <f>_xlfn.TEXTJOIN(" - ", TRUE, Master_Table[[#This Row],[Product]], Master_Table[[#This Row],[Branch]])</f>
        <v>Orange - Abuja</v>
      </c>
    </row>
    <row r="78" spans="1:21" ht="14.4" x14ac:dyDescent="0.3">
      <c r="A78" s="2">
        <v>77</v>
      </c>
      <c r="B78" s="2">
        <f t="shared" si="7"/>
        <v>101</v>
      </c>
      <c r="C78" s="1" t="str">
        <f>VLOOKUP(B78,Products!A:C,2,FALSE)</f>
        <v>Orange</v>
      </c>
      <c r="D78" s="1" t="str">
        <f t="shared" si="8"/>
        <v>Abuja</v>
      </c>
      <c r="E78" s="4" t="str">
        <f>_xlfn.XLOOKUP(D78,'Sales Manager'!$A$2:$A$6,'Sales Manager'!$B$2:$B$6,"")</f>
        <v>Emeka Nwosu</v>
      </c>
      <c r="F78" s="3">
        <f t="shared" si="9"/>
        <v>5</v>
      </c>
      <c r="G78" s="1" t="str">
        <f t="shared" si="9"/>
        <v>May</v>
      </c>
      <c r="H78" s="11">
        <v>2000</v>
      </c>
      <c r="I78" s="11">
        <v>2872</v>
      </c>
      <c r="J78" s="11" cm="1">
        <f t="array" ref="J78">_xlfn.XLOOKUP(C78&amp;D78&amp;F78,Expense!$C$2:$C$601&amp;Expense!$D$2:$D$601&amp;Expense!$E$2:$E$601,Expense!$G$2:$G$601,"")</f>
        <v>500</v>
      </c>
      <c r="K78" s="11" cm="1">
        <f t="array" ref="K78">_xlfn.XLOOKUP(C78&amp;D78&amp;F78,Expense!$C$2:$C$601&amp;Expense!$D$2:$D$601&amp;Expense!$E$2:$E$601,Expense!$H$2:$H$601,"")</f>
        <v>300</v>
      </c>
      <c r="L78" s="14">
        <f t="shared" si="12"/>
        <v>872</v>
      </c>
      <c r="M78" s="14">
        <f>Master_Table[[#This Row],[Expense Budget]]-Master_Table[[#This Row],[Actual Expense]]</f>
        <v>200</v>
      </c>
      <c r="N78" s="16">
        <f t="shared" si="13"/>
        <v>2572</v>
      </c>
      <c r="O78" s="29">
        <f t="shared" si="10"/>
        <v>1500</v>
      </c>
      <c r="P78" s="16">
        <f t="shared" si="11"/>
        <v>1072</v>
      </c>
      <c r="Q78" s="28">
        <f>Master_Table[[#This Row],[△Sales Variance]]/Master_Table[[#This Row],[Sales Budget]]</f>
        <v>0.436</v>
      </c>
      <c r="R78" s="28">
        <f>Master_Table[[#This Row],[△Expense  Variance]]/Master_Table[[#This Row],[Expense Budget]]</f>
        <v>0.4</v>
      </c>
      <c r="S78" s="28">
        <f>Master_Table[[#This Row],[Net Profit Variance]]/Master_Table[[#This Row],[Budget Net Profit]]</f>
        <v>0.71466666666666667</v>
      </c>
      <c r="T78" s="28">
        <f>Master_Table[[#This Row],[Actual Net Profit]]/Master_Table[[#This Row],[Actual Sales]]</f>
        <v>0.8955431754874652</v>
      </c>
      <c r="U78" s="28" t="str">
        <f>_xlfn.TEXTJOIN(" - ", TRUE, Master_Table[[#This Row],[Product]], Master_Table[[#This Row],[Branch]])</f>
        <v>Orange - Abuja</v>
      </c>
    </row>
    <row r="79" spans="1:21" ht="14.4" x14ac:dyDescent="0.3">
      <c r="A79" s="2">
        <v>78</v>
      </c>
      <c r="B79" s="2">
        <f t="shared" si="7"/>
        <v>101</v>
      </c>
      <c r="C79" s="1" t="str">
        <f>VLOOKUP(B79,Products!A:C,2,FALSE)</f>
        <v>Orange</v>
      </c>
      <c r="D79" s="1" t="str">
        <f t="shared" si="8"/>
        <v>Abuja</v>
      </c>
      <c r="E79" s="4" t="str">
        <f>_xlfn.XLOOKUP(D79,'Sales Manager'!$A$2:$A$6,'Sales Manager'!$B$2:$B$6,"")</f>
        <v>Emeka Nwosu</v>
      </c>
      <c r="F79" s="3">
        <f t="shared" ref="F79:G94" si="14">F67</f>
        <v>6</v>
      </c>
      <c r="G79" s="1" t="str">
        <f t="shared" si="14"/>
        <v>Jun</v>
      </c>
      <c r="H79" s="11">
        <v>5000</v>
      </c>
      <c r="I79" s="11">
        <v>5255</v>
      </c>
      <c r="J79" s="11" cm="1">
        <f t="array" ref="J79">_xlfn.XLOOKUP(C79&amp;D79&amp;F79,Expense!$C$2:$C$601&amp;Expense!$D$2:$D$601&amp;Expense!$E$2:$E$601,Expense!$G$2:$G$601,"")</f>
        <v>1250</v>
      </c>
      <c r="K79" s="11" cm="1">
        <f t="array" ref="K79">_xlfn.XLOOKUP(C79&amp;D79&amp;F79,Expense!$C$2:$C$601&amp;Expense!$D$2:$D$601&amp;Expense!$E$2:$E$601,Expense!$H$2:$H$601,"")</f>
        <v>850</v>
      </c>
      <c r="L79" s="14">
        <f t="shared" si="12"/>
        <v>255</v>
      </c>
      <c r="M79" s="14">
        <f>Master_Table[[#This Row],[Expense Budget]]-Master_Table[[#This Row],[Actual Expense]]</f>
        <v>400</v>
      </c>
      <c r="N79" s="16">
        <f t="shared" si="13"/>
        <v>4405</v>
      </c>
      <c r="O79" s="29">
        <f t="shared" si="10"/>
        <v>3750</v>
      </c>
      <c r="P79" s="16">
        <f t="shared" si="11"/>
        <v>655</v>
      </c>
      <c r="Q79" s="28">
        <f>Master_Table[[#This Row],[△Sales Variance]]/Master_Table[[#This Row],[Sales Budget]]</f>
        <v>5.0999999999999997E-2</v>
      </c>
      <c r="R79" s="28">
        <f>Master_Table[[#This Row],[△Expense  Variance]]/Master_Table[[#This Row],[Expense Budget]]</f>
        <v>0.32</v>
      </c>
      <c r="S79" s="28">
        <f>Master_Table[[#This Row],[Net Profit Variance]]/Master_Table[[#This Row],[Budget Net Profit]]</f>
        <v>0.17466666666666666</v>
      </c>
      <c r="T79" s="28">
        <f>Master_Table[[#This Row],[Actual Net Profit]]/Master_Table[[#This Row],[Actual Sales]]</f>
        <v>0.83824928639391061</v>
      </c>
      <c r="U79" s="28" t="str">
        <f>_xlfn.TEXTJOIN(" - ", TRUE, Master_Table[[#This Row],[Product]], Master_Table[[#This Row],[Branch]])</f>
        <v>Orange - Abuja</v>
      </c>
    </row>
    <row r="80" spans="1:21" ht="14.4" x14ac:dyDescent="0.3">
      <c r="A80" s="2">
        <v>79</v>
      </c>
      <c r="B80" s="2">
        <f t="shared" si="7"/>
        <v>101</v>
      </c>
      <c r="C80" s="1" t="str">
        <f>VLOOKUP(B80,Products!A:C,2,FALSE)</f>
        <v>Orange</v>
      </c>
      <c r="D80" s="1" t="str">
        <f t="shared" si="8"/>
        <v>Abuja</v>
      </c>
      <c r="E80" s="4" t="str">
        <f>_xlfn.XLOOKUP(D80,'Sales Manager'!$A$2:$A$6,'Sales Manager'!$B$2:$B$6,"")</f>
        <v>Emeka Nwosu</v>
      </c>
      <c r="F80" s="3">
        <f t="shared" si="14"/>
        <v>7</v>
      </c>
      <c r="G80" s="1" t="str">
        <f t="shared" si="14"/>
        <v>Jul</v>
      </c>
      <c r="H80" s="11">
        <v>5000</v>
      </c>
      <c r="I80" s="11">
        <v>2452</v>
      </c>
      <c r="J80" s="11" cm="1">
        <f t="array" ref="J80">_xlfn.XLOOKUP(C80&amp;D80&amp;F80,Expense!$C$2:$C$601&amp;Expense!$D$2:$D$601&amp;Expense!$E$2:$E$601,Expense!$G$2:$G$601,"")</f>
        <v>1250</v>
      </c>
      <c r="K80" s="11" cm="1">
        <f t="array" ref="K80">_xlfn.XLOOKUP(C80&amp;D80&amp;F80,Expense!$C$2:$C$601&amp;Expense!$D$2:$D$601&amp;Expense!$E$2:$E$601,Expense!$H$2:$H$601,"")</f>
        <v>1250</v>
      </c>
      <c r="L80" s="14">
        <f t="shared" si="12"/>
        <v>-2548</v>
      </c>
      <c r="M80" s="14">
        <f>Master_Table[[#This Row],[Expense Budget]]-Master_Table[[#This Row],[Actual Expense]]</f>
        <v>0</v>
      </c>
      <c r="N80" s="16">
        <f t="shared" si="13"/>
        <v>1202</v>
      </c>
      <c r="O80" s="29">
        <f t="shared" si="10"/>
        <v>3750</v>
      </c>
      <c r="P80" s="16">
        <f t="shared" si="11"/>
        <v>-2548</v>
      </c>
      <c r="Q80" s="28">
        <f>Master_Table[[#This Row],[△Sales Variance]]/Master_Table[[#This Row],[Sales Budget]]</f>
        <v>-0.50960000000000005</v>
      </c>
      <c r="R80" s="28">
        <f>Master_Table[[#This Row],[△Expense  Variance]]/Master_Table[[#This Row],[Expense Budget]]</f>
        <v>0</v>
      </c>
      <c r="S80" s="28">
        <f>Master_Table[[#This Row],[Net Profit Variance]]/Master_Table[[#This Row],[Budget Net Profit]]</f>
        <v>-0.67946666666666666</v>
      </c>
      <c r="T80" s="28">
        <f>Master_Table[[#This Row],[Actual Net Profit]]/Master_Table[[#This Row],[Actual Sales]]</f>
        <v>0.4902120717781403</v>
      </c>
      <c r="U80" s="28" t="str">
        <f>_xlfn.TEXTJOIN(" - ", TRUE, Master_Table[[#This Row],[Product]], Master_Table[[#This Row],[Branch]])</f>
        <v>Orange - Abuja</v>
      </c>
    </row>
    <row r="81" spans="1:21" ht="14.4" x14ac:dyDescent="0.3">
      <c r="A81" s="2">
        <v>80</v>
      </c>
      <c r="B81" s="2">
        <f t="shared" si="7"/>
        <v>101</v>
      </c>
      <c r="C81" s="1" t="str">
        <f>VLOOKUP(B81,Products!A:C,2,FALSE)</f>
        <v>Orange</v>
      </c>
      <c r="D81" s="1" t="str">
        <f t="shared" si="8"/>
        <v>Abuja</v>
      </c>
      <c r="E81" s="4" t="str">
        <f>_xlfn.XLOOKUP(D81,'Sales Manager'!$A$2:$A$6,'Sales Manager'!$B$2:$B$6,"")</f>
        <v>Emeka Nwosu</v>
      </c>
      <c r="F81" s="3">
        <f t="shared" si="14"/>
        <v>8</v>
      </c>
      <c r="G81" s="1" t="str">
        <f t="shared" si="14"/>
        <v>Aug</v>
      </c>
      <c r="H81" s="11">
        <v>7000</v>
      </c>
      <c r="I81" s="11">
        <v>6244</v>
      </c>
      <c r="J81" s="11" cm="1">
        <f t="array" ref="J81">_xlfn.XLOOKUP(C81&amp;D81&amp;F81,Expense!$C$2:$C$601&amp;Expense!$D$2:$D$601&amp;Expense!$E$2:$E$601,Expense!$G$2:$G$601,"")</f>
        <v>2333.3333333333335</v>
      </c>
      <c r="K81" s="11" cm="1">
        <f t="array" ref="K81">_xlfn.XLOOKUP(C81&amp;D81&amp;F81,Expense!$C$2:$C$601&amp;Expense!$D$2:$D$601&amp;Expense!$E$2:$E$601,Expense!$H$2:$H$601,"")</f>
        <v>1833.3333333333335</v>
      </c>
      <c r="L81" s="14">
        <f t="shared" si="12"/>
        <v>-756</v>
      </c>
      <c r="M81" s="14">
        <f>Master_Table[[#This Row],[Expense Budget]]-Master_Table[[#This Row],[Actual Expense]]</f>
        <v>500</v>
      </c>
      <c r="N81" s="16">
        <f t="shared" si="13"/>
        <v>4410.6666666666661</v>
      </c>
      <c r="O81" s="29">
        <f t="shared" si="10"/>
        <v>4666.6666666666661</v>
      </c>
      <c r="P81" s="16">
        <f t="shared" si="11"/>
        <v>-256</v>
      </c>
      <c r="Q81" s="28">
        <f>Master_Table[[#This Row],[△Sales Variance]]/Master_Table[[#This Row],[Sales Budget]]</f>
        <v>-0.108</v>
      </c>
      <c r="R81" s="28">
        <f>Master_Table[[#This Row],[△Expense  Variance]]/Master_Table[[#This Row],[Expense Budget]]</f>
        <v>0.21428571428571427</v>
      </c>
      <c r="S81" s="28">
        <f>Master_Table[[#This Row],[Net Profit Variance]]/Master_Table[[#This Row],[Budget Net Profit]]</f>
        <v>-5.4857142857142861E-2</v>
      </c>
      <c r="T81" s="28">
        <f>Master_Table[[#This Row],[Actual Net Profit]]/Master_Table[[#This Row],[Actual Sales]]</f>
        <v>0.70638479607089466</v>
      </c>
      <c r="U81" s="28" t="str">
        <f>_xlfn.TEXTJOIN(" - ", TRUE, Master_Table[[#This Row],[Product]], Master_Table[[#This Row],[Branch]])</f>
        <v>Orange - Abuja</v>
      </c>
    </row>
    <row r="82" spans="1:21" ht="14.4" x14ac:dyDescent="0.3">
      <c r="A82" s="2">
        <v>81</v>
      </c>
      <c r="B82" s="2">
        <f t="shared" si="7"/>
        <v>101</v>
      </c>
      <c r="C82" s="1" t="str">
        <f>VLOOKUP(B82,Products!A:C,2,FALSE)</f>
        <v>Orange</v>
      </c>
      <c r="D82" s="1" t="str">
        <f t="shared" si="8"/>
        <v>Abuja</v>
      </c>
      <c r="E82" s="4" t="str">
        <f>_xlfn.XLOOKUP(D82,'Sales Manager'!$A$2:$A$6,'Sales Manager'!$B$2:$B$6,"")</f>
        <v>Emeka Nwosu</v>
      </c>
      <c r="F82" s="3">
        <f t="shared" si="14"/>
        <v>9</v>
      </c>
      <c r="G82" s="1" t="str">
        <f t="shared" si="14"/>
        <v>Sept</v>
      </c>
      <c r="H82" s="11">
        <v>2000</v>
      </c>
      <c r="I82" s="11">
        <v>6261</v>
      </c>
      <c r="J82" s="11" cm="1">
        <f t="array" ref="J82">_xlfn.XLOOKUP(C82&amp;D82&amp;F82,Expense!$C$2:$C$601&amp;Expense!$D$2:$D$601&amp;Expense!$E$2:$E$601,Expense!$G$2:$G$601,"")</f>
        <v>666.66666666666663</v>
      </c>
      <c r="K82" s="11" cm="1">
        <f t="array" ref="K82">_xlfn.XLOOKUP(C82&amp;D82&amp;F82,Expense!$C$2:$C$601&amp;Expense!$D$2:$D$601&amp;Expense!$E$2:$E$601,Expense!$H$2:$H$601,"")</f>
        <v>466.66666666666663</v>
      </c>
      <c r="L82" s="14">
        <f t="shared" si="12"/>
        <v>4261</v>
      </c>
      <c r="M82" s="14">
        <f>Master_Table[[#This Row],[Expense Budget]]-Master_Table[[#This Row],[Actual Expense]]</f>
        <v>200</v>
      </c>
      <c r="N82" s="16">
        <f t="shared" si="13"/>
        <v>5794.333333333333</v>
      </c>
      <c r="O82" s="29">
        <f t="shared" si="10"/>
        <v>1333.3333333333335</v>
      </c>
      <c r="P82" s="16">
        <f t="shared" si="11"/>
        <v>4461</v>
      </c>
      <c r="Q82" s="28">
        <f>Master_Table[[#This Row],[△Sales Variance]]/Master_Table[[#This Row],[Sales Budget]]</f>
        <v>2.1305000000000001</v>
      </c>
      <c r="R82" s="28">
        <f>Master_Table[[#This Row],[△Expense  Variance]]/Master_Table[[#This Row],[Expense Budget]]</f>
        <v>0.30000000000000004</v>
      </c>
      <c r="S82" s="28">
        <f>Master_Table[[#This Row],[Net Profit Variance]]/Master_Table[[#This Row],[Budget Net Profit]]</f>
        <v>3.3457499999999998</v>
      </c>
      <c r="T82" s="28">
        <f>Master_Table[[#This Row],[Actual Net Profit]]/Master_Table[[#This Row],[Actual Sales]]</f>
        <v>0.92546451578555067</v>
      </c>
      <c r="U82" s="28" t="str">
        <f>_xlfn.TEXTJOIN(" - ", TRUE, Master_Table[[#This Row],[Product]], Master_Table[[#This Row],[Branch]])</f>
        <v>Orange - Abuja</v>
      </c>
    </row>
    <row r="83" spans="1:21" ht="14.4" x14ac:dyDescent="0.3">
      <c r="A83" s="2">
        <v>82</v>
      </c>
      <c r="B83" s="2">
        <f t="shared" si="7"/>
        <v>101</v>
      </c>
      <c r="C83" s="1" t="str">
        <f>VLOOKUP(B83,Products!A:C,2,FALSE)</f>
        <v>Orange</v>
      </c>
      <c r="D83" s="1" t="str">
        <f t="shared" si="8"/>
        <v>Abuja</v>
      </c>
      <c r="E83" s="4" t="str">
        <f>_xlfn.XLOOKUP(D83,'Sales Manager'!$A$2:$A$6,'Sales Manager'!$B$2:$B$6,"")</f>
        <v>Emeka Nwosu</v>
      </c>
      <c r="F83" s="3">
        <f t="shared" si="14"/>
        <v>10</v>
      </c>
      <c r="G83" s="1" t="str">
        <f t="shared" si="14"/>
        <v>Oct</v>
      </c>
      <c r="H83" s="11">
        <v>5000</v>
      </c>
      <c r="I83" s="11">
        <v>2751</v>
      </c>
      <c r="J83" s="11" cm="1">
        <f t="array" ref="J83">_xlfn.XLOOKUP(C83&amp;D83&amp;F83,Expense!$C$2:$C$601&amp;Expense!$D$2:$D$601&amp;Expense!$E$2:$E$601,Expense!$G$2:$G$601,"")</f>
        <v>1666.6666666666667</v>
      </c>
      <c r="K83" s="11" cm="1">
        <f t="array" ref="K83">_xlfn.XLOOKUP(C83&amp;D83&amp;F83,Expense!$C$2:$C$601&amp;Expense!$D$2:$D$601&amp;Expense!$E$2:$E$601,Expense!$H$2:$H$601,"")</f>
        <v>1366.6666666666667</v>
      </c>
      <c r="L83" s="14">
        <f t="shared" si="12"/>
        <v>-2249</v>
      </c>
      <c r="M83" s="14">
        <f>Master_Table[[#This Row],[Expense Budget]]-Master_Table[[#This Row],[Actual Expense]]</f>
        <v>300</v>
      </c>
      <c r="N83" s="16">
        <f t="shared" si="13"/>
        <v>1384.3333333333333</v>
      </c>
      <c r="O83" s="29">
        <f t="shared" si="10"/>
        <v>3333.333333333333</v>
      </c>
      <c r="P83" s="16">
        <f t="shared" si="11"/>
        <v>-1948.9999999999998</v>
      </c>
      <c r="Q83" s="28">
        <f>Master_Table[[#This Row],[△Sales Variance]]/Master_Table[[#This Row],[Sales Budget]]</f>
        <v>-0.44979999999999998</v>
      </c>
      <c r="R83" s="28">
        <f>Master_Table[[#This Row],[△Expense  Variance]]/Master_Table[[#This Row],[Expense Budget]]</f>
        <v>0.18</v>
      </c>
      <c r="S83" s="28">
        <f>Master_Table[[#This Row],[Net Profit Variance]]/Master_Table[[#This Row],[Budget Net Profit]]</f>
        <v>-0.5847</v>
      </c>
      <c r="T83" s="28">
        <f>Master_Table[[#This Row],[Actual Net Profit]]/Master_Table[[#This Row],[Actual Sales]]</f>
        <v>0.5032109535926329</v>
      </c>
      <c r="U83" s="28" t="str">
        <f>_xlfn.TEXTJOIN(" - ", TRUE, Master_Table[[#This Row],[Product]], Master_Table[[#This Row],[Branch]])</f>
        <v>Orange - Abuja</v>
      </c>
    </row>
    <row r="84" spans="1:21" ht="14.4" x14ac:dyDescent="0.3">
      <c r="A84" s="2">
        <v>83</v>
      </c>
      <c r="B84" s="2">
        <f t="shared" si="7"/>
        <v>101</v>
      </c>
      <c r="C84" s="1" t="str">
        <f>VLOOKUP(B84,Products!A:C,2,FALSE)</f>
        <v>Orange</v>
      </c>
      <c r="D84" s="1" t="str">
        <f t="shared" si="8"/>
        <v>Abuja</v>
      </c>
      <c r="E84" s="4" t="str">
        <f>_xlfn.XLOOKUP(D84,'Sales Manager'!$A$2:$A$6,'Sales Manager'!$B$2:$B$6,"")</f>
        <v>Emeka Nwosu</v>
      </c>
      <c r="F84" s="3">
        <f t="shared" si="14"/>
        <v>11</v>
      </c>
      <c r="G84" s="1" t="str">
        <f t="shared" si="14"/>
        <v>Nov</v>
      </c>
      <c r="H84" s="11">
        <v>8000</v>
      </c>
      <c r="I84" s="11">
        <v>6017</v>
      </c>
      <c r="J84" s="11" cm="1">
        <f t="array" ref="J84">_xlfn.XLOOKUP(C84&amp;D84&amp;F84,Expense!$C$2:$C$601&amp;Expense!$D$2:$D$601&amp;Expense!$E$2:$E$601,Expense!$G$2:$G$601,"")</f>
        <v>2666.6666666666665</v>
      </c>
      <c r="K84" s="11" cm="1">
        <f t="array" ref="K84">_xlfn.XLOOKUP(C84&amp;D84&amp;F84,Expense!$C$2:$C$601&amp;Expense!$D$2:$D$601&amp;Expense!$E$2:$E$601,Expense!$H$2:$H$601,"")</f>
        <v>2266.6666666666665</v>
      </c>
      <c r="L84" s="14">
        <f t="shared" si="12"/>
        <v>-1983</v>
      </c>
      <c r="M84" s="14">
        <f>Master_Table[[#This Row],[Expense Budget]]-Master_Table[[#This Row],[Actual Expense]]</f>
        <v>400</v>
      </c>
      <c r="N84" s="16">
        <f t="shared" si="13"/>
        <v>3750.3333333333335</v>
      </c>
      <c r="O84" s="29">
        <f t="shared" si="10"/>
        <v>5333.3333333333339</v>
      </c>
      <c r="P84" s="16">
        <f t="shared" si="11"/>
        <v>-1583.0000000000005</v>
      </c>
      <c r="Q84" s="28">
        <f>Master_Table[[#This Row],[△Sales Variance]]/Master_Table[[#This Row],[Sales Budget]]</f>
        <v>-0.24787500000000001</v>
      </c>
      <c r="R84" s="28">
        <f>Master_Table[[#This Row],[△Expense  Variance]]/Master_Table[[#This Row],[Expense Budget]]</f>
        <v>0.15000000000000002</v>
      </c>
      <c r="S84" s="28">
        <f>Master_Table[[#This Row],[Net Profit Variance]]/Master_Table[[#This Row],[Budget Net Profit]]</f>
        <v>-0.29681250000000003</v>
      </c>
      <c r="T84" s="28">
        <f>Master_Table[[#This Row],[Actual Net Profit]]/Master_Table[[#This Row],[Actual Sales]]</f>
        <v>0.62328956844496153</v>
      </c>
      <c r="U84" s="28" t="str">
        <f>_xlfn.TEXTJOIN(" - ", TRUE, Master_Table[[#This Row],[Product]], Master_Table[[#This Row],[Branch]])</f>
        <v>Orange - Abuja</v>
      </c>
    </row>
    <row r="85" spans="1:21" ht="14.4" x14ac:dyDescent="0.3">
      <c r="A85" s="2">
        <v>84</v>
      </c>
      <c r="B85" s="2">
        <f t="shared" si="7"/>
        <v>101</v>
      </c>
      <c r="C85" s="1" t="str">
        <f>VLOOKUP(B85,Products!A:C,2,FALSE)</f>
        <v>Orange</v>
      </c>
      <c r="D85" s="1" t="str">
        <f t="shared" si="8"/>
        <v>Abuja</v>
      </c>
      <c r="E85" s="4" t="str">
        <f>_xlfn.XLOOKUP(D85,'Sales Manager'!$A$2:$A$6,'Sales Manager'!$B$2:$B$6,"")</f>
        <v>Emeka Nwosu</v>
      </c>
      <c r="F85" s="3">
        <f t="shared" si="14"/>
        <v>12</v>
      </c>
      <c r="G85" s="1" t="str">
        <f t="shared" si="14"/>
        <v>Dec</v>
      </c>
      <c r="H85" s="11">
        <v>1000</v>
      </c>
      <c r="I85" s="11">
        <v>3142</v>
      </c>
      <c r="J85" s="11" cm="1">
        <f t="array" ref="J85">_xlfn.XLOOKUP(C85&amp;D85&amp;F85,Expense!$C$2:$C$601&amp;Expense!$D$2:$D$601&amp;Expense!$E$2:$E$601,Expense!$G$2:$G$601,"")</f>
        <v>200</v>
      </c>
      <c r="K85" s="11" cm="1">
        <f t="array" ref="K85">_xlfn.XLOOKUP(C85&amp;D85&amp;F85,Expense!$C$2:$C$601&amp;Expense!$D$2:$D$601&amp;Expense!$E$2:$E$601,Expense!$H$2:$H$601,"")</f>
        <v>600</v>
      </c>
      <c r="L85" s="14">
        <f t="shared" si="12"/>
        <v>2142</v>
      </c>
      <c r="M85" s="14">
        <f>Master_Table[[#This Row],[Expense Budget]]-Master_Table[[#This Row],[Actual Expense]]</f>
        <v>-400</v>
      </c>
      <c r="N85" s="16">
        <f t="shared" si="13"/>
        <v>2542</v>
      </c>
      <c r="O85" s="29">
        <f t="shared" si="10"/>
        <v>800</v>
      </c>
      <c r="P85" s="16">
        <f t="shared" si="11"/>
        <v>1742</v>
      </c>
      <c r="Q85" s="28">
        <f>Master_Table[[#This Row],[△Sales Variance]]/Master_Table[[#This Row],[Sales Budget]]</f>
        <v>2.1419999999999999</v>
      </c>
      <c r="R85" s="28">
        <f>Master_Table[[#This Row],[△Expense  Variance]]/Master_Table[[#This Row],[Expense Budget]]</f>
        <v>-2</v>
      </c>
      <c r="S85" s="28">
        <f>Master_Table[[#This Row],[Net Profit Variance]]/Master_Table[[#This Row],[Budget Net Profit]]</f>
        <v>2.1775000000000002</v>
      </c>
      <c r="T85" s="28">
        <f>Master_Table[[#This Row],[Actual Net Profit]]/Master_Table[[#This Row],[Actual Sales]]</f>
        <v>0.80903882877148314</v>
      </c>
      <c r="U85" s="28" t="str">
        <f>_xlfn.TEXTJOIN(" - ", TRUE, Master_Table[[#This Row],[Product]], Master_Table[[#This Row],[Branch]])</f>
        <v>Orange - Abuja</v>
      </c>
    </row>
    <row r="86" spans="1:21" ht="14.4" x14ac:dyDescent="0.3">
      <c r="A86" s="2">
        <v>85</v>
      </c>
      <c r="B86" s="2">
        <f t="shared" si="7"/>
        <v>101</v>
      </c>
      <c r="C86" s="1" t="str">
        <f>VLOOKUP(B86,Products!A:C,2,FALSE)</f>
        <v>Orange</v>
      </c>
      <c r="D86" s="1" t="str">
        <f t="shared" si="8"/>
        <v>Warri</v>
      </c>
      <c r="E86" s="4" t="str">
        <f>_xlfn.XLOOKUP(D86,'Sales Manager'!$A$2:$A$6,'Sales Manager'!$B$2:$B$6,"")</f>
        <v>Gbenga Adesanya</v>
      </c>
      <c r="F86" s="3">
        <f t="shared" si="14"/>
        <v>1</v>
      </c>
      <c r="G86" s="1" t="str">
        <f t="shared" si="14"/>
        <v>Jan</v>
      </c>
      <c r="H86" s="11">
        <v>4000</v>
      </c>
      <c r="I86" s="11">
        <v>3768</v>
      </c>
      <c r="J86" s="11" cm="1">
        <f t="array" ref="J86">_xlfn.XLOOKUP(C86&amp;D86&amp;F86,Expense!$C$2:$C$601&amp;Expense!$D$2:$D$601&amp;Expense!$E$2:$E$601,Expense!$G$2:$G$601,"")</f>
        <v>800</v>
      </c>
      <c r="K86" s="11" cm="1">
        <f t="array" ref="K86">_xlfn.XLOOKUP(C86&amp;D86&amp;F86,Expense!$C$2:$C$601&amp;Expense!$D$2:$D$601&amp;Expense!$E$2:$E$601,Expense!$H$2:$H$601,"")</f>
        <v>800</v>
      </c>
      <c r="L86" s="14">
        <f t="shared" si="12"/>
        <v>-232</v>
      </c>
      <c r="M86" s="14">
        <f>Master_Table[[#This Row],[Expense Budget]]-Master_Table[[#This Row],[Actual Expense]]</f>
        <v>0</v>
      </c>
      <c r="N86" s="16">
        <f t="shared" si="13"/>
        <v>2968</v>
      </c>
      <c r="O86" s="29">
        <f t="shared" si="10"/>
        <v>3200</v>
      </c>
      <c r="P86" s="16">
        <f t="shared" si="11"/>
        <v>-232</v>
      </c>
      <c r="Q86" s="28">
        <f>Master_Table[[#This Row],[△Sales Variance]]/Master_Table[[#This Row],[Sales Budget]]</f>
        <v>-5.8000000000000003E-2</v>
      </c>
      <c r="R86" s="28">
        <f>Master_Table[[#This Row],[△Expense  Variance]]/Master_Table[[#This Row],[Expense Budget]]</f>
        <v>0</v>
      </c>
      <c r="S86" s="28">
        <f>Master_Table[[#This Row],[Net Profit Variance]]/Master_Table[[#This Row],[Budget Net Profit]]</f>
        <v>-7.2499999999999995E-2</v>
      </c>
      <c r="T86" s="28">
        <f>Master_Table[[#This Row],[Actual Net Profit]]/Master_Table[[#This Row],[Actual Sales]]</f>
        <v>0.78768577494692149</v>
      </c>
      <c r="U86" s="28" t="str">
        <f>_xlfn.TEXTJOIN(" - ", TRUE, Master_Table[[#This Row],[Product]], Master_Table[[#This Row],[Branch]])</f>
        <v>Orange - Warri</v>
      </c>
    </row>
    <row r="87" spans="1:21" ht="14.4" x14ac:dyDescent="0.3">
      <c r="A87" s="2">
        <v>86</v>
      </c>
      <c r="B87" s="2">
        <f t="shared" si="7"/>
        <v>101</v>
      </c>
      <c r="C87" s="1" t="str">
        <f>VLOOKUP(B87,Products!A:C,2,FALSE)</f>
        <v>Orange</v>
      </c>
      <c r="D87" s="1" t="str">
        <f t="shared" si="8"/>
        <v>Warri</v>
      </c>
      <c r="E87" s="4" t="str">
        <f>_xlfn.XLOOKUP(D87,'Sales Manager'!$A$2:$A$6,'Sales Manager'!$B$2:$B$6,"")</f>
        <v>Gbenga Adesanya</v>
      </c>
      <c r="F87" s="3">
        <f t="shared" si="14"/>
        <v>2</v>
      </c>
      <c r="G87" s="1" t="str">
        <f t="shared" si="14"/>
        <v>Feb</v>
      </c>
      <c r="H87" s="11">
        <v>10000</v>
      </c>
      <c r="I87" s="11">
        <v>9744</v>
      </c>
      <c r="J87" s="11" cm="1">
        <f t="array" ref="J87">_xlfn.XLOOKUP(C87&amp;D87&amp;F87,Expense!$C$2:$C$601&amp;Expense!$D$2:$D$601&amp;Expense!$E$2:$E$601,Expense!$G$2:$G$601,"")</f>
        <v>2000</v>
      </c>
      <c r="K87" s="11" cm="1">
        <f t="array" ref="K87">_xlfn.XLOOKUP(C87&amp;D87&amp;F87,Expense!$C$2:$C$601&amp;Expense!$D$2:$D$601&amp;Expense!$E$2:$E$601,Expense!$H$2:$H$601,"")</f>
        <v>1700</v>
      </c>
      <c r="L87" s="14">
        <f t="shared" si="12"/>
        <v>-256</v>
      </c>
      <c r="M87" s="14">
        <f>Master_Table[[#This Row],[Expense Budget]]-Master_Table[[#This Row],[Actual Expense]]</f>
        <v>300</v>
      </c>
      <c r="N87" s="16">
        <f t="shared" si="13"/>
        <v>8044</v>
      </c>
      <c r="O87" s="29">
        <f t="shared" si="10"/>
        <v>8000</v>
      </c>
      <c r="P87" s="16">
        <f t="shared" si="11"/>
        <v>44</v>
      </c>
      <c r="Q87" s="28">
        <f>Master_Table[[#This Row],[△Sales Variance]]/Master_Table[[#This Row],[Sales Budget]]</f>
        <v>-2.5600000000000001E-2</v>
      </c>
      <c r="R87" s="28">
        <f>Master_Table[[#This Row],[△Expense  Variance]]/Master_Table[[#This Row],[Expense Budget]]</f>
        <v>0.15</v>
      </c>
      <c r="S87" s="28">
        <f>Master_Table[[#This Row],[Net Profit Variance]]/Master_Table[[#This Row],[Budget Net Profit]]</f>
        <v>5.4999999999999997E-3</v>
      </c>
      <c r="T87" s="28">
        <f>Master_Table[[#This Row],[Actual Net Profit]]/Master_Table[[#This Row],[Actual Sales]]</f>
        <v>0.82553366174055831</v>
      </c>
      <c r="U87" s="28" t="str">
        <f>_xlfn.TEXTJOIN(" - ", TRUE, Master_Table[[#This Row],[Product]], Master_Table[[#This Row],[Branch]])</f>
        <v>Orange - Warri</v>
      </c>
    </row>
    <row r="88" spans="1:21" ht="14.4" x14ac:dyDescent="0.3">
      <c r="A88" s="2">
        <v>87</v>
      </c>
      <c r="B88" s="2">
        <f t="shared" si="7"/>
        <v>101</v>
      </c>
      <c r="C88" s="1" t="str">
        <f>VLOOKUP(B88,Products!A:C,2,FALSE)</f>
        <v>Orange</v>
      </c>
      <c r="D88" s="1" t="str">
        <f t="shared" si="8"/>
        <v>Warri</v>
      </c>
      <c r="E88" s="4" t="str">
        <f>_xlfn.XLOOKUP(D88,'Sales Manager'!$A$2:$A$6,'Sales Manager'!$B$2:$B$6,"")</f>
        <v>Gbenga Adesanya</v>
      </c>
      <c r="F88" s="3">
        <f t="shared" si="14"/>
        <v>3</v>
      </c>
      <c r="G88" s="1" t="str">
        <f t="shared" si="14"/>
        <v>Mar</v>
      </c>
      <c r="H88" s="11">
        <v>3000</v>
      </c>
      <c r="I88" s="11">
        <v>5737</v>
      </c>
      <c r="J88" s="11" cm="1">
        <f t="array" ref="J88">_xlfn.XLOOKUP(C88&amp;D88&amp;F88,Expense!$C$2:$C$601&amp;Expense!$D$2:$D$601&amp;Expense!$E$2:$E$601,Expense!$G$2:$G$601,"")</f>
        <v>1000</v>
      </c>
      <c r="K88" s="11" cm="1">
        <f t="array" ref="K88">_xlfn.XLOOKUP(C88&amp;D88&amp;F88,Expense!$C$2:$C$601&amp;Expense!$D$2:$D$601&amp;Expense!$E$2:$E$601,Expense!$H$2:$H$601,"")</f>
        <v>1000</v>
      </c>
      <c r="L88" s="14">
        <f t="shared" si="12"/>
        <v>2737</v>
      </c>
      <c r="M88" s="14">
        <f>Master_Table[[#This Row],[Expense Budget]]-Master_Table[[#This Row],[Actual Expense]]</f>
        <v>0</v>
      </c>
      <c r="N88" s="16">
        <f t="shared" si="13"/>
        <v>4737</v>
      </c>
      <c r="O88" s="29">
        <f t="shared" si="10"/>
        <v>2000</v>
      </c>
      <c r="P88" s="16">
        <f t="shared" si="11"/>
        <v>2737</v>
      </c>
      <c r="Q88" s="28">
        <f>Master_Table[[#This Row],[△Sales Variance]]/Master_Table[[#This Row],[Sales Budget]]</f>
        <v>0.91233333333333333</v>
      </c>
      <c r="R88" s="28">
        <f>Master_Table[[#This Row],[△Expense  Variance]]/Master_Table[[#This Row],[Expense Budget]]</f>
        <v>0</v>
      </c>
      <c r="S88" s="28">
        <f>Master_Table[[#This Row],[Net Profit Variance]]/Master_Table[[#This Row],[Budget Net Profit]]</f>
        <v>1.3685</v>
      </c>
      <c r="T88" s="28">
        <f>Master_Table[[#This Row],[Actual Net Profit]]/Master_Table[[#This Row],[Actual Sales]]</f>
        <v>0.82569287083841725</v>
      </c>
      <c r="U88" s="28" t="str">
        <f>_xlfn.TEXTJOIN(" - ", TRUE, Master_Table[[#This Row],[Product]], Master_Table[[#This Row],[Branch]])</f>
        <v>Orange - Warri</v>
      </c>
    </row>
    <row r="89" spans="1:21" ht="14.4" x14ac:dyDescent="0.3">
      <c r="A89" s="2">
        <v>88</v>
      </c>
      <c r="B89" s="2">
        <f t="shared" si="7"/>
        <v>101</v>
      </c>
      <c r="C89" s="1" t="str">
        <f>VLOOKUP(B89,Products!A:C,2,FALSE)</f>
        <v>Orange</v>
      </c>
      <c r="D89" s="1" t="str">
        <f t="shared" si="8"/>
        <v>Warri</v>
      </c>
      <c r="E89" s="4" t="str">
        <f>_xlfn.XLOOKUP(D89,'Sales Manager'!$A$2:$A$6,'Sales Manager'!$B$2:$B$6,"")</f>
        <v>Gbenga Adesanya</v>
      </c>
      <c r="F89" s="3">
        <f t="shared" si="14"/>
        <v>4</v>
      </c>
      <c r="G89" s="1" t="str">
        <f t="shared" si="14"/>
        <v>Apr</v>
      </c>
      <c r="H89" s="11">
        <v>5000</v>
      </c>
      <c r="I89" s="11">
        <v>5551</v>
      </c>
      <c r="J89" s="11" cm="1">
        <f t="array" ref="J89">_xlfn.XLOOKUP(C89&amp;D89&amp;F89,Expense!$C$2:$C$601&amp;Expense!$D$2:$D$601&amp;Expense!$E$2:$E$601,Expense!$G$2:$G$601,"")</f>
        <v>1250</v>
      </c>
      <c r="K89" s="11" cm="1">
        <f t="array" ref="K89">_xlfn.XLOOKUP(C89&amp;D89&amp;F89,Expense!$C$2:$C$601&amp;Expense!$D$2:$D$601&amp;Expense!$E$2:$E$601,Expense!$H$2:$H$601,"")</f>
        <v>1050</v>
      </c>
      <c r="L89" s="14">
        <f t="shared" si="12"/>
        <v>551</v>
      </c>
      <c r="M89" s="14">
        <f>Master_Table[[#This Row],[Expense Budget]]-Master_Table[[#This Row],[Actual Expense]]</f>
        <v>200</v>
      </c>
      <c r="N89" s="16">
        <f t="shared" si="13"/>
        <v>4501</v>
      </c>
      <c r="O89" s="29">
        <f t="shared" si="10"/>
        <v>3750</v>
      </c>
      <c r="P89" s="16">
        <f t="shared" si="11"/>
        <v>751</v>
      </c>
      <c r="Q89" s="28">
        <f>Master_Table[[#This Row],[△Sales Variance]]/Master_Table[[#This Row],[Sales Budget]]</f>
        <v>0.11020000000000001</v>
      </c>
      <c r="R89" s="28">
        <f>Master_Table[[#This Row],[△Expense  Variance]]/Master_Table[[#This Row],[Expense Budget]]</f>
        <v>0.16</v>
      </c>
      <c r="S89" s="28">
        <f>Master_Table[[#This Row],[Net Profit Variance]]/Master_Table[[#This Row],[Budget Net Profit]]</f>
        <v>0.20026666666666668</v>
      </c>
      <c r="T89" s="28">
        <f>Master_Table[[#This Row],[Actual Net Profit]]/Master_Table[[#This Row],[Actual Sales]]</f>
        <v>0.81084489281210592</v>
      </c>
      <c r="U89" s="28" t="str">
        <f>_xlfn.TEXTJOIN(" - ", TRUE, Master_Table[[#This Row],[Product]], Master_Table[[#This Row],[Branch]])</f>
        <v>Orange - Warri</v>
      </c>
    </row>
    <row r="90" spans="1:21" ht="14.4" x14ac:dyDescent="0.3">
      <c r="A90" s="2">
        <v>89</v>
      </c>
      <c r="B90" s="2">
        <f t="shared" si="7"/>
        <v>101</v>
      </c>
      <c r="C90" s="1" t="str">
        <f>VLOOKUP(B90,Products!A:C,2,FALSE)</f>
        <v>Orange</v>
      </c>
      <c r="D90" s="1" t="str">
        <f t="shared" si="8"/>
        <v>Warri</v>
      </c>
      <c r="E90" s="4" t="str">
        <f>_xlfn.XLOOKUP(D90,'Sales Manager'!$A$2:$A$6,'Sales Manager'!$B$2:$B$6,"")</f>
        <v>Gbenga Adesanya</v>
      </c>
      <c r="F90" s="3">
        <f t="shared" si="14"/>
        <v>5</v>
      </c>
      <c r="G90" s="1" t="str">
        <f t="shared" si="14"/>
        <v>May</v>
      </c>
      <c r="H90" s="11">
        <v>1000</v>
      </c>
      <c r="I90" s="11">
        <v>7562</v>
      </c>
      <c r="J90" s="11" cm="1">
        <f t="array" ref="J90">_xlfn.XLOOKUP(C90&amp;D90&amp;F90,Expense!$C$2:$C$601&amp;Expense!$D$2:$D$601&amp;Expense!$E$2:$E$601,Expense!$G$2:$G$601,"")</f>
        <v>333.33333333333331</v>
      </c>
      <c r="K90" s="11" cm="1">
        <f t="array" ref="K90">_xlfn.XLOOKUP(C90&amp;D90&amp;F90,Expense!$C$2:$C$601&amp;Expense!$D$2:$D$601&amp;Expense!$E$2:$E$601,Expense!$H$2:$H$601,"")</f>
        <v>333.33333333333331</v>
      </c>
      <c r="L90" s="14">
        <f t="shared" si="12"/>
        <v>6562</v>
      </c>
      <c r="M90" s="14">
        <f>Master_Table[[#This Row],[Expense Budget]]-Master_Table[[#This Row],[Actual Expense]]</f>
        <v>0</v>
      </c>
      <c r="N90" s="16">
        <f t="shared" si="13"/>
        <v>7228.666666666667</v>
      </c>
      <c r="O90" s="29">
        <f t="shared" si="10"/>
        <v>666.66666666666674</v>
      </c>
      <c r="P90" s="16">
        <f t="shared" si="11"/>
        <v>6562</v>
      </c>
      <c r="Q90" s="28">
        <f>Master_Table[[#This Row],[△Sales Variance]]/Master_Table[[#This Row],[Sales Budget]]</f>
        <v>6.5620000000000003</v>
      </c>
      <c r="R90" s="28">
        <f>Master_Table[[#This Row],[△Expense  Variance]]/Master_Table[[#This Row],[Expense Budget]]</f>
        <v>0</v>
      </c>
      <c r="S90" s="28">
        <f>Master_Table[[#This Row],[Net Profit Variance]]/Master_Table[[#This Row],[Budget Net Profit]]</f>
        <v>9.8429999999999982</v>
      </c>
      <c r="T90" s="28">
        <f>Master_Table[[#This Row],[Actual Net Profit]]/Master_Table[[#This Row],[Actual Sales]]</f>
        <v>0.95591995063034474</v>
      </c>
      <c r="U90" s="28" t="str">
        <f>_xlfn.TEXTJOIN(" - ", TRUE, Master_Table[[#This Row],[Product]], Master_Table[[#This Row],[Branch]])</f>
        <v>Orange - Warri</v>
      </c>
    </row>
    <row r="91" spans="1:21" ht="14.4" x14ac:dyDescent="0.3">
      <c r="A91" s="2">
        <v>90</v>
      </c>
      <c r="B91" s="2">
        <f t="shared" si="7"/>
        <v>101</v>
      </c>
      <c r="C91" s="1" t="str">
        <f>VLOOKUP(B91,Products!A:C,2,FALSE)</f>
        <v>Orange</v>
      </c>
      <c r="D91" s="1" t="str">
        <f t="shared" si="8"/>
        <v>Warri</v>
      </c>
      <c r="E91" s="4" t="str">
        <f>_xlfn.XLOOKUP(D91,'Sales Manager'!$A$2:$A$6,'Sales Manager'!$B$2:$B$6,"")</f>
        <v>Gbenga Adesanya</v>
      </c>
      <c r="F91" s="3">
        <f t="shared" si="14"/>
        <v>6</v>
      </c>
      <c r="G91" s="1" t="str">
        <f t="shared" si="14"/>
        <v>Jun</v>
      </c>
      <c r="H91" s="11">
        <v>2000</v>
      </c>
      <c r="I91" s="11">
        <v>6848</v>
      </c>
      <c r="J91" s="11" cm="1">
        <f t="array" ref="J91">_xlfn.XLOOKUP(C91&amp;D91&amp;F91,Expense!$C$2:$C$601&amp;Expense!$D$2:$D$601&amp;Expense!$E$2:$E$601,Expense!$G$2:$G$601,"")</f>
        <v>400</v>
      </c>
      <c r="K91" s="11" cm="1">
        <f t="array" ref="K91">_xlfn.XLOOKUP(C91&amp;D91&amp;F91,Expense!$C$2:$C$601&amp;Expense!$D$2:$D$601&amp;Expense!$E$2:$E$601,Expense!$H$2:$H$601,"")</f>
        <v>400</v>
      </c>
      <c r="L91" s="14">
        <f t="shared" si="12"/>
        <v>4848</v>
      </c>
      <c r="M91" s="14">
        <f>Master_Table[[#This Row],[Expense Budget]]-Master_Table[[#This Row],[Actual Expense]]</f>
        <v>0</v>
      </c>
      <c r="N91" s="16">
        <f t="shared" si="13"/>
        <v>6448</v>
      </c>
      <c r="O91" s="29">
        <f t="shared" si="10"/>
        <v>1600</v>
      </c>
      <c r="P91" s="16">
        <f t="shared" si="11"/>
        <v>4848</v>
      </c>
      <c r="Q91" s="28">
        <f>Master_Table[[#This Row],[△Sales Variance]]/Master_Table[[#This Row],[Sales Budget]]</f>
        <v>2.4239999999999999</v>
      </c>
      <c r="R91" s="28">
        <f>Master_Table[[#This Row],[△Expense  Variance]]/Master_Table[[#This Row],[Expense Budget]]</f>
        <v>0</v>
      </c>
      <c r="S91" s="28">
        <f>Master_Table[[#This Row],[Net Profit Variance]]/Master_Table[[#This Row],[Budget Net Profit]]</f>
        <v>3.03</v>
      </c>
      <c r="T91" s="28">
        <f>Master_Table[[#This Row],[Actual Net Profit]]/Master_Table[[#This Row],[Actual Sales]]</f>
        <v>0.94158878504672894</v>
      </c>
      <c r="U91" s="28" t="str">
        <f>_xlfn.TEXTJOIN(" - ", TRUE, Master_Table[[#This Row],[Product]], Master_Table[[#This Row],[Branch]])</f>
        <v>Orange - Warri</v>
      </c>
    </row>
    <row r="92" spans="1:21" ht="14.4" x14ac:dyDescent="0.3">
      <c r="A92" s="2">
        <v>91</v>
      </c>
      <c r="B92" s="2">
        <f t="shared" si="7"/>
        <v>101</v>
      </c>
      <c r="C92" s="1" t="str">
        <f>VLOOKUP(B92,Products!A:C,2,FALSE)</f>
        <v>Orange</v>
      </c>
      <c r="D92" s="1" t="str">
        <f t="shared" si="8"/>
        <v>Warri</v>
      </c>
      <c r="E92" s="4" t="str">
        <f>_xlfn.XLOOKUP(D92,'Sales Manager'!$A$2:$A$6,'Sales Manager'!$B$2:$B$6,"")</f>
        <v>Gbenga Adesanya</v>
      </c>
      <c r="F92" s="3">
        <f t="shared" si="14"/>
        <v>7</v>
      </c>
      <c r="G92" s="1" t="str">
        <f t="shared" si="14"/>
        <v>Jul</v>
      </c>
      <c r="H92" s="11">
        <v>1000</v>
      </c>
      <c r="I92" s="11">
        <v>6416</v>
      </c>
      <c r="J92" s="11" cm="1">
        <f t="array" ref="J92">_xlfn.XLOOKUP(C92&amp;D92&amp;F92,Expense!$C$2:$C$601&amp;Expense!$D$2:$D$601&amp;Expense!$E$2:$E$601,Expense!$G$2:$G$601,"")</f>
        <v>250</v>
      </c>
      <c r="K92" s="11" cm="1">
        <f t="array" ref="K92">_xlfn.XLOOKUP(C92&amp;D92&amp;F92,Expense!$C$2:$C$601&amp;Expense!$D$2:$D$601&amp;Expense!$E$2:$E$601,Expense!$H$2:$H$601,"")</f>
        <v>150</v>
      </c>
      <c r="L92" s="14">
        <f t="shared" si="12"/>
        <v>5416</v>
      </c>
      <c r="M92" s="14">
        <f>Master_Table[[#This Row],[Expense Budget]]-Master_Table[[#This Row],[Actual Expense]]</f>
        <v>100</v>
      </c>
      <c r="N92" s="16">
        <f t="shared" si="13"/>
        <v>6266</v>
      </c>
      <c r="O92" s="29">
        <f t="shared" si="10"/>
        <v>750</v>
      </c>
      <c r="P92" s="16">
        <f t="shared" si="11"/>
        <v>5516</v>
      </c>
      <c r="Q92" s="28">
        <f>Master_Table[[#This Row],[△Sales Variance]]/Master_Table[[#This Row],[Sales Budget]]</f>
        <v>5.4160000000000004</v>
      </c>
      <c r="R92" s="28">
        <f>Master_Table[[#This Row],[△Expense  Variance]]/Master_Table[[#This Row],[Expense Budget]]</f>
        <v>0.4</v>
      </c>
      <c r="S92" s="28">
        <f>Master_Table[[#This Row],[Net Profit Variance]]/Master_Table[[#This Row],[Budget Net Profit]]</f>
        <v>7.3546666666666667</v>
      </c>
      <c r="T92" s="28">
        <f>Master_Table[[#This Row],[Actual Net Profit]]/Master_Table[[#This Row],[Actual Sales]]</f>
        <v>0.97662094763092266</v>
      </c>
      <c r="U92" s="28" t="str">
        <f>_xlfn.TEXTJOIN(" - ", TRUE, Master_Table[[#This Row],[Product]], Master_Table[[#This Row],[Branch]])</f>
        <v>Orange - Warri</v>
      </c>
    </row>
    <row r="93" spans="1:21" ht="14.4" x14ac:dyDescent="0.3">
      <c r="A93" s="2">
        <v>92</v>
      </c>
      <c r="B93" s="2">
        <f t="shared" si="7"/>
        <v>101</v>
      </c>
      <c r="C93" s="1" t="str">
        <f>VLOOKUP(B93,Products!A:C,2,FALSE)</f>
        <v>Orange</v>
      </c>
      <c r="D93" s="1" t="str">
        <f t="shared" si="8"/>
        <v>Warri</v>
      </c>
      <c r="E93" s="4" t="str">
        <f>_xlfn.XLOOKUP(D93,'Sales Manager'!$A$2:$A$6,'Sales Manager'!$B$2:$B$6,"")</f>
        <v>Gbenga Adesanya</v>
      </c>
      <c r="F93" s="3">
        <f t="shared" si="14"/>
        <v>8</v>
      </c>
      <c r="G93" s="1" t="str">
        <f t="shared" si="14"/>
        <v>Aug</v>
      </c>
      <c r="H93" s="11">
        <v>5000</v>
      </c>
      <c r="I93" s="11">
        <v>3337</v>
      </c>
      <c r="J93" s="11" cm="1">
        <f t="array" ref="J93">_xlfn.XLOOKUP(C93&amp;D93&amp;F93,Expense!$C$2:$C$601&amp;Expense!$D$2:$D$601&amp;Expense!$E$2:$E$601,Expense!$G$2:$G$601,"")</f>
        <v>1666.6666666666667</v>
      </c>
      <c r="K93" s="11" cm="1">
        <f t="array" ref="K93">_xlfn.XLOOKUP(C93&amp;D93&amp;F93,Expense!$C$2:$C$601&amp;Expense!$D$2:$D$601&amp;Expense!$E$2:$E$601,Expense!$H$2:$H$601,"")</f>
        <v>1466.6666666666667</v>
      </c>
      <c r="L93" s="14">
        <f t="shared" si="12"/>
        <v>-1663</v>
      </c>
      <c r="M93" s="14">
        <f>Master_Table[[#This Row],[Expense Budget]]-Master_Table[[#This Row],[Actual Expense]]</f>
        <v>200</v>
      </c>
      <c r="N93" s="16">
        <f t="shared" si="13"/>
        <v>1870.3333333333333</v>
      </c>
      <c r="O93" s="29">
        <f t="shared" si="10"/>
        <v>3333.333333333333</v>
      </c>
      <c r="P93" s="16">
        <f t="shared" si="11"/>
        <v>-1462.9999999999998</v>
      </c>
      <c r="Q93" s="28">
        <f>Master_Table[[#This Row],[△Sales Variance]]/Master_Table[[#This Row],[Sales Budget]]</f>
        <v>-0.33260000000000001</v>
      </c>
      <c r="R93" s="28">
        <f>Master_Table[[#This Row],[△Expense  Variance]]/Master_Table[[#This Row],[Expense Budget]]</f>
        <v>0.12</v>
      </c>
      <c r="S93" s="28">
        <f>Master_Table[[#This Row],[Net Profit Variance]]/Master_Table[[#This Row],[Budget Net Profit]]</f>
        <v>-0.43889999999999996</v>
      </c>
      <c r="T93" s="28">
        <f>Master_Table[[#This Row],[Actual Net Profit]]/Master_Table[[#This Row],[Actual Sales]]</f>
        <v>0.5604834681849965</v>
      </c>
      <c r="U93" s="28" t="str">
        <f>_xlfn.TEXTJOIN(" - ", TRUE, Master_Table[[#This Row],[Product]], Master_Table[[#This Row],[Branch]])</f>
        <v>Orange - Warri</v>
      </c>
    </row>
    <row r="94" spans="1:21" ht="14.4" x14ac:dyDescent="0.3">
      <c r="A94" s="2">
        <v>93</v>
      </c>
      <c r="B94" s="2">
        <f t="shared" si="7"/>
        <v>101</v>
      </c>
      <c r="C94" s="1" t="str">
        <f>VLOOKUP(B94,Products!A:C,2,FALSE)</f>
        <v>Orange</v>
      </c>
      <c r="D94" s="1" t="str">
        <f t="shared" si="8"/>
        <v>Warri</v>
      </c>
      <c r="E94" s="4" t="str">
        <f>_xlfn.XLOOKUP(D94,'Sales Manager'!$A$2:$A$6,'Sales Manager'!$B$2:$B$6,"")</f>
        <v>Gbenga Adesanya</v>
      </c>
      <c r="F94" s="3">
        <f t="shared" si="14"/>
        <v>9</v>
      </c>
      <c r="G94" s="1" t="str">
        <f t="shared" si="14"/>
        <v>Sept</v>
      </c>
      <c r="H94" s="11">
        <v>5000</v>
      </c>
      <c r="I94" s="11">
        <v>2325</v>
      </c>
      <c r="J94" s="11" cm="1">
        <f t="array" ref="J94">_xlfn.XLOOKUP(C94&amp;D94&amp;F94,Expense!$C$2:$C$601&amp;Expense!$D$2:$D$601&amp;Expense!$E$2:$E$601,Expense!$G$2:$G$601,"")</f>
        <v>1000</v>
      </c>
      <c r="K94" s="11" cm="1">
        <f t="array" ref="K94">_xlfn.XLOOKUP(C94&amp;D94&amp;F94,Expense!$C$2:$C$601&amp;Expense!$D$2:$D$601&amp;Expense!$E$2:$E$601,Expense!$H$2:$H$601,"")</f>
        <v>300</v>
      </c>
      <c r="L94" s="14">
        <f t="shared" si="12"/>
        <v>-2675</v>
      </c>
      <c r="M94" s="14">
        <f>Master_Table[[#This Row],[Expense Budget]]-Master_Table[[#This Row],[Actual Expense]]</f>
        <v>700</v>
      </c>
      <c r="N94" s="16">
        <f t="shared" si="13"/>
        <v>2025</v>
      </c>
      <c r="O94" s="29">
        <f t="shared" si="10"/>
        <v>4000</v>
      </c>
      <c r="P94" s="16">
        <f t="shared" si="11"/>
        <v>-1975</v>
      </c>
      <c r="Q94" s="28">
        <f>Master_Table[[#This Row],[△Sales Variance]]/Master_Table[[#This Row],[Sales Budget]]</f>
        <v>-0.53500000000000003</v>
      </c>
      <c r="R94" s="28">
        <f>Master_Table[[#This Row],[△Expense  Variance]]/Master_Table[[#This Row],[Expense Budget]]</f>
        <v>0.7</v>
      </c>
      <c r="S94" s="28">
        <f>Master_Table[[#This Row],[Net Profit Variance]]/Master_Table[[#This Row],[Budget Net Profit]]</f>
        <v>-0.49375000000000002</v>
      </c>
      <c r="T94" s="28">
        <f>Master_Table[[#This Row],[Actual Net Profit]]/Master_Table[[#This Row],[Actual Sales]]</f>
        <v>0.87096774193548387</v>
      </c>
      <c r="U94" s="28" t="str">
        <f>_xlfn.TEXTJOIN(" - ", TRUE, Master_Table[[#This Row],[Product]], Master_Table[[#This Row],[Branch]])</f>
        <v>Orange - Warri</v>
      </c>
    </row>
    <row r="95" spans="1:21" ht="14.4" x14ac:dyDescent="0.3">
      <c r="A95" s="2">
        <v>94</v>
      </c>
      <c r="B95" s="2">
        <f t="shared" si="7"/>
        <v>101</v>
      </c>
      <c r="C95" s="1" t="str">
        <f>VLOOKUP(B95,Products!A:C,2,FALSE)</f>
        <v>Orange</v>
      </c>
      <c r="D95" s="1" t="str">
        <f t="shared" si="8"/>
        <v>Warri</v>
      </c>
      <c r="E95" s="4" t="str">
        <f>_xlfn.XLOOKUP(D95,'Sales Manager'!$A$2:$A$6,'Sales Manager'!$B$2:$B$6,"")</f>
        <v>Gbenga Adesanya</v>
      </c>
      <c r="F95" s="3">
        <f t="shared" ref="F95:G110" si="15">F83</f>
        <v>10</v>
      </c>
      <c r="G95" s="1" t="str">
        <f t="shared" si="15"/>
        <v>Oct</v>
      </c>
      <c r="H95" s="11">
        <v>4000</v>
      </c>
      <c r="I95" s="11">
        <v>4352</v>
      </c>
      <c r="J95" s="11" cm="1">
        <f t="array" ref="J95">_xlfn.XLOOKUP(C95&amp;D95&amp;F95,Expense!$C$2:$C$601&amp;Expense!$D$2:$D$601&amp;Expense!$E$2:$E$601,Expense!$G$2:$G$601,"")</f>
        <v>1000</v>
      </c>
      <c r="K95" s="11" cm="1">
        <f t="array" ref="K95">_xlfn.XLOOKUP(C95&amp;D95&amp;F95,Expense!$C$2:$C$601&amp;Expense!$D$2:$D$601&amp;Expense!$E$2:$E$601,Expense!$H$2:$H$601,"")</f>
        <v>900</v>
      </c>
      <c r="L95" s="14">
        <f t="shared" si="12"/>
        <v>352</v>
      </c>
      <c r="M95" s="14">
        <f>Master_Table[[#This Row],[Expense Budget]]-Master_Table[[#This Row],[Actual Expense]]</f>
        <v>100</v>
      </c>
      <c r="N95" s="16">
        <f t="shared" si="13"/>
        <v>3452</v>
      </c>
      <c r="O95" s="29">
        <f t="shared" si="10"/>
        <v>3000</v>
      </c>
      <c r="P95" s="16">
        <f t="shared" si="11"/>
        <v>452</v>
      </c>
      <c r="Q95" s="28">
        <f>Master_Table[[#This Row],[△Sales Variance]]/Master_Table[[#This Row],[Sales Budget]]</f>
        <v>8.7999999999999995E-2</v>
      </c>
      <c r="R95" s="28">
        <f>Master_Table[[#This Row],[△Expense  Variance]]/Master_Table[[#This Row],[Expense Budget]]</f>
        <v>0.1</v>
      </c>
      <c r="S95" s="28">
        <f>Master_Table[[#This Row],[Net Profit Variance]]/Master_Table[[#This Row],[Budget Net Profit]]</f>
        <v>0.15066666666666667</v>
      </c>
      <c r="T95" s="28">
        <f>Master_Table[[#This Row],[Actual Net Profit]]/Master_Table[[#This Row],[Actual Sales]]</f>
        <v>0.79319852941176472</v>
      </c>
      <c r="U95" s="28" t="str">
        <f>_xlfn.TEXTJOIN(" - ", TRUE, Master_Table[[#This Row],[Product]], Master_Table[[#This Row],[Branch]])</f>
        <v>Orange - Warri</v>
      </c>
    </row>
    <row r="96" spans="1:21" ht="14.4" x14ac:dyDescent="0.3">
      <c r="A96" s="2">
        <v>95</v>
      </c>
      <c r="B96" s="2">
        <f t="shared" si="7"/>
        <v>101</v>
      </c>
      <c r="C96" s="1" t="str">
        <f>VLOOKUP(B96,Products!A:C,2,FALSE)</f>
        <v>Orange</v>
      </c>
      <c r="D96" s="1" t="str">
        <f t="shared" si="8"/>
        <v>Warri</v>
      </c>
      <c r="E96" s="4" t="str">
        <f>_xlfn.XLOOKUP(D96,'Sales Manager'!$A$2:$A$6,'Sales Manager'!$B$2:$B$6,"")</f>
        <v>Gbenga Adesanya</v>
      </c>
      <c r="F96" s="3">
        <f t="shared" si="15"/>
        <v>11</v>
      </c>
      <c r="G96" s="1" t="str">
        <f t="shared" si="15"/>
        <v>Nov</v>
      </c>
      <c r="H96" s="11">
        <v>4000</v>
      </c>
      <c r="I96" s="11">
        <v>5222</v>
      </c>
      <c r="J96" s="11" cm="1">
        <f t="array" ref="J96">_xlfn.XLOOKUP(C96&amp;D96&amp;F96,Expense!$C$2:$C$601&amp;Expense!$D$2:$D$601&amp;Expense!$E$2:$E$601,Expense!$G$2:$G$601,"")</f>
        <v>1333.3333333333333</v>
      </c>
      <c r="K96" s="11" cm="1">
        <f t="array" ref="K96">_xlfn.XLOOKUP(C96&amp;D96&amp;F96,Expense!$C$2:$C$601&amp;Expense!$D$2:$D$601&amp;Expense!$E$2:$E$601,Expense!$H$2:$H$601,"")</f>
        <v>933.33333333333326</v>
      </c>
      <c r="L96" s="14">
        <f t="shared" si="12"/>
        <v>1222</v>
      </c>
      <c r="M96" s="14">
        <f>Master_Table[[#This Row],[Expense Budget]]-Master_Table[[#This Row],[Actual Expense]]</f>
        <v>400</v>
      </c>
      <c r="N96" s="16">
        <f t="shared" si="13"/>
        <v>4288.666666666667</v>
      </c>
      <c r="O96" s="29">
        <f t="shared" si="10"/>
        <v>2666.666666666667</v>
      </c>
      <c r="P96" s="16">
        <f t="shared" si="11"/>
        <v>1622</v>
      </c>
      <c r="Q96" s="28">
        <f>Master_Table[[#This Row],[△Sales Variance]]/Master_Table[[#This Row],[Sales Budget]]</f>
        <v>0.30549999999999999</v>
      </c>
      <c r="R96" s="28">
        <f>Master_Table[[#This Row],[△Expense  Variance]]/Master_Table[[#This Row],[Expense Budget]]</f>
        <v>0.30000000000000004</v>
      </c>
      <c r="S96" s="28">
        <f>Master_Table[[#This Row],[Net Profit Variance]]/Master_Table[[#This Row],[Budget Net Profit]]</f>
        <v>0.60824999999999996</v>
      </c>
      <c r="T96" s="28">
        <f>Master_Table[[#This Row],[Actual Net Profit]]/Master_Table[[#This Row],[Actual Sales]]</f>
        <v>0.82126899016979449</v>
      </c>
      <c r="U96" s="28" t="str">
        <f>_xlfn.TEXTJOIN(" - ", TRUE, Master_Table[[#This Row],[Product]], Master_Table[[#This Row],[Branch]])</f>
        <v>Orange - Warri</v>
      </c>
    </row>
    <row r="97" spans="1:21" ht="14.4" x14ac:dyDescent="0.3">
      <c r="A97" s="2">
        <v>96</v>
      </c>
      <c r="B97" s="2">
        <f t="shared" si="7"/>
        <v>101</v>
      </c>
      <c r="C97" s="1" t="str">
        <f>VLOOKUP(B97,Products!A:C,2,FALSE)</f>
        <v>Orange</v>
      </c>
      <c r="D97" s="1" t="str">
        <f t="shared" si="8"/>
        <v>Warri</v>
      </c>
      <c r="E97" s="4" t="str">
        <f>_xlfn.XLOOKUP(D97,'Sales Manager'!$A$2:$A$6,'Sales Manager'!$B$2:$B$6,"")</f>
        <v>Gbenga Adesanya</v>
      </c>
      <c r="F97" s="3">
        <f t="shared" si="15"/>
        <v>12</v>
      </c>
      <c r="G97" s="1" t="str">
        <f t="shared" si="15"/>
        <v>Dec</v>
      </c>
      <c r="H97" s="11">
        <v>3000</v>
      </c>
      <c r="I97" s="11">
        <v>7616</v>
      </c>
      <c r="J97" s="11" cm="1">
        <f t="array" ref="J97">_xlfn.XLOOKUP(C97&amp;D97&amp;F97,Expense!$C$2:$C$601&amp;Expense!$D$2:$D$601&amp;Expense!$E$2:$E$601,Expense!$G$2:$G$601,"")</f>
        <v>1500</v>
      </c>
      <c r="K97" s="11" cm="1">
        <f t="array" ref="K97">_xlfn.XLOOKUP(C97&amp;D97&amp;F97,Expense!$C$2:$C$601&amp;Expense!$D$2:$D$601&amp;Expense!$E$2:$E$601,Expense!$H$2:$H$601,"")</f>
        <v>1500</v>
      </c>
      <c r="L97" s="14">
        <f t="shared" si="12"/>
        <v>4616</v>
      </c>
      <c r="M97" s="14">
        <f>Master_Table[[#This Row],[Expense Budget]]-Master_Table[[#This Row],[Actual Expense]]</f>
        <v>0</v>
      </c>
      <c r="N97" s="16">
        <f t="shared" si="13"/>
        <v>6116</v>
      </c>
      <c r="O97" s="29">
        <f t="shared" si="10"/>
        <v>1500</v>
      </c>
      <c r="P97" s="16">
        <f t="shared" si="11"/>
        <v>4616</v>
      </c>
      <c r="Q97" s="28">
        <f>Master_Table[[#This Row],[△Sales Variance]]/Master_Table[[#This Row],[Sales Budget]]</f>
        <v>1.5386666666666666</v>
      </c>
      <c r="R97" s="28">
        <f>Master_Table[[#This Row],[△Expense  Variance]]/Master_Table[[#This Row],[Expense Budget]]</f>
        <v>0</v>
      </c>
      <c r="S97" s="28">
        <f>Master_Table[[#This Row],[Net Profit Variance]]/Master_Table[[#This Row],[Budget Net Profit]]</f>
        <v>3.0773333333333333</v>
      </c>
      <c r="T97" s="28">
        <f>Master_Table[[#This Row],[Actual Net Profit]]/Master_Table[[#This Row],[Actual Sales]]</f>
        <v>0.80304621848739499</v>
      </c>
      <c r="U97" s="28" t="str">
        <f>_xlfn.TEXTJOIN(" - ", TRUE, Master_Table[[#This Row],[Product]], Master_Table[[#This Row],[Branch]])</f>
        <v>Orange - Warri</v>
      </c>
    </row>
    <row r="98" spans="1:21" ht="14.4" x14ac:dyDescent="0.3">
      <c r="A98" s="2">
        <v>97</v>
      </c>
      <c r="B98" s="2">
        <f t="shared" si="7"/>
        <v>101</v>
      </c>
      <c r="C98" s="1" t="str">
        <f>VLOOKUP(B98,Products!A:C,2,FALSE)</f>
        <v>Orange</v>
      </c>
      <c r="D98" s="1" t="str">
        <f t="shared" si="8"/>
        <v>Kaduna</v>
      </c>
      <c r="E98" s="4" t="str">
        <f>_xlfn.XLOOKUP(D98,'Sales Manager'!$A$2:$A$6,'Sales Manager'!$B$2:$B$6,"")</f>
        <v>Musa Garba</v>
      </c>
      <c r="F98" s="3">
        <f t="shared" si="15"/>
        <v>1</v>
      </c>
      <c r="G98" s="1" t="str">
        <f t="shared" si="15"/>
        <v>Jan</v>
      </c>
      <c r="H98" s="11">
        <v>4000</v>
      </c>
      <c r="I98" s="11">
        <v>5333</v>
      </c>
      <c r="J98" s="11" cm="1">
        <f t="array" ref="J98">_xlfn.XLOOKUP(C98&amp;D98&amp;F98,Expense!$C$2:$C$601&amp;Expense!$D$2:$D$601&amp;Expense!$E$2:$E$601,Expense!$G$2:$G$601,"")</f>
        <v>1333.3333333333333</v>
      </c>
      <c r="K98" s="11" cm="1">
        <f t="array" ref="K98">_xlfn.XLOOKUP(C98&amp;D98&amp;F98,Expense!$C$2:$C$601&amp;Expense!$D$2:$D$601&amp;Expense!$E$2:$E$601,Expense!$H$2:$H$601,"")</f>
        <v>933.33333333333326</v>
      </c>
      <c r="L98" s="14">
        <f t="shared" si="12"/>
        <v>1333</v>
      </c>
      <c r="M98" s="14">
        <f>Master_Table[[#This Row],[Expense Budget]]-Master_Table[[#This Row],[Actual Expense]]</f>
        <v>400</v>
      </c>
      <c r="N98" s="16">
        <f t="shared" si="13"/>
        <v>4399.666666666667</v>
      </c>
      <c r="O98" s="29">
        <f t="shared" si="10"/>
        <v>2666.666666666667</v>
      </c>
      <c r="P98" s="16">
        <f t="shared" si="11"/>
        <v>1733</v>
      </c>
      <c r="Q98" s="28">
        <f>Master_Table[[#This Row],[△Sales Variance]]/Master_Table[[#This Row],[Sales Budget]]</f>
        <v>0.33324999999999999</v>
      </c>
      <c r="R98" s="28">
        <f>Master_Table[[#This Row],[△Expense  Variance]]/Master_Table[[#This Row],[Expense Budget]]</f>
        <v>0.30000000000000004</v>
      </c>
      <c r="S98" s="28">
        <f>Master_Table[[#This Row],[Net Profit Variance]]/Master_Table[[#This Row],[Budget Net Profit]]</f>
        <v>0.64987499999999998</v>
      </c>
      <c r="T98" s="28">
        <f>Master_Table[[#This Row],[Actual Net Profit]]/Master_Table[[#This Row],[Actual Sales]]</f>
        <v>0.82498906181636356</v>
      </c>
      <c r="U98" s="28" t="str">
        <f>_xlfn.TEXTJOIN(" - ", TRUE, Master_Table[[#This Row],[Product]], Master_Table[[#This Row],[Branch]])</f>
        <v>Orange - Kaduna</v>
      </c>
    </row>
    <row r="99" spans="1:21" ht="14.4" x14ac:dyDescent="0.3">
      <c r="A99" s="2">
        <v>98</v>
      </c>
      <c r="B99" s="2">
        <f t="shared" si="7"/>
        <v>101</v>
      </c>
      <c r="C99" s="1" t="str">
        <f>VLOOKUP(B99,Products!A:C,2,FALSE)</f>
        <v>Orange</v>
      </c>
      <c r="D99" s="1" t="str">
        <f t="shared" si="8"/>
        <v>Kaduna</v>
      </c>
      <c r="E99" s="4" t="str">
        <f>_xlfn.XLOOKUP(D99,'Sales Manager'!$A$2:$A$6,'Sales Manager'!$B$2:$B$6,"")</f>
        <v>Musa Garba</v>
      </c>
      <c r="F99" s="3">
        <f t="shared" si="15"/>
        <v>2</v>
      </c>
      <c r="G99" s="1" t="str">
        <f t="shared" si="15"/>
        <v>Feb</v>
      </c>
      <c r="H99" s="11">
        <v>4000</v>
      </c>
      <c r="I99" s="11">
        <v>4144</v>
      </c>
      <c r="J99" s="11" cm="1">
        <f t="array" ref="J99">_xlfn.XLOOKUP(C99&amp;D99&amp;F99,Expense!$C$2:$C$601&amp;Expense!$D$2:$D$601&amp;Expense!$E$2:$E$601,Expense!$G$2:$G$601,"")</f>
        <v>2000</v>
      </c>
      <c r="K99" s="11" cm="1">
        <f t="array" ref="K99">_xlfn.XLOOKUP(C99&amp;D99&amp;F99,Expense!$C$2:$C$601&amp;Expense!$D$2:$D$601&amp;Expense!$E$2:$E$601,Expense!$H$2:$H$601,"")</f>
        <v>1500</v>
      </c>
      <c r="L99" s="14">
        <f t="shared" si="12"/>
        <v>144</v>
      </c>
      <c r="M99" s="14">
        <f>Master_Table[[#This Row],[Expense Budget]]-Master_Table[[#This Row],[Actual Expense]]</f>
        <v>500</v>
      </c>
      <c r="N99" s="16">
        <f t="shared" si="13"/>
        <v>2644</v>
      </c>
      <c r="O99" s="29">
        <f t="shared" si="10"/>
        <v>2000</v>
      </c>
      <c r="P99" s="16">
        <f t="shared" si="11"/>
        <v>644</v>
      </c>
      <c r="Q99" s="28">
        <f>Master_Table[[#This Row],[△Sales Variance]]/Master_Table[[#This Row],[Sales Budget]]</f>
        <v>3.5999999999999997E-2</v>
      </c>
      <c r="R99" s="28">
        <f>Master_Table[[#This Row],[△Expense  Variance]]/Master_Table[[#This Row],[Expense Budget]]</f>
        <v>0.25</v>
      </c>
      <c r="S99" s="28">
        <f>Master_Table[[#This Row],[Net Profit Variance]]/Master_Table[[#This Row],[Budget Net Profit]]</f>
        <v>0.32200000000000001</v>
      </c>
      <c r="T99" s="28">
        <f>Master_Table[[#This Row],[Actual Net Profit]]/Master_Table[[#This Row],[Actual Sales]]</f>
        <v>0.63803088803088803</v>
      </c>
      <c r="U99" s="28" t="str">
        <f>_xlfn.TEXTJOIN(" - ", TRUE, Master_Table[[#This Row],[Product]], Master_Table[[#This Row],[Branch]])</f>
        <v>Orange - Kaduna</v>
      </c>
    </row>
    <row r="100" spans="1:21" ht="14.4" x14ac:dyDescent="0.3">
      <c r="A100" s="2">
        <v>99</v>
      </c>
      <c r="B100" s="2">
        <f t="shared" si="7"/>
        <v>101</v>
      </c>
      <c r="C100" s="1" t="str">
        <f>VLOOKUP(B100,Products!A:C,2,FALSE)</f>
        <v>Orange</v>
      </c>
      <c r="D100" s="1" t="str">
        <f t="shared" si="8"/>
        <v>Kaduna</v>
      </c>
      <c r="E100" s="4" t="str">
        <f>_xlfn.XLOOKUP(D100,'Sales Manager'!$A$2:$A$6,'Sales Manager'!$B$2:$B$6,"")</f>
        <v>Musa Garba</v>
      </c>
      <c r="F100" s="3">
        <f t="shared" si="15"/>
        <v>3</v>
      </c>
      <c r="G100" s="1" t="str">
        <f t="shared" si="15"/>
        <v>Mar</v>
      </c>
      <c r="H100" s="11">
        <v>6000</v>
      </c>
      <c r="I100" s="11">
        <v>5432</v>
      </c>
      <c r="J100" s="11" cm="1">
        <f t="array" ref="J100">_xlfn.XLOOKUP(C100&amp;D100&amp;F100,Expense!$C$2:$C$601&amp;Expense!$D$2:$D$601&amp;Expense!$E$2:$E$601,Expense!$G$2:$G$601,"")</f>
        <v>1200</v>
      </c>
      <c r="K100" s="11" cm="1">
        <f t="array" ref="K100">_xlfn.XLOOKUP(C100&amp;D100&amp;F100,Expense!$C$2:$C$601&amp;Expense!$D$2:$D$601&amp;Expense!$E$2:$E$601,Expense!$H$2:$H$601,"")</f>
        <v>900</v>
      </c>
      <c r="L100" s="14">
        <f t="shared" si="12"/>
        <v>-568</v>
      </c>
      <c r="M100" s="14">
        <f>Master_Table[[#This Row],[Expense Budget]]-Master_Table[[#This Row],[Actual Expense]]</f>
        <v>300</v>
      </c>
      <c r="N100" s="16">
        <f t="shared" si="13"/>
        <v>4532</v>
      </c>
      <c r="O100" s="29">
        <f t="shared" si="10"/>
        <v>4800</v>
      </c>
      <c r="P100" s="16">
        <f t="shared" si="11"/>
        <v>-268</v>
      </c>
      <c r="Q100" s="28">
        <f>Master_Table[[#This Row],[△Sales Variance]]/Master_Table[[#This Row],[Sales Budget]]</f>
        <v>-9.4666666666666663E-2</v>
      </c>
      <c r="R100" s="28">
        <f>Master_Table[[#This Row],[△Expense  Variance]]/Master_Table[[#This Row],[Expense Budget]]</f>
        <v>0.25</v>
      </c>
      <c r="S100" s="28">
        <f>Master_Table[[#This Row],[Net Profit Variance]]/Master_Table[[#This Row],[Budget Net Profit]]</f>
        <v>-5.5833333333333332E-2</v>
      </c>
      <c r="T100" s="28">
        <f>Master_Table[[#This Row],[Actual Net Profit]]/Master_Table[[#This Row],[Actual Sales]]</f>
        <v>0.83431516936671579</v>
      </c>
      <c r="U100" s="28" t="str">
        <f>_xlfn.TEXTJOIN(" - ", TRUE, Master_Table[[#This Row],[Product]], Master_Table[[#This Row],[Branch]])</f>
        <v>Orange - Kaduna</v>
      </c>
    </row>
    <row r="101" spans="1:21" ht="14.4" x14ac:dyDescent="0.3">
      <c r="A101" s="2">
        <v>100</v>
      </c>
      <c r="B101" s="2">
        <f t="shared" si="7"/>
        <v>101</v>
      </c>
      <c r="C101" s="1" t="str">
        <f>VLOOKUP(B101,Products!A:C,2,FALSE)</f>
        <v>Orange</v>
      </c>
      <c r="D101" s="1" t="str">
        <f t="shared" si="8"/>
        <v>Kaduna</v>
      </c>
      <c r="E101" s="4" t="str">
        <f>_xlfn.XLOOKUP(D101,'Sales Manager'!$A$2:$A$6,'Sales Manager'!$B$2:$B$6,"")</f>
        <v>Musa Garba</v>
      </c>
      <c r="F101" s="3">
        <f t="shared" si="15"/>
        <v>4</v>
      </c>
      <c r="G101" s="1" t="str">
        <f t="shared" si="15"/>
        <v>Apr</v>
      </c>
      <c r="H101" s="11">
        <v>3000</v>
      </c>
      <c r="I101" s="11">
        <v>7357</v>
      </c>
      <c r="J101" s="11" cm="1">
        <f t="array" ref="J101">_xlfn.XLOOKUP(C101&amp;D101&amp;F101,Expense!$C$2:$C$601&amp;Expense!$D$2:$D$601&amp;Expense!$E$2:$E$601,Expense!$G$2:$G$601,"")</f>
        <v>1500</v>
      </c>
      <c r="K101" s="11" cm="1">
        <f t="array" ref="K101">_xlfn.XLOOKUP(C101&amp;D101&amp;F101,Expense!$C$2:$C$601&amp;Expense!$D$2:$D$601&amp;Expense!$E$2:$E$601,Expense!$H$2:$H$601,"")</f>
        <v>1300</v>
      </c>
      <c r="L101" s="14">
        <f t="shared" si="12"/>
        <v>4357</v>
      </c>
      <c r="M101" s="14">
        <f>Master_Table[[#This Row],[Expense Budget]]-Master_Table[[#This Row],[Actual Expense]]</f>
        <v>200</v>
      </c>
      <c r="N101" s="16">
        <f t="shared" si="13"/>
        <v>6057</v>
      </c>
      <c r="O101" s="29">
        <f t="shared" si="10"/>
        <v>1500</v>
      </c>
      <c r="P101" s="16">
        <f t="shared" si="11"/>
        <v>4557</v>
      </c>
      <c r="Q101" s="28">
        <f>Master_Table[[#This Row],[△Sales Variance]]/Master_Table[[#This Row],[Sales Budget]]</f>
        <v>1.4523333333333333</v>
      </c>
      <c r="R101" s="28">
        <f>Master_Table[[#This Row],[△Expense  Variance]]/Master_Table[[#This Row],[Expense Budget]]</f>
        <v>0.13333333333333333</v>
      </c>
      <c r="S101" s="28">
        <f>Master_Table[[#This Row],[Net Profit Variance]]/Master_Table[[#This Row],[Budget Net Profit]]</f>
        <v>3.0379999999999998</v>
      </c>
      <c r="T101" s="28">
        <f>Master_Table[[#This Row],[Actual Net Profit]]/Master_Table[[#This Row],[Actual Sales]]</f>
        <v>0.82329753975805353</v>
      </c>
      <c r="U101" s="28" t="str">
        <f>_xlfn.TEXTJOIN(" - ", TRUE, Master_Table[[#This Row],[Product]], Master_Table[[#This Row],[Branch]])</f>
        <v>Orange - Kaduna</v>
      </c>
    </row>
    <row r="102" spans="1:21" ht="14.4" x14ac:dyDescent="0.3">
      <c r="A102" s="2">
        <v>101</v>
      </c>
      <c r="B102" s="2">
        <f t="shared" si="7"/>
        <v>101</v>
      </c>
      <c r="C102" s="1" t="str">
        <f>VLOOKUP(B102,Products!A:C,2,FALSE)</f>
        <v>Orange</v>
      </c>
      <c r="D102" s="1" t="str">
        <f t="shared" si="8"/>
        <v>Kaduna</v>
      </c>
      <c r="E102" s="4" t="str">
        <f>_xlfn.XLOOKUP(D102,'Sales Manager'!$A$2:$A$6,'Sales Manager'!$B$2:$B$6,"")</f>
        <v>Musa Garba</v>
      </c>
      <c r="F102" s="3">
        <f t="shared" si="15"/>
        <v>5</v>
      </c>
      <c r="G102" s="1" t="str">
        <f t="shared" si="15"/>
        <v>May</v>
      </c>
      <c r="H102" s="11">
        <v>3000</v>
      </c>
      <c r="I102" s="11">
        <v>3233</v>
      </c>
      <c r="J102" s="11" cm="1">
        <f t="array" ref="J102">_xlfn.XLOOKUP(C102&amp;D102&amp;F102,Expense!$C$2:$C$601&amp;Expense!$D$2:$D$601&amp;Expense!$E$2:$E$601,Expense!$G$2:$G$601,"")</f>
        <v>600</v>
      </c>
      <c r="K102" s="11" cm="1">
        <f t="array" ref="K102">_xlfn.XLOOKUP(C102&amp;D102&amp;F102,Expense!$C$2:$C$601&amp;Expense!$D$2:$D$601&amp;Expense!$E$2:$E$601,Expense!$H$2:$H$601,"")</f>
        <v>300</v>
      </c>
      <c r="L102" s="14">
        <f t="shared" si="12"/>
        <v>233</v>
      </c>
      <c r="M102" s="14">
        <f>Master_Table[[#This Row],[Expense Budget]]-Master_Table[[#This Row],[Actual Expense]]</f>
        <v>300</v>
      </c>
      <c r="N102" s="16">
        <f t="shared" si="13"/>
        <v>2933</v>
      </c>
      <c r="O102" s="29">
        <f t="shared" si="10"/>
        <v>2400</v>
      </c>
      <c r="P102" s="16">
        <f t="shared" si="11"/>
        <v>533</v>
      </c>
      <c r="Q102" s="28">
        <f>Master_Table[[#This Row],[△Sales Variance]]/Master_Table[[#This Row],[Sales Budget]]</f>
        <v>7.7666666666666662E-2</v>
      </c>
      <c r="R102" s="28">
        <f>Master_Table[[#This Row],[△Expense  Variance]]/Master_Table[[#This Row],[Expense Budget]]</f>
        <v>0.5</v>
      </c>
      <c r="S102" s="28">
        <f>Master_Table[[#This Row],[Net Profit Variance]]/Master_Table[[#This Row],[Budget Net Profit]]</f>
        <v>0.22208333333333333</v>
      </c>
      <c r="T102" s="28">
        <f>Master_Table[[#This Row],[Actual Net Profit]]/Master_Table[[#This Row],[Actual Sales]]</f>
        <v>0.90720692854933493</v>
      </c>
      <c r="U102" s="28" t="str">
        <f>_xlfn.TEXTJOIN(" - ", TRUE, Master_Table[[#This Row],[Product]], Master_Table[[#This Row],[Branch]])</f>
        <v>Orange - Kaduna</v>
      </c>
    </row>
    <row r="103" spans="1:21" ht="14.4" x14ac:dyDescent="0.3">
      <c r="A103" s="2">
        <v>102</v>
      </c>
      <c r="B103" s="2">
        <f t="shared" si="7"/>
        <v>101</v>
      </c>
      <c r="C103" s="1" t="str">
        <f>VLOOKUP(B103,Products!A:C,2,FALSE)</f>
        <v>Orange</v>
      </c>
      <c r="D103" s="1" t="str">
        <f t="shared" si="8"/>
        <v>Kaduna</v>
      </c>
      <c r="E103" s="4" t="str">
        <f>_xlfn.XLOOKUP(D103,'Sales Manager'!$A$2:$A$6,'Sales Manager'!$B$2:$B$6,"")</f>
        <v>Musa Garba</v>
      </c>
      <c r="F103" s="3">
        <f t="shared" si="15"/>
        <v>6</v>
      </c>
      <c r="G103" s="1" t="str">
        <f t="shared" si="15"/>
        <v>Jun</v>
      </c>
      <c r="H103" s="11">
        <v>3000</v>
      </c>
      <c r="I103" s="11">
        <v>3522</v>
      </c>
      <c r="J103" s="11" cm="1">
        <f t="array" ref="J103">_xlfn.XLOOKUP(C103&amp;D103&amp;F103,Expense!$C$2:$C$601&amp;Expense!$D$2:$D$601&amp;Expense!$E$2:$E$601,Expense!$G$2:$G$601,"")</f>
        <v>1000</v>
      </c>
      <c r="K103" s="11" cm="1">
        <f t="array" ref="K103">_xlfn.XLOOKUP(C103&amp;D103&amp;F103,Expense!$C$2:$C$601&amp;Expense!$D$2:$D$601&amp;Expense!$E$2:$E$601,Expense!$H$2:$H$601,"")</f>
        <v>800</v>
      </c>
      <c r="L103" s="14">
        <f t="shared" si="12"/>
        <v>522</v>
      </c>
      <c r="M103" s="14">
        <f>Master_Table[[#This Row],[Expense Budget]]-Master_Table[[#This Row],[Actual Expense]]</f>
        <v>200</v>
      </c>
      <c r="N103" s="16">
        <f t="shared" si="13"/>
        <v>2722</v>
      </c>
      <c r="O103" s="29">
        <f t="shared" si="10"/>
        <v>2000</v>
      </c>
      <c r="P103" s="16">
        <f t="shared" si="11"/>
        <v>722</v>
      </c>
      <c r="Q103" s="28">
        <f>Master_Table[[#This Row],[△Sales Variance]]/Master_Table[[#This Row],[Sales Budget]]</f>
        <v>0.17399999999999999</v>
      </c>
      <c r="R103" s="28">
        <f>Master_Table[[#This Row],[△Expense  Variance]]/Master_Table[[#This Row],[Expense Budget]]</f>
        <v>0.2</v>
      </c>
      <c r="S103" s="28">
        <f>Master_Table[[#This Row],[Net Profit Variance]]/Master_Table[[#This Row],[Budget Net Profit]]</f>
        <v>0.36099999999999999</v>
      </c>
      <c r="T103" s="28">
        <f>Master_Table[[#This Row],[Actual Net Profit]]/Master_Table[[#This Row],[Actual Sales]]</f>
        <v>0.77285633162975587</v>
      </c>
      <c r="U103" s="28" t="str">
        <f>_xlfn.TEXTJOIN(" - ", TRUE, Master_Table[[#This Row],[Product]], Master_Table[[#This Row],[Branch]])</f>
        <v>Orange - Kaduna</v>
      </c>
    </row>
    <row r="104" spans="1:21" ht="14.4" x14ac:dyDescent="0.3">
      <c r="A104" s="2">
        <v>103</v>
      </c>
      <c r="B104" s="2">
        <f t="shared" si="7"/>
        <v>101</v>
      </c>
      <c r="C104" s="1" t="str">
        <f>VLOOKUP(B104,Products!A:C,2,FALSE)</f>
        <v>Orange</v>
      </c>
      <c r="D104" s="1" t="str">
        <f t="shared" si="8"/>
        <v>Kaduna</v>
      </c>
      <c r="E104" s="4" t="str">
        <f>_xlfn.XLOOKUP(D104,'Sales Manager'!$A$2:$A$6,'Sales Manager'!$B$2:$B$6,"")</f>
        <v>Musa Garba</v>
      </c>
      <c r="F104" s="3">
        <f t="shared" si="15"/>
        <v>7</v>
      </c>
      <c r="G104" s="1" t="str">
        <f t="shared" si="15"/>
        <v>Jul</v>
      </c>
      <c r="H104" s="11">
        <v>4000</v>
      </c>
      <c r="I104" s="11">
        <v>6814</v>
      </c>
      <c r="J104" s="11" cm="1">
        <f t="array" ref="J104">_xlfn.XLOOKUP(C104&amp;D104&amp;F104,Expense!$C$2:$C$601&amp;Expense!$D$2:$D$601&amp;Expense!$E$2:$E$601,Expense!$G$2:$G$601,"")</f>
        <v>1333.3333333333333</v>
      </c>
      <c r="K104" s="11" cm="1">
        <f t="array" ref="K104">_xlfn.XLOOKUP(C104&amp;D104&amp;F104,Expense!$C$2:$C$601&amp;Expense!$D$2:$D$601&amp;Expense!$E$2:$E$601,Expense!$H$2:$H$601,"")</f>
        <v>733.33333333333326</v>
      </c>
      <c r="L104" s="14">
        <f t="shared" si="12"/>
        <v>2814</v>
      </c>
      <c r="M104" s="14">
        <f>Master_Table[[#This Row],[Expense Budget]]-Master_Table[[#This Row],[Actual Expense]]</f>
        <v>600</v>
      </c>
      <c r="N104" s="16">
        <f t="shared" si="13"/>
        <v>6080.666666666667</v>
      </c>
      <c r="O104" s="29">
        <f t="shared" si="10"/>
        <v>2666.666666666667</v>
      </c>
      <c r="P104" s="16">
        <f t="shared" si="11"/>
        <v>3414</v>
      </c>
      <c r="Q104" s="28">
        <f>Master_Table[[#This Row],[△Sales Variance]]/Master_Table[[#This Row],[Sales Budget]]</f>
        <v>0.70350000000000001</v>
      </c>
      <c r="R104" s="28">
        <f>Master_Table[[#This Row],[△Expense  Variance]]/Master_Table[[#This Row],[Expense Budget]]</f>
        <v>0.45</v>
      </c>
      <c r="S104" s="28">
        <f>Master_Table[[#This Row],[Net Profit Variance]]/Master_Table[[#This Row],[Budget Net Profit]]</f>
        <v>1.2802499999999999</v>
      </c>
      <c r="T104" s="28">
        <f>Master_Table[[#This Row],[Actual Net Profit]]/Master_Table[[#This Row],[Actual Sales]]</f>
        <v>0.89237843655219651</v>
      </c>
      <c r="U104" s="28" t="str">
        <f>_xlfn.TEXTJOIN(" - ", TRUE, Master_Table[[#This Row],[Product]], Master_Table[[#This Row],[Branch]])</f>
        <v>Orange - Kaduna</v>
      </c>
    </row>
    <row r="105" spans="1:21" ht="14.4" x14ac:dyDescent="0.3">
      <c r="A105" s="2">
        <v>104</v>
      </c>
      <c r="B105" s="2">
        <f t="shared" si="7"/>
        <v>101</v>
      </c>
      <c r="C105" s="1" t="str">
        <f>VLOOKUP(B105,Products!A:C,2,FALSE)</f>
        <v>Orange</v>
      </c>
      <c r="D105" s="1" t="str">
        <f t="shared" si="8"/>
        <v>Kaduna</v>
      </c>
      <c r="E105" s="4" t="str">
        <f>_xlfn.XLOOKUP(D105,'Sales Manager'!$A$2:$A$6,'Sales Manager'!$B$2:$B$6,"")</f>
        <v>Musa Garba</v>
      </c>
      <c r="F105" s="3">
        <f t="shared" si="15"/>
        <v>8</v>
      </c>
      <c r="G105" s="1" t="str">
        <f t="shared" si="15"/>
        <v>Aug</v>
      </c>
      <c r="H105" s="11">
        <v>5000</v>
      </c>
      <c r="I105" s="11">
        <v>9509</v>
      </c>
      <c r="J105" s="11" cm="1">
        <f t="array" ref="J105">_xlfn.XLOOKUP(C105&amp;D105&amp;F105,Expense!$C$2:$C$601&amp;Expense!$D$2:$D$601&amp;Expense!$E$2:$E$601,Expense!$G$2:$G$601,"")</f>
        <v>1666.6666666666667</v>
      </c>
      <c r="K105" s="11" cm="1">
        <f t="array" ref="K105">_xlfn.XLOOKUP(C105&amp;D105&amp;F105,Expense!$C$2:$C$601&amp;Expense!$D$2:$D$601&amp;Expense!$E$2:$E$601,Expense!$H$2:$H$601,"")</f>
        <v>1366.6666666666667</v>
      </c>
      <c r="L105" s="14">
        <f t="shared" si="12"/>
        <v>4509</v>
      </c>
      <c r="M105" s="14">
        <f>Master_Table[[#This Row],[Expense Budget]]-Master_Table[[#This Row],[Actual Expense]]</f>
        <v>300</v>
      </c>
      <c r="N105" s="16">
        <f t="shared" si="13"/>
        <v>8142.333333333333</v>
      </c>
      <c r="O105" s="29">
        <f t="shared" si="10"/>
        <v>3333.333333333333</v>
      </c>
      <c r="P105" s="16">
        <f t="shared" si="11"/>
        <v>4809</v>
      </c>
      <c r="Q105" s="28">
        <f>Master_Table[[#This Row],[△Sales Variance]]/Master_Table[[#This Row],[Sales Budget]]</f>
        <v>0.90180000000000005</v>
      </c>
      <c r="R105" s="28">
        <f>Master_Table[[#This Row],[△Expense  Variance]]/Master_Table[[#This Row],[Expense Budget]]</f>
        <v>0.18</v>
      </c>
      <c r="S105" s="28">
        <f>Master_Table[[#This Row],[Net Profit Variance]]/Master_Table[[#This Row],[Budget Net Profit]]</f>
        <v>1.4427000000000001</v>
      </c>
      <c r="T105" s="28">
        <f>Master_Table[[#This Row],[Actual Net Profit]]/Master_Table[[#This Row],[Actual Sales]]</f>
        <v>0.85627650997300797</v>
      </c>
      <c r="U105" s="28" t="str">
        <f>_xlfn.TEXTJOIN(" - ", TRUE, Master_Table[[#This Row],[Product]], Master_Table[[#This Row],[Branch]])</f>
        <v>Orange - Kaduna</v>
      </c>
    </row>
    <row r="106" spans="1:21" ht="14.4" x14ac:dyDescent="0.3">
      <c r="A106" s="2">
        <v>105</v>
      </c>
      <c r="B106" s="2">
        <f t="shared" si="7"/>
        <v>101</v>
      </c>
      <c r="C106" s="1" t="str">
        <f>VLOOKUP(B106,Products!A:C,2,FALSE)</f>
        <v>Orange</v>
      </c>
      <c r="D106" s="1" t="str">
        <f t="shared" si="8"/>
        <v>Kaduna</v>
      </c>
      <c r="E106" s="4" t="str">
        <f>_xlfn.XLOOKUP(D106,'Sales Manager'!$A$2:$A$6,'Sales Manager'!$B$2:$B$6,"")</f>
        <v>Musa Garba</v>
      </c>
      <c r="F106" s="3">
        <f t="shared" si="15"/>
        <v>9</v>
      </c>
      <c r="G106" s="1" t="str">
        <f t="shared" si="15"/>
        <v>Sept</v>
      </c>
      <c r="H106" s="11">
        <v>6000</v>
      </c>
      <c r="I106" s="11">
        <v>4422</v>
      </c>
      <c r="J106" s="11" cm="1">
        <f t="array" ref="J106">_xlfn.XLOOKUP(C106&amp;D106&amp;F106,Expense!$C$2:$C$601&amp;Expense!$D$2:$D$601&amp;Expense!$E$2:$E$601,Expense!$G$2:$G$601,"")</f>
        <v>2000</v>
      </c>
      <c r="K106" s="11" cm="1">
        <f t="array" ref="K106">_xlfn.XLOOKUP(C106&amp;D106&amp;F106,Expense!$C$2:$C$601&amp;Expense!$D$2:$D$601&amp;Expense!$E$2:$E$601,Expense!$H$2:$H$601,"")</f>
        <v>1500</v>
      </c>
      <c r="L106" s="14">
        <f t="shared" si="12"/>
        <v>-1578</v>
      </c>
      <c r="M106" s="14">
        <f>Master_Table[[#This Row],[Expense Budget]]-Master_Table[[#This Row],[Actual Expense]]</f>
        <v>500</v>
      </c>
      <c r="N106" s="16">
        <f t="shared" si="13"/>
        <v>2922</v>
      </c>
      <c r="O106" s="29">
        <f t="shared" si="10"/>
        <v>4000</v>
      </c>
      <c r="P106" s="16">
        <f t="shared" si="11"/>
        <v>-1078</v>
      </c>
      <c r="Q106" s="28">
        <f>Master_Table[[#This Row],[△Sales Variance]]/Master_Table[[#This Row],[Sales Budget]]</f>
        <v>-0.26300000000000001</v>
      </c>
      <c r="R106" s="28">
        <f>Master_Table[[#This Row],[△Expense  Variance]]/Master_Table[[#This Row],[Expense Budget]]</f>
        <v>0.25</v>
      </c>
      <c r="S106" s="28">
        <f>Master_Table[[#This Row],[Net Profit Variance]]/Master_Table[[#This Row],[Budget Net Profit]]</f>
        <v>-0.26950000000000002</v>
      </c>
      <c r="T106" s="28">
        <f>Master_Table[[#This Row],[Actual Net Profit]]/Master_Table[[#This Row],[Actual Sales]]</f>
        <v>0.66078697421981003</v>
      </c>
      <c r="U106" s="28" t="str">
        <f>_xlfn.TEXTJOIN(" - ", TRUE, Master_Table[[#This Row],[Product]], Master_Table[[#This Row],[Branch]])</f>
        <v>Orange - Kaduna</v>
      </c>
    </row>
    <row r="107" spans="1:21" ht="14.4" x14ac:dyDescent="0.3">
      <c r="A107" s="2">
        <v>106</v>
      </c>
      <c r="B107" s="2">
        <f t="shared" si="7"/>
        <v>101</v>
      </c>
      <c r="C107" s="1" t="str">
        <f>VLOOKUP(B107,Products!A:C,2,FALSE)</f>
        <v>Orange</v>
      </c>
      <c r="D107" s="1" t="str">
        <f t="shared" si="8"/>
        <v>Kaduna</v>
      </c>
      <c r="E107" s="4" t="str">
        <f>_xlfn.XLOOKUP(D107,'Sales Manager'!$A$2:$A$6,'Sales Manager'!$B$2:$B$6,"")</f>
        <v>Musa Garba</v>
      </c>
      <c r="F107" s="3">
        <f t="shared" si="15"/>
        <v>10</v>
      </c>
      <c r="G107" s="1" t="str">
        <f t="shared" si="15"/>
        <v>Oct</v>
      </c>
      <c r="H107" s="11">
        <v>6000</v>
      </c>
      <c r="I107" s="11">
        <v>4246</v>
      </c>
      <c r="J107" s="11" cm="1">
        <f t="array" ref="J107">_xlfn.XLOOKUP(C107&amp;D107&amp;F107,Expense!$C$2:$C$601&amp;Expense!$D$2:$D$601&amp;Expense!$E$2:$E$601,Expense!$G$2:$G$601,"")</f>
        <v>1200</v>
      </c>
      <c r="K107" s="11" cm="1">
        <f t="array" ref="K107">_xlfn.XLOOKUP(C107&amp;D107&amp;F107,Expense!$C$2:$C$601&amp;Expense!$D$2:$D$601&amp;Expense!$E$2:$E$601,Expense!$H$2:$H$601,"")</f>
        <v>1000</v>
      </c>
      <c r="L107" s="14">
        <f t="shared" si="12"/>
        <v>-1754</v>
      </c>
      <c r="M107" s="14">
        <f>Master_Table[[#This Row],[Expense Budget]]-Master_Table[[#This Row],[Actual Expense]]</f>
        <v>200</v>
      </c>
      <c r="N107" s="16">
        <f t="shared" si="13"/>
        <v>3246</v>
      </c>
      <c r="O107" s="29">
        <f t="shared" si="10"/>
        <v>4800</v>
      </c>
      <c r="P107" s="16">
        <f t="shared" si="11"/>
        <v>-1554</v>
      </c>
      <c r="Q107" s="28">
        <f>Master_Table[[#This Row],[△Sales Variance]]/Master_Table[[#This Row],[Sales Budget]]</f>
        <v>-0.29233333333333333</v>
      </c>
      <c r="R107" s="28">
        <f>Master_Table[[#This Row],[△Expense  Variance]]/Master_Table[[#This Row],[Expense Budget]]</f>
        <v>0.16666666666666666</v>
      </c>
      <c r="S107" s="28">
        <f>Master_Table[[#This Row],[Net Profit Variance]]/Master_Table[[#This Row],[Budget Net Profit]]</f>
        <v>-0.32374999999999998</v>
      </c>
      <c r="T107" s="28">
        <f>Master_Table[[#This Row],[Actual Net Profit]]/Master_Table[[#This Row],[Actual Sales]]</f>
        <v>0.76448422044276965</v>
      </c>
      <c r="U107" s="28" t="str">
        <f>_xlfn.TEXTJOIN(" - ", TRUE, Master_Table[[#This Row],[Product]], Master_Table[[#This Row],[Branch]])</f>
        <v>Orange - Kaduna</v>
      </c>
    </row>
    <row r="108" spans="1:21" ht="14.4" x14ac:dyDescent="0.3">
      <c r="A108" s="2">
        <v>107</v>
      </c>
      <c r="B108" s="2">
        <f t="shared" si="7"/>
        <v>101</v>
      </c>
      <c r="C108" s="1" t="str">
        <f>VLOOKUP(B108,Products!A:C,2,FALSE)</f>
        <v>Orange</v>
      </c>
      <c r="D108" s="1" t="str">
        <f t="shared" si="8"/>
        <v>Kaduna</v>
      </c>
      <c r="E108" s="4" t="str">
        <f>_xlfn.XLOOKUP(D108,'Sales Manager'!$A$2:$A$6,'Sales Manager'!$B$2:$B$6,"")</f>
        <v>Musa Garba</v>
      </c>
      <c r="F108" s="3">
        <f t="shared" si="15"/>
        <v>11</v>
      </c>
      <c r="G108" s="1" t="str">
        <f t="shared" si="15"/>
        <v>Nov</v>
      </c>
      <c r="H108" s="11">
        <v>5000</v>
      </c>
      <c r="I108" s="11">
        <v>5519</v>
      </c>
      <c r="J108" s="11" cm="1">
        <f t="array" ref="J108">_xlfn.XLOOKUP(C108&amp;D108&amp;F108,Expense!$C$2:$C$601&amp;Expense!$D$2:$D$601&amp;Expense!$E$2:$E$601,Expense!$G$2:$G$601,"")</f>
        <v>1666.6666666666667</v>
      </c>
      <c r="K108" s="11" cm="1">
        <f t="array" ref="K108">_xlfn.XLOOKUP(C108&amp;D108&amp;F108,Expense!$C$2:$C$601&amp;Expense!$D$2:$D$601&amp;Expense!$E$2:$E$601,Expense!$H$2:$H$601,"")</f>
        <v>866.66666666666674</v>
      </c>
      <c r="L108" s="14">
        <f t="shared" si="12"/>
        <v>519</v>
      </c>
      <c r="M108" s="14">
        <f>Master_Table[[#This Row],[Expense Budget]]-Master_Table[[#This Row],[Actual Expense]]</f>
        <v>800</v>
      </c>
      <c r="N108" s="16">
        <f t="shared" si="13"/>
        <v>4652.333333333333</v>
      </c>
      <c r="O108" s="29">
        <f t="shared" si="10"/>
        <v>3333.333333333333</v>
      </c>
      <c r="P108" s="16">
        <f t="shared" si="11"/>
        <v>1319</v>
      </c>
      <c r="Q108" s="28">
        <f>Master_Table[[#This Row],[△Sales Variance]]/Master_Table[[#This Row],[Sales Budget]]</f>
        <v>0.1038</v>
      </c>
      <c r="R108" s="28">
        <f>Master_Table[[#This Row],[△Expense  Variance]]/Master_Table[[#This Row],[Expense Budget]]</f>
        <v>0.48</v>
      </c>
      <c r="S108" s="28">
        <f>Master_Table[[#This Row],[Net Profit Variance]]/Master_Table[[#This Row],[Budget Net Profit]]</f>
        <v>0.39570000000000005</v>
      </c>
      <c r="T108" s="28">
        <f>Master_Table[[#This Row],[Actual Net Profit]]/Master_Table[[#This Row],[Actual Sales]]</f>
        <v>0.84296672102434012</v>
      </c>
      <c r="U108" s="28" t="str">
        <f>_xlfn.TEXTJOIN(" - ", TRUE, Master_Table[[#This Row],[Product]], Master_Table[[#This Row],[Branch]])</f>
        <v>Orange - Kaduna</v>
      </c>
    </row>
    <row r="109" spans="1:21" ht="14.4" x14ac:dyDescent="0.3">
      <c r="A109" s="2">
        <v>108</v>
      </c>
      <c r="B109" s="2">
        <f t="shared" si="7"/>
        <v>101</v>
      </c>
      <c r="C109" s="1" t="str">
        <f>VLOOKUP(B109,Products!A:C,2,FALSE)</f>
        <v>Orange</v>
      </c>
      <c r="D109" s="1" t="str">
        <f t="shared" si="8"/>
        <v>Kaduna</v>
      </c>
      <c r="E109" s="4" t="str">
        <f>_xlfn.XLOOKUP(D109,'Sales Manager'!$A$2:$A$6,'Sales Manager'!$B$2:$B$6,"")</f>
        <v>Musa Garba</v>
      </c>
      <c r="F109" s="3">
        <f t="shared" si="15"/>
        <v>12</v>
      </c>
      <c r="G109" s="1" t="str">
        <f t="shared" si="15"/>
        <v>Dec</v>
      </c>
      <c r="H109" s="11">
        <v>4000</v>
      </c>
      <c r="I109" s="11">
        <v>3646</v>
      </c>
      <c r="J109" s="11" cm="1">
        <f t="array" ref="J109">_xlfn.XLOOKUP(C109&amp;D109&amp;F109,Expense!$C$2:$C$601&amp;Expense!$D$2:$D$601&amp;Expense!$E$2:$E$601,Expense!$G$2:$G$601,"")</f>
        <v>2000</v>
      </c>
      <c r="K109" s="11" cm="1">
        <f t="array" ref="K109">_xlfn.XLOOKUP(C109&amp;D109&amp;F109,Expense!$C$2:$C$601&amp;Expense!$D$2:$D$601&amp;Expense!$E$2:$E$601,Expense!$H$2:$H$601,"")</f>
        <v>1400</v>
      </c>
      <c r="L109" s="14">
        <f t="shared" si="12"/>
        <v>-354</v>
      </c>
      <c r="M109" s="14">
        <f>Master_Table[[#This Row],[Expense Budget]]-Master_Table[[#This Row],[Actual Expense]]</f>
        <v>600</v>
      </c>
      <c r="N109" s="16">
        <f t="shared" si="13"/>
        <v>2246</v>
      </c>
      <c r="O109" s="29">
        <f t="shared" si="10"/>
        <v>2000</v>
      </c>
      <c r="P109" s="16">
        <f t="shared" si="11"/>
        <v>246</v>
      </c>
      <c r="Q109" s="28">
        <f>Master_Table[[#This Row],[△Sales Variance]]/Master_Table[[#This Row],[Sales Budget]]</f>
        <v>-8.8499999999999995E-2</v>
      </c>
      <c r="R109" s="28">
        <f>Master_Table[[#This Row],[△Expense  Variance]]/Master_Table[[#This Row],[Expense Budget]]</f>
        <v>0.3</v>
      </c>
      <c r="S109" s="28">
        <f>Master_Table[[#This Row],[Net Profit Variance]]/Master_Table[[#This Row],[Budget Net Profit]]</f>
        <v>0.123</v>
      </c>
      <c r="T109" s="28">
        <f>Master_Table[[#This Row],[Actual Net Profit]]/Master_Table[[#This Row],[Actual Sales]]</f>
        <v>0.61601755348326936</v>
      </c>
      <c r="U109" s="28" t="str">
        <f>_xlfn.TEXTJOIN(" - ", TRUE, Master_Table[[#This Row],[Product]], Master_Table[[#This Row],[Branch]])</f>
        <v>Orange - Kaduna</v>
      </c>
    </row>
    <row r="110" spans="1:21" ht="14.4" x14ac:dyDescent="0.3">
      <c r="A110" s="2">
        <v>109</v>
      </c>
      <c r="B110" s="2">
        <f t="shared" si="7"/>
        <v>101</v>
      </c>
      <c r="C110" s="1" t="str">
        <f>VLOOKUP(B110,Products!A:C,2,FALSE)</f>
        <v>Orange</v>
      </c>
      <c r="D110" s="1" t="str">
        <f t="shared" si="8"/>
        <v>Ibadan</v>
      </c>
      <c r="E110" s="4" t="str">
        <f>_xlfn.XLOOKUP(D110,'Sales Manager'!$A$2:$A$6,'Sales Manager'!$B$2:$B$6,"")</f>
        <v>Funmi Adeyemi</v>
      </c>
      <c r="F110" s="3">
        <f t="shared" si="15"/>
        <v>1</v>
      </c>
      <c r="G110" s="1" t="str">
        <f t="shared" si="15"/>
        <v>Jan</v>
      </c>
      <c r="H110" s="11">
        <v>9000</v>
      </c>
      <c r="I110" s="11">
        <v>3111</v>
      </c>
      <c r="J110" s="11" cm="1">
        <f t="array" ref="J110">_xlfn.XLOOKUP(C110&amp;D110&amp;F110,Expense!$C$2:$C$601&amp;Expense!$D$2:$D$601&amp;Expense!$E$2:$E$601,Expense!$G$2:$G$601,"")</f>
        <v>3000</v>
      </c>
      <c r="K110" s="11" cm="1">
        <f t="array" ref="K110">_xlfn.XLOOKUP(C110&amp;D110&amp;F110,Expense!$C$2:$C$601&amp;Expense!$D$2:$D$601&amp;Expense!$E$2:$E$601,Expense!$H$2:$H$601,"")</f>
        <v>2600</v>
      </c>
      <c r="L110" s="14">
        <f t="shared" si="12"/>
        <v>-5889</v>
      </c>
      <c r="M110" s="14">
        <f>Master_Table[[#This Row],[Expense Budget]]-Master_Table[[#This Row],[Actual Expense]]</f>
        <v>400</v>
      </c>
      <c r="N110" s="16">
        <f t="shared" si="13"/>
        <v>511</v>
      </c>
      <c r="O110" s="29">
        <f t="shared" si="10"/>
        <v>6000</v>
      </c>
      <c r="P110" s="16">
        <f t="shared" si="11"/>
        <v>-5489</v>
      </c>
      <c r="Q110" s="28">
        <f>Master_Table[[#This Row],[△Sales Variance]]/Master_Table[[#This Row],[Sales Budget]]</f>
        <v>-0.65433333333333332</v>
      </c>
      <c r="R110" s="28">
        <f>Master_Table[[#This Row],[△Expense  Variance]]/Master_Table[[#This Row],[Expense Budget]]</f>
        <v>0.13333333333333333</v>
      </c>
      <c r="S110" s="28">
        <f>Master_Table[[#This Row],[Net Profit Variance]]/Master_Table[[#This Row],[Budget Net Profit]]</f>
        <v>-0.91483333333333339</v>
      </c>
      <c r="T110" s="28">
        <f>Master_Table[[#This Row],[Actual Net Profit]]/Master_Table[[#This Row],[Actual Sales]]</f>
        <v>0.16425586628093861</v>
      </c>
      <c r="U110" s="28" t="str">
        <f>_xlfn.TEXTJOIN(" - ", TRUE, Master_Table[[#This Row],[Product]], Master_Table[[#This Row],[Branch]])</f>
        <v>Orange - Ibadan</v>
      </c>
    </row>
    <row r="111" spans="1:21" ht="14.4" x14ac:dyDescent="0.3">
      <c r="A111" s="2">
        <v>110</v>
      </c>
      <c r="B111" s="2">
        <f t="shared" si="7"/>
        <v>101</v>
      </c>
      <c r="C111" s="1" t="str">
        <f>VLOOKUP(B111,Products!A:C,2,FALSE)</f>
        <v>Orange</v>
      </c>
      <c r="D111" s="1" t="str">
        <f t="shared" si="8"/>
        <v>Ibadan</v>
      </c>
      <c r="E111" s="4" t="str">
        <f>_xlfn.XLOOKUP(D111,'Sales Manager'!$A$2:$A$6,'Sales Manager'!$B$2:$B$6,"")</f>
        <v>Funmi Adeyemi</v>
      </c>
      <c r="F111" s="3">
        <f t="shared" ref="F111:G126" si="16">F99</f>
        <v>2</v>
      </c>
      <c r="G111" s="1" t="str">
        <f t="shared" si="16"/>
        <v>Feb</v>
      </c>
      <c r="H111" s="11">
        <v>4000</v>
      </c>
      <c r="I111" s="11">
        <v>8578</v>
      </c>
      <c r="J111" s="11" cm="1">
        <f t="array" ref="J111">_xlfn.XLOOKUP(C111&amp;D111&amp;F111,Expense!$C$2:$C$601&amp;Expense!$D$2:$D$601&amp;Expense!$E$2:$E$601,Expense!$G$2:$G$601,"")</f>
        <v>2000</v>
      </c>
      <c r="K111" s="11" cm="1">
        <f t="array" ref="K111">_xlfn.XLOOKUP(C111&amp;D111&amp;F111,Expense!$C$2:$C$601&amp;Expense!$D$2:$D$601&amp;Expense!$E$2:$E$601,Expense!$H$2:$H$601,"")</f>
        <v>1900</v>
      </c>
      <c r="L111" s="14">
        <f t="shared" si="12"/>
        <v>4578</v>
      </c>
      <c r="M111" s="14">
        <f>Master_Table[[#This Row],[Expense Budget]]-Master_Table[[#This Row],[Actual Expense]]</f>
        <v>100</v>
      </c>
      <c r="N111" s="16">
        <f t="shared" si="13"/>
        <v>6678</v>
      </c>
      <c r="O111" s="29">
        <f t="shared" si="10"/>
        <v>2000</v>
      </c>
      <c r="P111" s="16">
        <f t="shared" si="11"/>
        <v>4678</v>
      </c>
      <c r="Q111" s="28">
        <f>Master_Table[[#This Row],[△Sales Variance]]/Master_Table[[#This Row],[Sales Budget]]</f>
        <v>1.1445000000000001</v>
      </c>
      <c r="R111" s="28">
        <f>Master_Table[[#This Row],[△Expense  Variance]]/Master_Table[[#This Row],[Expense Budget]]</f>
        <v>0.05</v>
      </c>
      <c r="S111" s="28">
        <f>Master_Table[[#This Row],[Net Profit Variance]]/Master_Table[[#This Row],[Budget Net Profit]]</f>
        <v>2.339</v>
      </c>
      <c r="T111" s="28">
        <f>Master_Table[[#This Row],[Actual Net Profit]]/Master_Table[[#This Row],[Actual Sales]]</f>
        <v>0.77850314758685013</v>
      </c>
      <c r="U111" s="28" t="str">
        <f>_xlfn.TEXTJOIN(" - ", TRUE, Master_Table[[#This Row],[Product]], Master_Table[[#This Row],[Branch]])</f>
        <v>Orange - Ibadan</v>
      </c>
    </row>
    <row r="112" spans="1:21" ht="14.4" x14ac:dyDescent="0.3">
      <c r="A112" s="2">
        <v>111</v>
      </c>
      <c r="B112" s="2">
        <f t="shared" si="7"/>
        <v>101</v>
      </c>
      <c r="C112" s="1" t="str">
        <f>VLOOKUP(B112,Products!A:C,2,FALSE)</f>
        <v>Orange</v>
      </c>
      <c r="D112" s="1" t="str">
        <f t="shared" si="8"/>
        <v>Ibadan</v>
      </c>
      <c r="E112" s="4" t="str">
        <f>_xlfn.XLOOKUP(D112,'Sales Manager'!$A$2:$A$6,'Sales Manager'!$B$2:$B$6,"")</f>
        <v>Funmi Adeyemi</v>
      </c>
      <c r="F112" s="3">
        <f t="shared" si="16"/>
        <v>3</v>
      </c>
      <c r="G112" s="1" t="str">
        <f t="shared" si="16"/>
        <v>Mar</v>
      </c>
      <c r="H112" s="11">
        <v>7000</v>
      </c>
      <c r="I112" s="11">
        <v>2533</v>
      </c>
      <c r="J112" s="11" cm="1">
        <f t="array" ref="J112">_xlfn.XLOOKUP(C112&amp;D112&amp;F112,Expense!$C$2:$C$601&amp;Expense!$D$2:$D$601&amp;Expense!$E$2:$E$601,Expense!$G$2:$G$601,"")</f>
        <v>2333.3333333333335</v>
      </c>
      <c r="K112" s="11" cm="1">
        <f t="array" ref="K112">_xlfn.XLOOKUP(C112&amp;D112&amp;F112,Expense!$C$2:$C$601&amp;Expense!$D$2:$D$601&amp;Expense!$E$2:$E$601,Expense!$H$2:$H$601,"")</f>
        <v>2133.3333333333335</v>
      </c>
      <c r="L112" s="14">
        <f t="shared" si="12"/>
        <v>-4467</v>
      </c>
      <c r="M112" s="14">
        <f>Master_Table[[#This Row],[Expense Budget]]-Master_Table[[#This Row],[Actual Expense]]</f>
        <v>200</v>
      </c>
      <c r="N112" s="16">
        <f t="shared" si="13"/>
        <v>399.66666666666652</v>
      </c>
      <c r="O112" s="29">
        <f t="shared" si="10"/>
        <v>4666.6666666666661</v>
      </c>
      <c r="P112" s="16">
        <f t="shared" si="11"/>
        <v>-4267</v>
      </c>
      <c r="Q112" s="28">
        <f>Master_Table[[#This Row],[△Sales Variance]]/Master_Table[[#This Row],[Sales Budget]]</f>
        <v>-0.63814285714285712</v>
      </c>
      <c r="R112" s="28">
        <f>Master_Table[[#This Row],[△Expense  Variance]]/Master_Table[[#This Row],[Expense Budget]]</f>
        <v>8.5714285714285715E-2</v>
      </c>
      <c r="S112" s="28">
        <f>Master_Table[[#This Row],[Net Profit Variance]]/Master_Table[[#This Row],[Budget Net Profit]]</f>
        <v>-0.91435714285714298</v>
      </c>
      <c r="T112" s="28">
        <f>Master_Table[[#This Row],[Actual Net Profit]]/Master_Table[[#This Row],[Actual Sales]]</f>
        <v>0.15778391893670213</v>
      </c>
      <c r="U112" s="28" t="str">
        <f>_xlfn.TEXTJOIN(" - ", TRUE, Master_Table[[#This Row],[Product]], Master_Table[[#This Row],[Branch]])</f>
        <v>Orange - Ibadan</v>
      </c>
    </row>
    <row r="113" spans="1:21" ht="14.4" x14ac:dyDescent="0.3">
      <c r="A113" s="2">
        <v>112</v>
      </c>
      <c r="B113" s="2">
        <f t="shared" si="7"/>
        <v>101</v>
      </c>
      <c r="C113" s="1" t="str">
        <f>VLOOKUP(B113,Products!A:C,2,FALSE)</f>
        <v>Orange</v>
      </c>
      <c r="D113" s="1" t="str">
        <f t="shared" si="8"/>
        <v>Ibadan</v>
      </c>
      <c r="E113" s="4" t="str">
        <f>_xlfn.XLOOKUP(D113,'Sales Manager'!$A$2:$A$6,'Sales Manager'!$B$2:$B$6,"")</f>
        <v>Funmi Adeyemi</v>
      </c>
      <c r="F113" s="3">
        <f t="shared" si="16"/>
        <v>4</v>
      </c>
      <c r="G113" s="1" t="str">
        <f t="shared" si="16"/>
        <v>Apr</v>
      </c>
      <c r="H113" s="11">
        <v>1000</v>
      </c>
      <c r="I113" s="11">
        <v>6466</v>
      </c>
      <c r="J113" s="11" cm="1">
        <f t="array" ref="J113">_xlfn.XLOOKUP(C113&amp;D113&amp;F113,Expense!$C$2:$C$601&amp;Expense!$D$2:$D$601&amp;Expense!$E$2:$E$601,Expense!$G$2:$G$601,"")</f>
        <v>333.33333333333331</v>
      </c>
      <c r="K113" s="11" cm="1">
        <f t="array" ref="K113">_xlfn.XLOOKUP(C113&amp;D113&amp;F113,Expense!$C$2:$C$601&amp;Expense!$D$2:$D$601&amp;Expense!$E$2:$E$601,Expense!$H$2:$H$601,"")</f>
        <v>133.33333333333331</v>
      </c>
      <c r="L113" s="14">
        <f t="shared" si="12"/>
        <v>5466</v>
      </c>
      <c r="M113" s="14">
        <f>Master_Table[[#This Row],[Expense Budget]]-Master_Table[[#This Row],[Actual Expense]]</f>
        <v>200</v>
      </c>
      <c r="N113" s="16">
        <f t="shared" si="13"/>
        <v>6332.666666666667</v>
      </c>
      <c r="O113" s="29">
        <f t="shared" si="10"/>
        <v>666.66666666666674</v>
      </c>
      <c r="P113" s="16">
        <f t="shared" si="11"/>
        <v>5666</v>
      </c>
      <c r="Q113" s="28">
        <f>Master_Table[[#This Row],[△Sales Variance]]/Master_Table[[#This Row],[Sales Budget]]</f>
        <v>5.4660000000000002</v>
      </c>
      <c r="R113" s="28">
        <f>Master_Table[[#This Row],[△Expense  Variance]]/Master_Table[[#This Row],[Expense Budget]]</f>
        <v>0.60000000000000009</v>
      </c>
      <c r="S113" s="28">
        <f>Master_Table[[#This Row],[Net Profit Variance]]/Master_Table[[#This Row],[Budget Net Profit]]</f>
        <v>8.4989999999999988</v>
      </c>
      <c r="T113" s="28">
        <f>Master_Table[[#This Row],[Actual Net Profit]]/Master_Table[[#This Row],[Actual Sales]]</f>
        <v>0.97937931745540785</v>
      </c>
      <c r="U113" s="28" t="str">
        <f>_xlfn.TEXTJOIN(" - ", TRUE, Master_Table[[#This Row],[Product]], Master_Table[[#This Row],[Branch]])</f>
        <v>Orange - Ibadan</v>
      </c>
    </row>
    <row r="114" spans="1:21" ht="14.4" x14ac:dyDescent="0.3">
      <c r="A114" s="2">
        <v>113</v>
      </c>
      <c r="B114" s="2">
        <f t="shared" si="7"/>
        <v>101</v>
      </c>
      <c r="C114" s="1" t="str">
        <f>VLOOKUP(B114,Products!A:C,2,FALSE)</f>
        <v>Orange</v>
      </c>
      <c r="D114" s="1" t="str">
        <f t="shared" si="8"/>
        <v>Ibadan</v>
      </c>
      <c r="E114" s="4" t="str">
        <f>_xlfn.XLOOKUP(D114,'Sales Manager'!$A$2:$A$6,'Sales Manager'!$B$2:$B$6,"")</f>
        <v>Funmi Adeyemi</v>
      </c>
      <c r="F114" s="3">
        <f t="shared" si="16"/>
        <v>5</v>
      </c>
      <c r="G114" s="1" t="str">
        <f t="shared" si="16"/>
        <v>May</v>
      </c>
      <c r="H114" s="11">
        <v>1000</v>
      </c>
      <c r="I114" s="11">
        <v>10761</v>
      </c>
      <c r="J114" s="11" cm="1">
        <f t="array" ref="J114">_xlfn.XLOOKUP(C114&amp;D114&amp;F114,Expense!$C$2:$C$601&amp;Expense!$D$2:$D$601&amp;Expense!$E$2:$E$601,Expense!$G$2:$G$601,"")</f>
        <v>250</v>
      </c>
      <c r="K114" s="11" cm="1">
        <f t="array" ref="K114">_xlfn.XLOOKUP(C114&amp;D114&amp;F114,Expense!$C$2:$C$601&amp;Expense!$D$2:$D$601&amp;Expense!$E$2:$E$601,Expense!$H$2:$H$601,"")</f>
        <v>150</v>
      </c>
      <c r="L114" s="14">
        <f t="shared" si="12"/>
        <v>9761</v>
      </c>
      <c r="M114" s="14">
        <f>Master_Table[[#This Row],[Expense Budget]]-Master_Table[[#This Row],[Actual Expense]]</f>
        <v>100</v>
      </c>
      <c r="N114" s="16">
        <f t="shared" si="13"/>
        <v>10611</v>
      </c>
      <c r="O114" s="29">
        <f t="shared" si="10"/>
        <v>750</v>
      </c>
      <c r="P114" s="16">
        <f t="shared" si="11"/>
        <v>9861</v>
      </c>
      <c r="Q114" s="28">
        <f>Master_Table[[#This Row],[△Sales Variance]]/Master_Table[[#This Row],[Sales Budget]]</f>
        <v>9.7609999999999992</v>
      </c>
      <c r="R114" s="28">
        <f>Master_Table[[#This Row],[△Expense  Variance]]/Master_Table[[#This Row],[Expense Budget]]</f>
        <v>0.4</v>
      </c>
      <c r="S114" s="28">
        <f>Master_Table[[#This Row],[Net Profit Variance]]/Master_Table[[#This Row],[Budget Net Profit]]</f>
        <v>13.148</v>
      </c>
      <c r="T114" s="28">
        <f>Master_Table[[#This Row],[Actual Net Profit]]/Master_Table[[#This Row],[Actual Sales]]</f>
        <v>0.98606077502090883</v>
      </c>
      <c r="U114" s="28" t="str">
        <f>_xlfn.TEXTJOIN(" - ", TRUE, Master_Table[[#This Row],[Product]], Master_Table[[#This Row],[Branch]])</f>
        <v>Orange - Ibadan</v>
      </c>
    </row>
    <row r="115" spans="1:21" ht="14.4" x14ac:dyDescent="0.3">
      <c r="A115" s="2">
        <v>114</v>
      </c>
      <c r="B115" s="2">
        <f t="shared" si="7"/>
        <v>101</v>
      </c>
      <c r="C115" s="1" t="str">
        <f>VLOOKUP(B115,Products!A:C,2,FALSE)</f>
        <v>Orange</v>
      </c>
      <c r="D115" s="1" t="str">
        <f t="shared" si="8"/>
        <v>Ibadan</v>
      </c>
      <c r="E115" s="4" t="str">
        <f>_xlfn.XLOOKUP(D115,'Sales Manager'!$A$2:$A$6,'Sales Manager'!$B$2:$B$6,"")</f>
        <v>Funmi Adeyemi</v>
      </c>
      <c r="F115" s="3">
        <f t="shared" si="16"/>
        <v>6</v>
      </c>
      <c r="G115" s="1" t="str">
        <f t="shared" si="16"/>
        <v>Jun</v>
      </c>
      <c r="H115" s="11">
        <v>2000</v>
      </c>
      <c r="I115" s="11">
        <v>5266</v>
      </c>
      <c r="J115" s="11" cm="1">
        <f t="array" ref="J115">_xlfn.XLOOKUP(C115&amp;D115&amp;F115,Expense!$C$2:$C$601&amp;Expense!$D$2:$D$601&amp;Expense!$E$2:$E$601,Expense!$G$2:$G$601,"")</f>
        <v>500</v>
      </c>
      <c r="K115" s="11" cm="1">
        <f t="array" ref="K115">_xlfn.XLOOKUP(C115&amp;D115&amp;F115,Expense!$C$2:$C$601&amp;Expense!$D$2:$D$601&amp;Expense!$E$2:$E$601,Expense!$H$2:$H$601,"")</f>
        <v>500</v>
      </c>
      <c r="L115" s="14">
        <f t="shared" si="12"/>
        <v>3266</v>
      </c>
      <c r="M115" s="14">
        <f>Master_Table[[#This Row],[Expense Budget]]-Master_Table[[#This Row],[Actual Expense]]</f>
        <v>0</v>
      </c>
      <c r="N115" s="16">
        <f t="shared" si="13"/>
        <v>4766</v>
      </c>
      <c r="O115" s="29">
        <f t="shared" si="10"/>
        <v>1500</v>
      </c>
      <c r="P115" s="16">
        <f t="shared" si="11"/>
        <v>3266</v>
      </c>
      <c r="Q115" s="28">
        <f>Master_Table[[#This Row],[△Sales Variance]]/Master_Table[[#This Row],[Sales Budget]]</f>
        <v>1.633</v>
      </c>
      <c r="R115" s="28">
        <f>Master_Table[[#This Row],[△Expense  Variance]]/Master_Table[[#This Row],[Expense Budget]]</f>
        <v>0</v>
      </c>
      <c r="S115" s="28">
        <f>Master_Table[[#This Row],[Net Profit Variance]]/Master_Table[[#This Row],[Budget Net Profit]]</f>
        <v>2.1773333333333333</v>
      </c>
      <c r="T115" s="28">
        <f>Master_Table[[#This Row],[Actual Net Profit]]/Master_Table[[#This Row],[Actual Sales]]</f>
        <v>0.90505127231295102</v>
      </c>
      <c r="U115" s="28" t="str">
        <f>_xlfn.TEXTJOIN(" - ", TRUE, Master_Table[[#This Row],[Product]], Master_Table[[#This Row],[Branch]])</f>
        <v>Orange - Ibadan</v>
      </c>
    </row>
    <row r="116" spans="1:21" ht="14.4" x14ac:dyDescent="0.3">
      <c r="A116" s="2">
        <v>115</v>
      </c>
      <c r="B116" s="2">
        <f t="shared" si="7"/>
        <v>101</v>
      </c>
      <c r="C116" s="1" t="str">
        <f>VLOOKUP(B116,Products!A:C,2,FALSE)</f>
        <v>Orange</v>
      </c>
      <c r="D116" s="1" t="str">
        <f t="shared" si="8"/>
        <v>Ibadan</v>
      </c>
      <c r="E116" s="4" t="str">
        <f>_xlfn.XLOOKUP(D116,'Sales Manager'!$A$2:$A$6,'Sales Manager'!$B$2:$B$6,"")</f>
        <v>Funmi Adeyemi</v>
      </c>
      <c r="F116" s="3">
        <f t="shared" si="16"/>
        <v>7</v>
      </c>
      <c r="G116" s="1" t="str">
        <f t="shared" si="16"/>
        <v>Jul</v>
      </c>
      <c r="H116" s="11">
        <v>2000</v>
      </c>
      <c r="I116" s="11">
        <v>8443</v>
      </c>
      <c r="J116" s="11" cm="1">
        <f t="array" ref="J116">_xlfn.XLOOKUP(C116&amp;D116&amp;F116,Expense!$C$2:$C$601&amp;Expense!$D$2:$D$601&amp;Expense!$E$2:$E$601,Expense!$G$2:$G$601,"")</f>
        <v>400</v>
      </c>
      <c r="K116" s="11" cm="1">
        <f t="array" ref="K116">_xlfn.XLOOKUP(C116&amp;D116&amp;F116,Expense!$C$2:$C$601&amp;Expense!$D$2:$D$601&amp;Expense!$E$2:$E$601,Expense!$H$2:$H$601,"")</f>
        <v>400</v>
      </c>
      <c r="L116" s="14">
        <f t="shared" si="12"/>
        <v>6443</v>
      </c>
      <c r="M116" s="14">
        <f>Master_Table[[#This Row],[Expense Budget]]-Master_Table[[#This Row],[Actual Expense]]</f>
        <v>0</v>
      </c>
      <c r="N116" s="16">
        <f t="shared" si="13"/>
        <v>8043</v>
      </c>
      <c r="O116" s="29">
        <f t="shared" si="10"/>
        <v>1600</v>
      </c>
      <c r="P116" s="16">
        <f t="shared" si="11"/>
        <v>6443</v>
      </c>
      <c r="Q116" s="28">
        <f>Master_Table[[#This Row],[△Sales Variance]]/Master_Table[[#This Row],[Sales Budget]]</f>
        <v>3.2214999999999998</v>
      </c>
      <c r="R116" s="28">
        <f>Master_Table[[#This Row],[△Expense  Variance]]/Master_Table[[#This Row],[Expense Budget]]</f>
        <v>0</v>
      </c>
      <c r="S116" s="28">
        <f>Master_Table[[#This Row],[Net Profit Variance]]/Master_Table[[#This Row],[Budget Net Profit]]</f>
        <v>4.0268750000000004</v>
      </c>
      <c r="T116" s="28">
        <f>Master_Table[[#This Row],[Actual Net Profit]]/Master_Table[[#This Row],[Actual Sales]]</f>
        <v>0.95262347506810374</v>
      </c>
      <c r="U116" s="28" t="str">
        <f>_xlfn.TEXTJOIN(" - ", TRUE, Master_Table[[#This Row],[Product]], Master_Table[[#This Row],[Branch]])</f>
        <v>Orange - Ibadan</v>
      </c>
    </row>
    <row r="117" spans="1:21" ht="14.4" x14ac:dyDescent="0.3">
      <c r="A117" s="2">
        <v>116</v>
      </c>
      <c r="B117" s="2">
        <f t="shared" si="7"/>
        <v>101</v>
      </c>
      <c r="C117" s="1" t="str">
        <f>VLOOKUP(B117,Products!A:C,2,FALSE)</f>
        <v>Orange</v>
      </c>
      <c r="D117" s="1" t="str">
        <f t="shared" si="8"/>
        <v>Ibadan</v>
      </c>
      <c r="E117" s="4" t="str">
        <f>_xlfn.XLOOKUP(D117,'Sales Manager'!$A$2:$A$6,'Sales Manager'!$B$2:$B$6,"")</f>
        <v>Funmi Adeyemi</v>
      </c>
      <c r="F117" s="3">
        <f t="shared" si="16"/>
        <v>8</v>
      </c>
      <c r="G117" s="1" t="str">
        <f t="shared" si="16"/>
        <v>Aug</v>
      </c>
      <c r="H117" s="11">
        <v>5000</v>
      </c>
      <c r="I117" s="11">
        <v>5788</v>
      </c>
      <c r="J117" s="11" cm="1">
        <f t="array" ref="J117">_xlfn.XLOOKUP(C117&amp;D117&amp;F117,Expense!$C$2:$C$601&amp;Expense!$D$2:$D$601&amp;Expense!$E$2:$E$601,Expense!$G$2:$G$601,"")</f>
        <v>1000</v>
      </c>
      <c r="K117" s="11" cm="1">
        <f t="array" ref="K117">_xlfn.XLOOKUP(C117&amp;D117&amp;F117,Expense!$C$2:$C$601&amp;Expense!$D$2:$D$601&amp;Expense!$E$2:$E$601,Expense!$H$2:$H$601,"")</f>
        <v>900</v>
      </c>
      <c r="L117" s="14">
        <f t="shared" si="12"/>
        <v>788</v>
      </c>
      <c r="M117" s="14">
        <f>Master_Table[[#This Row],[Expense Budget]]-Master_Table[[#This Row],[Actual Expense]]</f>
        <v>100</v>
      </c>
      <c r="N117" s="16">
        <f t="shared" si="13"/>
        <v>4888</v>
      </c>
      <c r="O117" s="29">
        <f t="shared" si="10"/>
        <v>4000</v>
      </c>
      <c r="P117" s="16">
        <f t="shared" si="11"/>
        <v>888</v>
      </c>
      <c r="Q117" s="28">
        <f>Master_Table[[#This Row],[△Sales Variance]]/Master_Table[[#This Row],[Sales Budget]]</f>
        <v>0.15759999999999999</v>
      </c>
      <c r="R117" s="28">
        <f>Master_Table[[#This Row],[△Expense  Variance]]/Master_Table[[#This Row],[Expense Budget]]</f>
        <v>0.1</v>
      </c>
      <c r="S117" s="28">
        <f>Master_Table[[#This Row],[Net Profit Variance]]/Master_Table[[#This Row],[Budget Net Profit]]</f>
        <v>0.222</v>
      </c>
      <c r="T117" s="28">
        <f>Master_Table[[#This Row],[Actual Net Profit]]/Master_Table[[#This Row],[Actual Sales]]</f>
        <v>0.84450587422252932</v>
      </c>
      <c r="U117" s="28" t="str">
        <f>_xlfn.TEXTJOIN(" - ", TRUE, Master_Table[[#This Row],[Product]], Master_Table[[#This Row],[Branch]])</f>
        <v>Orange - Ibadan</v>
      </c>
    </row>
    <row r="118" spans="1:21" ht="14.4" x14ac:dyDescent="0.3">
      <c r="A118" s="2">
        <v>117</v>
      </c>
      <c r="B118" s="2">
        <f t="shared" si="7"/>
        <v>101</v>
      </c>
      <c r="C118" s="1" t="str">
        <f>VLOOKUP(B118,Products!A:C,2,FALSE)</f>
        <v>Orange</v>
      </c>
      <c r="D118" s="1" t="str">
        <f t="shared" si="8"/>
        <v>Ibadan</v>
      </c>
      <c r="E118" s="4" t="str">
        <f>_xlfn.XLOOKUP(D118,'Sales Manager'!$A$2:$A$6,'Sales Manager'!$B$2:$B$6,"")</f>
        <v>Funmi Adeyemi</v>
      </c>
      <c r="F118" s="3">
        <f t="shared" si="16"/>
        <v>9</v>
      </c>
      <c r="G118" s="1" t="str">
        <f t="shared" si="16"/>
        <v>Sept</v>
      </c>
      <c r="H118" s="11">
        <v>1000</v>
      </c>
      <c r="I118" s="11">
        <v>2111</v>
      </c>
      <c r="J118" s="11" cm="1">
        <f t="array" ref="J118">_xlfn.XLOOKUP(C118&amp;D118&amp;F118,Expense!$C$2:$C$601&amp;Expense!$D$2:$D$601&amp;Expense!$E$2:$E$601,Expense!$G$2:$G$601,"")</f>
        <v>200</v>
      </c>
      <c r="K118" s="11" cm="1">
        <f t="array" ref="K118">_xlfn.XLOOKUP(C118&amp;D118&amp;F118,Expense!$C$2:$C$601&amp;Expense!$D$2:$D$601&amp;Expense!$E$2:$E$601,Expense!$H$2:$H$601,"")</f>
        <v>800</v>
      </c>
      <c r="L118" s="14">
        <f t="shared" si="12"/>
        <v>1111</v>
      </c>
      <c r="M118" s="14">
        <f>Master_Table[[#This Row],[Expense Budget]]-Master_Table[[#This Row],[Actual Expense]]</f>
        <v>-600</v>
      </c>
      <c r="N118" s="16">
        <f t="shared" si="13"/>
        <v>1311</v>
      </c>
      <c r="O118" s="29">
        <f t="shared" si="10"/>
        <v>800</v>
      </c>
      <c r="P118" s="16">
        <f t="shared" si="11"/>
        <v>511</v>
      </c>
      <c r="Q118" s="28">
        <f>Master_Table[[#This Row],[△Sales Variance]]/Master_Table[[#This Row],[Sales Budget]]</f>
        <v>1.111</v>
      </c>
      <c r="R118" s="28">
        <f>Master_Table[[#This Row],[△Expense  Variance]]/Master_Table[[#This Row],[Expense Budget]]</f>
        <v>-3</v>
      </c>
      <c r="S118" s="28">
        <f>Master_Table[[#This Row],[Net Profit Variance]]/Master_Table[[#This Row],[Budget Net Profit]]</f>
        <v>0.63875000000000004</v>
      </c>
      <c r="T118" s="28">
        <f>Master_Table[[#This Row],[Actual Net Profit]]/Master_Table[[#This Row],[Actual Sales]]</f>
        <v>0.62103268593083849</v>
      </c>
      <c r="U118" s="28" t="str">
        <f>_xlfn.TEXTJOIN(" - ", TRUE, Master_Table[[#This Row],[Product]], Master_Table[[#This Row],[Branch]])</f>
        <v>Orange - Ibadan</v>
      </c>
    </row>
    <row r="119" spans="1:21" ht="14.4" x14ac:dyDescent="0.3">
      <c r="A119" s="2">
        <v>118</v>
      </c>
      <c r="B119" s="2">
        <f t="shared" si="7"/>
        <v>101</v>
      </c>
      <c r="C119" s="1" t="str">
        <f>VLOOKUP(B119,Products!A:C,2,FALSE)</f>
        <v>Orange</v>
      </c>
      <c r="D119" s="1" t="str">
        <f t="shared" si="8"/>
        <v>Ibadan</v>
      </c>
      <c r="E119" s="4" t="str">
        <f>_xlfn.XLOOKUP(D119,'Sales Manager'!$A$2:$A$6,'Sales Manager'!$B$2:$B$6,"")</f>
        <v>Funmi Adeyemi</v>
      </c>
      <c r="F119" s="3">
        <f t="shared" si="16"/>
        <v>10</v>
      </c>
      <c r="G119" s="1" t="str">
        <f t="shared" si="16"/>
        <v>Oct</v>
      </c>
      <c r="H119" s="11">
        <v>5000</v>
      </c>
      <c r="I119" s="11">
        <v>3033</v>
      </c>
      <c r="J119" s="11" cm="1">
        <f t="array" ref="J119">_xlfn.XLOOKUP(C119&amp;D119&amp;F119,Expense!$C$2:$C$601&amp;Expense!$D$2:$D$601&amp;Expense!$E$2:$E$601,Expense!$G$2:$G$601,"")</f>
        <v>2500</v>
      </c>
      <c r="K119" s="11" cm="1">
        <f t="array" ref="K119">_xlfn.XLOOKUP(C119&amp;D119&amp;F119,Expense!$C$2:$C$601&amp;Expense!$D$2:$D$601&amp;Expense!$E$2:$E$601,Expense!$H$2:$H$601,"")</f>
        <v>2300</v>
      </c>
      <c r="L119" s="14">
        <f t="shared" si="12"/>
        <v>-1967</v>
      </c>
      <c r="M119" s="14">
        <f>Master_Table[[#This Row],[Expense Budget]]-Master_Table[[#This Row],[Actual Expense]]</f>
        <v>200</v>
      </c>
      <c r="N119" s="16">
        <f t="shared" si="13"/>
        <v>733</v>
      </c>
      <c r="O119" s="29">
        <f t="shared" si="10"/>
        <v>2500</v>
      </c>
      <c r="P119" s="16">
        <f t="shared" si="11"/>
        <v>-1767</v>
      </c>
      <c r="Q119" s="28">
        <f>Master_Table[[#This Row],[△Sales Variance]]/Master_Table[[#This Row],[Sales Budget]]</f>
        <v>-0.39340000000000003</v>
      </c>
      <c r="R119" s="28">
        <f>Master_Table[[#This Row],[△Expense  Variance]]/Master_Table[[#This Row],[Expense Budget]]</f>
        <v>0.08</v>
      </c>
      <c r="S119" s="28">
        <f>Master_Table[[#This Row],[Net Profit Variance]]/Master_Table[[#This Row],[Budget Net Profit]]</f>
        <v>-0.70679999999999998</v>
      </c>
      <c r="T119" s="28">
        <f>Master_Table[[#This Row],[Actual Net Profit]]/Master_Table[[#This Row],[Actual Sales]]</f>
        <v>0.24167490933069569</v>
      </c>
      <c r="U119" s="28" t="str">
        <f>_xlfn.TEXTJOIN(" - ", TRUE, Master_Table[[#This Row],[Product]], Master_Table[[#This Row],[Branch]])</f>
        <v>Orange - Ibadan</v>
      </c>
    </row>
    <row r="120" spans="1:21" ht="14.4" x14ac:dyDescent="0.3">
      <c r="A120" s="2">
        <v>119</v>
      </c>
      <c r="B120" s="2">
        <f t="shared" si="7"/>
        <v>101</v>
      </c>
      <c r="C120" s="1" t="str">
        <f>VLOOKUP(B120,Products!A:C,2,FALSE)</f>
        <v>Orange</v>
      </c>
      <c r="D120" s="1" t="str">
        <f t="shared" si="8"/>
        <v>Ibadan</v>
      </c>
      <c r="E120" s="4" t="str">
        <f>_xlfn.XLOOKUP(D120,'Sales Manager'!$A$2:$A$6,'Sales Manager'!$B$2:$B$6,"")</f>
        <v>Funmi Adeyemi</v>
      </c>
      <c r="F120" s="3">
        <f t="shared" si="16"/>
        <v>11</v>
      </c>
      <c r="G120" s="1" t="str">
        <f t="shared" si="16"/>
        <v>Nov</v>
      </c>
      <c r="H120" s="11">
        <v>5000</v>
      </c>
      <c r="I120" s="11">
        <v>8512</v>
      </c>
      <c r="J120" s="11" cm="1">
        <f t="array" ref="J120">_xlfn.XLOOKUP(C120&amp;D120&amp;F120,Expense!$C$2:$C$601&amp;Expense!$D$2:$D$601&amp;Expense!$E$2:$E$601,Expense!$G$2:$G$601,"")</f>
        <v>2500</v>
      </c>
      <c r="K120" s="11" cm="1">
        <f t="array" ref="K120">_xlfn.XLOOKUP(C120&amp;D120&amp;F120,Expense!$C$2:$C$601&amp;Expense!$D$2:$D$601&amp;Expense!$E$2:$E$601,Expense!$H$2:$H$601,"")</f>
        <v>1800</v>
      </c>
      <c r="L120" s="14">
        <f t="shared" si="12"/>
        <v>3512</v>
      </c>
      <c r="M120" s="14">
        <f>Master_Table[[#This Row],[Expense Budget]]-Master_Table[[#This Row],[Actual Expense]]</f>
        <v>700</v>
      </c>
      <c r="N120" s="16">
        <f t="shared" si="13"/>
        <v>6712</v>
      </c>
      <c r="O120" s="29">
        <f t="shared" si="10"/>
        <v>2500</v>
      </c>
      <c r="P120" s="16">
        <f t="shared" si="11"/>
        <v>4212</v>
      </c>
      <c r="Q120" s="28">
        <f>Master_Table[[#This Row],[△Sales Variance]]/Master_Table[[#This Row],[Sales Budget]]</f>
        <v>0.70240000000000002</v>
      </c>
      <c r="R120" s="28">
        <f>Master_Table[[#This Row],[△Expense  Variance]]/Master_Table[[#This Row],[Expense Budget]]</f>
        <v>0.28000000000000003</v>
      </c>
      <c r="S120" s="28">
        <f>Master_Table[[#This Row],[Net Profit Variance]]/Master_Table[[#This Row],[Budget Net Profit]]</f>
        <v>1.6848000000000001</v>
      </c>
      <c r="T120" s="28">
        <f>Master_Table[[#This Row],[Actual Net Profit]]/Master_Table[[#This Row],[Actual Sales]]</f>
        <v>0.7885338345864662</v>
      </c>
      <c r="U120" s="28" t="str">
        <f>_xlfn.TEXTJOIN(" - ", TRUE, Master_Table[[#This Row],[Product]], Master_Table[[#This Row],[Branch]])</f>
        <v>Orange - Ibadan</v>
      </c>
    </row>
    <row r="121" spans="1:21" ht="14.4" x14ac:dyDescent="0.3">
      <c r="A121" s="2">
        <v>120</v>
      </c>
      <c r="B121" s="2">
        <f t="shared" si="7"/>
        <v>101</v>
      </c>
      <c r="C121" s="1" t="str">
        <f>VLOOKUP(B121,Products!A:C,2,FALSE)</f>
        <v>Orange</v>
      </c>
      <c r="D121" s="1" t="str">
        <f t="shared" si="8"/>
        <v>Ibadan</v>
      </c>
      <c r="E121" s="4" t="str">
        <f>_xlfn.XLOOKUP(D121,'Sales Manager'!$A$2:$A$6,'Sales Manager'!$B$2:$B$6,"")</f>
        <v>Funmi Adeyemi</v>
      </c>
      <c r="F121" s="3">
        <f t="shared" si="16"/>
        <v>12</v>
      </c>
      <c r="G121" s="1" t="str">
        <f t="shared" si="16"/>
        <v>Dec</v>
      </c>
      <c r="H121" s="11">
        <v>2000</v>
      </c>
      <c r="I121" s="11">
        <v>2121</v>
      </c>
      <c r="J121" s="11" cm="1">
        <f t="array" ref="J121">_xlfn.XLOOKUP(C121&amp;D121&amp;F121,Expense!$C$2:$C$601&amp;Expense!$D$2:$D$601&amp;Expense!$E$2:$E$601,Expense!$G$2:$G$601,"")</f>
        <v>1000</v>
      </c>
      <c r="K121" s="11" cm="1">
        <f t="array" ref="K121">_xlfn.XLOOKUP(C121&amp;D121&amp;F121,Expense!$C$2:$C$601&amp;Expense!$D$2:$D$601&amp;Expense!$E$2:$E$601,Expense!$H$2:$H$601,"")</f>
        <v>800</v>
      </c>
      <c r="L121" s="14">
        <f t="shared" si="12"/>
        <v>121</v>
      </c>
      <c r="M121" s="14">
        <f>Master_Table[[#This Row],[Expense Budget]]-Master_Table[[#This Row],[Actual Expense]]</f>
        <v>200</v>
      </c>
      <c r="N121" s="16">
        <f t="shared" si="13"/>
        <v>1321</v>
      </c>
      <c r="O121" s="29">
        <f t="shared" si="10"/>
        <v>1000</v>
      </c>
      <c r="P121" s="16">
        <f t="shared" si="11"/>
        <v>321</v>
      </c>
      <c r="Q121" s="28">
        <f>Master_Table[[#This Row],[△Sales Variance]]/Master_Table[[#This Row],[Sales Budget]]</f>
        <v>6.0499999999999998E-2</v>
      </c>
      <c r="R121" s="28">
        <f>Master_Table[[#This Row],[△Expense  Variance]]/Master_Table[[#This Row],[Expense Budget]]</f>
        <v>0.2</v>
      </c>
      <c r="S121" s="28">
        <f>Master_Table[[#This Row],[Net Profit Variance]]/Master_Table[[#This Row],[Budget Net Profit]]</f>
        <v>0.32100000000000001</v>
      </c>
      <c r="T121" s="28">
        <f>Master_Table[[#This Row],[Actual Net Profit]]/Master_Table[[#This Row],[Actual Sales]]</f>
        <v>0.62281942479962282</v>
      </c>
      <c r="U121" s="28" t="str">
        <f>_xlfn.TEXTJOIN(" - ", TRUE, Master_Table[[#This Row],[Product]], Master_Table[[#This Row],[Branch]])</f>
        <v>Orange - Ibadan</v>
      </c>
    </row>
    <row r="122" spans="1:21" ht="14.4" x14ac:dyDescent="0.3">
      <c r="A122" s="2">
        <v>121</v>
      </c>
      <c r="B122" s="2">
        <f t="shared" si="7"/>
        <v>102</v>
      </c>
      <c r="C122" s="1" t="str">
        <f>VLOOKUP(B122,Products!A:C,2,FALSE)</f>
        <v>Banana</v>
      </c>
      <c r="D122" s="1" t="str">
        <f t="shared" si="8"/>
        <v>Lagos</v>
      </c>
      <c r="E122" s="4" t="str">
        <f>_xlfn.XLOOKUP(D122,'Sales Manager'!$A$2:$A$6,'Sales Manager'!$B$2:$B$6,"")</f>
        <v>Adaora Okafor</v>
      </c>
      <c r="F122" s="3">
        <f t="shared" si="16"/>
        <v>1</v>
      </c>
      <c r="G122" s="1" t="str">
        <f t="shared" si="16"/>
        <v>Jan</v>
      </c>
      <c r="H122" s="11">
        <v>3000</v>
      </c>
      <c r="I122" s="11">
        <v>3375</v>
      </c>
      <c r="J122" s="11" cm="1">
        <f t="array" ref="J122">_xlfn.XLOOKUP(C122&amp;D122&amp;F122,Expense!$C$2:$C$601&amp;Expense!$D$2:$D$601&amp;Expense!$E$2:$E$601,Expense!$G$2:$G$601,"")</f>
        <v>1500</v>
      </c>
      <c r="K122" s="11" cm="1">
        <f t="array" ref="K122">_xlfn.XLOOKUP(C122&amp;D122&amp;F122,Expense!$C$2:$C$601&amp;Expense!$D$2:$D$601&amp;Expense!$E$2:$E$601,Expense!$H$2:$H$601,"")</f>
        <v>1500</v>
      </c>
      <c r="L122" s="14">
        <f t="shared" si="12"/>
        <v>375</v>
      </c>
      <c r="M122" s="14">
        <f>Master_Table[[#This Row],[Expense Budget]]-Master_Table[[#This Row],[Actual Expense]]</f>
        <v>0</v>
      </c>
      <c r="N122" s="16">
        <f t="shared" si="13"/>
        <v>1875</v>
      </c>
      <c r="O122" s="29">
        <f t="shared" si="10"/>
        <v>1500</v>
      </c>
      <c r="P122" s="16">
        <f t="shared" si="11"/>
        <v>375</v>
      </c>
      <c r="Q122" s="28">
        <f>Master_Table[[#This Row],[△Sales Variance]]/Master_Table[[#This Row],[Sales Budget]]</f>
        <v>0.125</v>
      </c>
      <c r="R122" s="28">
        <f>Master_Table[[#This Row],[△Expense  Variance]]/Master_Table[[#This Row],[Expense Budget]]</f>
        <v>0</v>
      </c>
      <c r="S122" s="28">
        <f>Master_Table[[#This Row],[Net Profit Variance]]/Master_Table[[#This Row],[Budget Net Profit]]</f>
        <v>0.25</v>
      </c>
      <c r="T122" s="28">
        <f>Master_Table[[#This Row],[Actual Net Profit]]/Master_Table[[#This Row],[Actual Sales]]</f>
        <v>0.55555555555555558</v>
      </c>
      <c r="U122" s="28" t="str">
        <f>_xlfn.TEXTJOIN(" - ", TRUE, Master_Table[[#This Row],[Product]], Master_Table[[#This Row],[Branch]])</f>
        <v>Banana - Lagos</v>
      </c>
    </row>
    <row r="123" spans="1:21" ht="14.4" x14ac:dyDescent="0.3">
      <c r="A123" s="2">
        <v>122</v>
      </c>
      <c r="B123" s="2">
        <f t="shared" si="7"/>
        <v>102</v>
      </c>
      <c r="C123" s="1" t="str">
        <f>VLOOKUP(B123,Products!A:C,2,FALSE)</f>
        <v>Banana</v>
      </c>
      <c r="D123" s="1" t="str">
        <f t="shared" si="8"/>
        <v>Lagos</v>
      </c>
      <c r="E123" s="4" t="str">
        <f>_xlfn.XLOOKUP(D123,'Sales Manager'!$A$2:$A$6,'Sales Manager'!$B$2:$B$6,"")</f>
        <v>Adaora Okafor</v>
      </c>
      <c r="F123" s="3">
        <f t="shared" si="16"/>
        <v>2</v>
      </c>
      <c r="G123" s="1" t="str">
        <f t="shared" si="16"/>
        <v>Feb</v>
      </c>
      <c r="H123" s="11">
        <v>2000</v>
      </c>
      <c r="I123" s="11">
        <v>7693</v>
      </c>
      <c r="J123" s="11" cm="1">
        <f t="array" ref="J123">_xlfn.XLOOKUP(C123&amp;D123&amp;F123,Expense!$C$2:$C$601&amp;Expense!$D$2:$D$601&amp;Expense!$E$2:$E$601,Expense!$G$2:$G$601,"")</f>
        <v>1000</v>
      </c>
      <c r="K123" s="11" cm="1">
        <f t="array" ref="K123">_xlfn.XLOOKUP(C123&amp;D123&amp;F123,Expense!$C$2:$C$601&amp;Expense!$D$2:$D$601&amp;Expense!$E$2:$E$601,Expense!$H$2:$H$601,"")</f>
        <v>800</v>
      </c>
      <c r="L123" s="14">
        <f t="shared" si="12"/>
        <v>5693</v>
      </c>
      <c r="M123" s="14">
        <f>Master_Table[[#This Row],[Expense Budget]]-Master_Table[[#This Row],[Actual Expense]]</f>
        <v>200</v>
      </c>
      <c r="N123" s="16">
        <f t="shared" si="13"/>
        <v>6893</v>
      </c>
      <c r="O123" s="29">
        <f t="shared" si="10"/>
        <v>1000</v>
      </c>
      <c r="P123" s="16">
        <f t="shared" si="11"/>
        <v>5893</v>
      </c>
      <c r="Q123" s="28">
        <f>Master_Table[[#This Row],[△Sales Variance]]/Master_Table[[#This Row],[Sales Budget]]</f>
        <v>2.8464999999999998</v>
      </c>
      <c r="R123" s="28">
        <f>Master_Table[[#This Row],[△Expense  Variance]]/Master_Table[[#This Row],[Expense Budget]]</f>
        <v>0.2</v>
      </c>
      <c r="S123" s="28">
        <f>Master_Table[[#This Row],[Net Profit Variance]]/Master_Table[[#This Row],[Budget Net Profit]]</f>
        <v>5.8929999999999998</v>
      </c>
      <c r="T123" s="28">
        <f>Master_Table[[#This Row],[Actual Net Profit]]/Master_Table[[#This Row],[Actual Sales]]</f>
        <v>0.89600935915767577</v>
      </c>
      <c r="U123" s="28" t="str">
        <f>_xlfn.TEXTJOIN(" - ", TRUE, Master_Table[[#This Row],[Product]], Master_Table[[#This Row],[Branch]])</f>
        <v>Banana - Lagos</v>
      </c>
    </row>
    <row r="124" spans="1:21" ht="14.4" x14ac:dyDescent="0.3">
      <c r="A124" s="2">
        <v>123</v>
      </c>
      <c r="B124" s="2">
        <f t="shared" si="7"/>
        <v>102</v>
      </c>
      <c r="C124" s="1" t="str">
        <f>VLOOKUP(B124,Products!A:C,2,FALSE)</f>
        <v>Banana</v>
      </c>
      <c r="D124" s="1" t="str">
        <f t="shared" si="8"/>
        <v>Lagos</v>
      </c>
      <c r="E124" s="4" t="str">
        <f>_xlfn.XLOOKUP(D124,'Sales Manager'!$A$2:$A$6,'Sales Manager'!$B$2:$B$6,"")</f>
        <v>Adaora Okafor</v>
      </c>
      <c r="F124" s="3">
        <f t="shared" si="16"/>
        <v>3</v>
      </c>
      <c r="G124" s="1" t="str">
        <f t="shared" si="16"/>
        <v>Mar</v>
      </c>
      <c r="H124" s="11">
        <v>5000</v>
      </c>
      <c r="I124" s="11">
        <v>6225</v>
      </c>
      <c r="J124" s="11" cm="1">
        <f t="array" ref="J124">_xlfn.XLOOKUP(C124&amp;D124&amp;F124,Expense!$C$2:$C$601&amp;Expense!$D$2:$D$601&amp;Expense!$E$2:$E$601,Expense!$G$2:$G$601,"")</f>
        <v>2500</v>
      </c>
      <c r="K124" s="11" cm="1">
        <f t="array" ref="K124">_xlfn.XLOOKUP(C124&amp;D124&amp;F124,Expense!$C$2:$C$601&amp;Expense!$D$2:$D$601&amp;Expense!$E$2:$E$601,Expense!$H$2:$H$601,"")</f>
        <v>2300</v>
      </c>
      <c r="L124" s="14">
        <f t="shared" si="12"/>
        <v>1225</v>
      </c>
      <c r="M124" s="14">
        <f>Master_Table[[#This Row],[Expense Budget]]-Master_Table[[#This Row],[Actual Expense]]</f>
        <v>200</v>
      </c>
      <c r="N124" s="16">
        <f t="shared" si="13"/>
        <v>3925</v>
      </c>
      <c r="O124" s="29">
        <f t="shared" si="10"/>
        <v>2500</v>
      </c>
      <c r="P124" s="16">
        <f t="shared" si="11"/>
        <v>1425</v>
      </c>
      <c r="Q124" s="28">
        <f>Master_Table[[#This Row],[△Sales Variance]]/Master_Table[[#This Row],[Sales Budget]]</f>
        <v>0.245</v>
      </c>
      <c r="R124" s="28">
        <f>Master_Table[[#This Row],[△Expense  Variance]]/Master_Table[[#This Row],[Expense Budget]]</f>
        <v>0.08</v>
      </c>
      <c r="S124" s="28">
        <f>Master_Table[[#This Row],[Net Profit Variance]]/Master_Table[[#This Row],[Budget Net Profit]]</f>
        <v>0.56999999999999995</v>
      </c>
      <c r="T124" s="28">
        <f>Master_Table[[#This Row],[Actual Net Profit]]/Master_Table[[#This Row],[Actual Sales]]</f>
        <v>0.63052208835341361</v>
      </c>
      <c r="U124" s="28" t="str">
        <f>_xlfn.TEXTJOIN(" - ", TRUE, Master_Table[[#This Row],[Product]], Master_Table[[#This Row],[Branch]])</f>
        <v>Banana - Lagos</v>
      </c>
    </row>
    <row r="125" spans="1:21" ht="14.4" x14ac:dyDescent="0.3">
      <c r="A125" s="2">
        <v>124</v>
      </c>
      <c r="B125" s="2">
        <f t="shared" si="7"/>
        <v>102</v>
      </c>
      <c r="C125" s="1" t="str">
        <f>VLOOKUP(B125,Products!A:C,2,FALSE)</f>
        <v>Banana</v>
      </c>
      <c r="D125" s="1" t="str">
        <f t="shared" si="8"/>
        <v>Lagos</v>
      </c>
      <c r="E125" s="4" t="str">
        <f>_xlfn.XLOOKUP(D125,'Sales Manager'!$A$2:$A$6,'Sales Manager'!$B$2:$B$6,"")</f>
        <v>Adaora Okafor</v>
      </c>
      <c r="F125" s="3">
        <f t="shared" si="16"/>
        <v>4</v>
      </c>
      <c r="G125" s="1" t="str">
        <f t="shared" si="16"/>
        <v>Apr</v>
      </c>
      <c r="H125" s="11">
        <v>1000</v>
      </c>
      <c r="I125" s="11">
        <v>5133</v>
      </c>
      <c r="J125" s="11" cm="1">
        <f t="array" ref="J125">_xlfn.XLOOKUP(C125&amp;D125&amp;F125,Expense!$C$2:$C$601&amp;Expense!$D$2:$D$601&amp;Expense!$E$2:$E$601,Expense!$G$2:$G$601,"")</f>
        <v>200</v>
      </c>
      <c r="K125" s="11" cm="1">
        <f t="array" ref="K125">_xlfn.XLOOKUP(C125&amp;D125&amp;F125,Expense!$C$2:$C$601&amp;Expense!$D$2:$D$601&amp;Expense!$E$2:$E$601,Expense!$H$2:$H$601,"")</f>
        <v>500</v>
      </c>
      <c r="L125" s="14">
        <f t="shared" si="12"/>
        <v>4133</v>
      </c>
      <c r="M125" s="14">
        <f>Master_Table[[#This Row],[Expense Budget]]-Master_Table[[#This Row],[Actual Expense]]</f>
        <v>-300</v>
      </c>
      <c r="N125" s="16">
        <f t="shared" si="13"/>
        <v>4633</v>
      </c>
      <c r="O125" s="29">
        <f t="shared" si="10"/>
        <v>800</v>
      </c>
      <c r="P125" s="16">
        <f t="shared" si="11"/>
        <v>3833</v>
      </c>
      <c r="Q125" s="28">
        <f>Master_Table[[#This Row],[△Sales Variance]]/Master_Table[[#This Row],[Sales Budget]]</f>
        <v>4.133</v>
      </c>
      <c r="R125" s="28">
        <f>Master_Table[[#This Row],[△Expense  Variance]]/Master_Table[[#This Row],[Expense Budget]]</f>
        <v>-1.5</v>
      </c>
      <c r="S125" s="28">
        <f>Master_Table[[#This Row],[Net Profit Variance]]/Master_Table[[#This Row],[Budget Net Profit]]</f>
        <v>4.7912499999999998</v>
      </c>
      <c r="T125" s="28">
        <f>Master_Table[[#This Row],[Actual Net Profit]]/Master_Table[[#This Row],[Actual Sales]]</f>
        <v>0.90259107734268462</v>
      </c>
      <c r="U125" s="28" t="str">
        <f>_xlfn.TEXTJOIN(" - ", TRUE, Master_Table[[#This Row],[Product]], Master_Table[[#This Row],[Branch]])</f>
        <v>Banana - Lagos</v>
      </c>
    </row>
    <row r="126" spans="1:21" ht="14.4" x14ac:dyDescent="0.3">
      <c r="A126" s="2">
        <v>125</v>
      </c>
      <c r="B126" s="2">
        <f t="shared" si="7"/>
        <v>102</v>
      </c>
      <c r="C126" s="1" t="str">
        <f>VLOOKUP(B126,Products!A:C,2,FALSE)</f>
        <v>Banana</v>
      </c>
      <c r="D126" s="1" t="str">
        <f t="shared" si="8"/>
        <v>Lagos</v>
      </c>
      <c r="E126" s="4" t="str">
        <f>_xlfn.XLOOKUP(D126,'Sales Manager'!$A$2:$A$6,'Sales Manager'!$B$2:$B$6,"")</f>
        <v>Adaora Okafor</v>
      </c>
      <c r="F126" s="3">
        <f t="shared" si="16"/>
        <v>5</v>
      </c>
      <c r="G126" s="1" t="str">
        <f t="shared" si="16"/>
        <v>May</v>
      </c>
      <c r="H126" s="11">
        <v>1000</v>
      </c>
      <c r="I126" s="11">
        <v>5525</v>
      </c>
      <c r="J126" s="11" cm="1">
        <f t="array" ref="J126">_xlfn.XLOOKUP(C126&amp;D126&amp;F126,Expense!$C$2:$C$601&amp;Expense!$D$2:$D$601&amp;Expense!$E$2:$E$601,Expense!$G$2:$G$601,"")</f>
        <v>250</v>
      </c>
      <c r="K126" s="11" cm="1">
        <f t="array" ref="K126">_xlfn.XLOOKUP(C126&amp;D126&amp;F126,Expense!$C$2:$C$601&amp;Expense!$D$2:$D$601&amp;Expense!$E$2:$E$601,Expense!$H$2:$H$601,"")</f>
        <v>150</v>
      </c>
      <c r="L126" s="14">
        <f t="shared" si="12"/>
        <v>4525</v>
      </c>
      <c r="M126" s="14">
        <f>Master_Table[[#This Row],[Expense Budget]]-Master_Table[[#This Row],[Actual Expense]]</f>
        <v>100</v>
      </c>
      <c r="N126" s="16">
        <f t="shared" si="13"/>
        <v>5375</v>
      </c>
      <c r="O126" s="29">
        <f t="shared" si="10"/>
        <v>750</v>
      </c>
      <c r="P126" s="16">
        <f t="shared" si="11"/>
        <v>4625</v>
      </c>
      <c r="Q126" s="28">
        <f>Master_Table[[#This Row],[△Sales Variance]]/Master_Table[[#This Row],[Sales Budget]]</f>
        <v>4.5250000000000004</v>
      </c>
      <c r="R126" s="28">
        <f>Master_Table[[#This Row],[△Expense  Variance]]/Master_Table[[#This Row],[Expense Budget]]</f>
        <v>0.4</v>
      </c>
      <c r="S126" s="28">
        <f>Master_Table[[#This Row],[Net Profit Variance]]/Master_Table[[#This Row],[Budget Net Profit]]</f>
        <v>6.166666666666667</v>
      </c>
      <c r="T126" s="28">
        <f>Master_Table[[#This Row],[Actual Net Profit]]/Master_Table[[#This Row],[Actual Sales]]</f>
        <v>0.97285067873303166</v>
      </c>
      <c r="U126" s="28" t="str">
        <f>_xlfn.TEXTJOIN(" - ", TRUE, Master_Table[[#This Row],[Product]], Master_Table[[#This Row],[Branch]])</f>
        <v>Banana - Lagos</v>
      </c>
    </row>
    <row r="127" spans="1:21" ht="14.4" x14ac:dyDescent="0.3">
      <c r="A127" s="2">
        <v>126</v>
      </c>
      <c r="B127" s="2">
        <f t="shared" ref="B127:B190" si="17">B67+1</f>
        <v>102</v>
      </c>
      <c r="C127" s="1" t="str">
        <f>VLOOKUP(B127,Products!A:C,2,FALSE)</f>
        <v>Banana</v>
      </c>
      <c r="D127" s="1" t="str">
        <f t="shared" ref="D127:D190" si="18">D67</f>
        <v>Lagos</v>
      </c>
      <c r="E127" s="4" t="str">
        <f>_xlfn.XLOOKUP(D127,'Sales Manager'!$A$2:$A$6,'Sales Manager'!$B$2:$B$6,"")</f>
        <v>Adaora Okafor</v>
      </c>
      <c r="F127" s="3">
        <f t="shared" ref="F127:G142" si="19">F115</f>
        <v>6</v>
      </c>
      <c r="G127" s="1" t="str">
        <f t="shared" si="19"/>
        <v>Jun</v>
      </c>
      <c r="H127" s="11">
        <v>6000</v>
      </c>
      <c r="I127" s="11">
        <v>5766</v>
      </c>
      <c r="J127" s="11" cm="1">
        <f t="array" ref="J127">_xlfn.XLOOKUP(C127&amp;D127&amp;F127,Expense!$C$2:$C$601&amp;Expense!$D$2:$D$601&amp;Expense!$E$2:$E$601,Expense!$G$2:$G$601,"")</f>
        <v>1500</v>
      </c>
      <c r="K127" s="11" cm="1">
        <f t="array" ref="K127">_xlfn.XLOOKUP(C127&amp;D127&amp;F127,Expense!$C$2:$C$601&amp;Expense!$D$2:$D$601&amp;Expense!$E$2:$E$601,Expense!$H$2:$H$601,"")</f>
        <v>800</v>
      </c>
      <c r="L127" s="14">
        <f t="shared" si="12"/>
        <v>-234</v>
      </c>
      <c r="M127" s="14">
        <f>Master_Table[[#This Row],[Expense Budget]]-Master_Table[[#This Row],[Actual Expense]]</f>
        <v>700</v>
      </c>
      <c r="N127" s="16">
        <f t="shared" si="13"/>
        <v>4966</v>
      </c>
      <c r="O127" s="29">
        <f t="shared" si="10"/>
        <v>4500</v>
      </c>
      <c r="P127" s="16">
        <f t="shared" si="11"/>
        <v>466</v>
      </c>
      <c r="Q127" s="28">
        <f>Master_Table[[#This Row],[△Sales Variance]]/Master_Table[[#This Row],[Sales Budget]]</f>
        <v>-3.9E-2</v>
      </c>
      <c r="R127" s="28">
        <f>Master_Table[[#This Row],[△Expense  Variance]]/Master_Table[[#This Row],[Expense Budget]]</f>
        <v>0.46666666666666667</v>
      </c>
      <c r="S127" s="28">
        <f>Master_Table[[#This Row],[Net Profit Variance]]/Master_Table[[#This Row],[Budget Net Profit]]</f>
        <v>0.10355555555555555</v>
      </c>
      <c r="T127" s="28">
        <f>Master_Table[[#This Row],[Actual Net Profit]]/Master_Table[[#This Row],[Actual Sales]]</f>
        <v>0.86125563648976755</v>
      </c>
      <c r="U127" s="28" t="str">
        <f>_xlfn.TEXTJOIN(" - ", TRUE, Master_Table[[#This Row],[Product]], Master_Table[[#This Row],[Branch]])</f>
        <v>Banana - Lagos</v>
      </c>
    </row>
    <row r="128" spans="1:21" ht="14.4" x14ac:dyDescent="0.3">
      <c r="A128" s="2">
        <v>127</v>
      </c>
      <c r="B128" s="2">
        <f t="shared" si="17"/>
        <v>102</v>
      </c>
      <c r="C128" s="1" t="str">
        <f>VLOOKUP(B128,Products!A:C,2,FALSE)</f>
        <v>Banana</v>
      </c>
      <c r="D128" s="1" t="str">
        <f t="shared" si="18"/>
        <v>Lagos</v>
      </c>
      <c r="E128" s="4" t="str">
        <f>_xlfn.XLOOKUP(D128,'Sales Manager'!$A$2:$A$6,'Sales Manager'!$B$2:$B$6,"")</f>
        <v>Adaora Okafor</v>
      </c>
      <c r="F128" s="3">
        <f t="shared" si="19"/>
        <v>7</v>
      </c>
      <c r="G128" s="1" t="str">
        <f t="shared" si="19"/>
        <v>Jul</v>
      </c>
      <c r="H128" s="11">
        <v>5000</v>
      </c>
      <c r="I128" s="11">
        <v>6267</v>
      </c>
      <c r="J128" s="11" cm="1">
        <f t="array" ref="J128">_xlfn.XLOOKUP(C128&amp;D128&amp;F128,Expense!$C$2:$C$601&amp;Expense!$D$2:$D$601&amp;Expense!$E$2:$E$601,Expense!$G$2:$G$601,"")</f>
        <v>1000</v>
      </c>
      <c r="K128" s="11" cm="1">
        <f t="array" ref="K128">_xlfn.XLOOKUP(C128&amp;D128&amp;F128,Expense!$C$2:$C$601&amp;Expense!$D$2:$D$601&amp;Expense!$E$2:$E$601,Expense!$H$2:$H$601,"")</f>
        <v>300</v>
      </c>
      <c r="L128" s="14">
        <f t="shared" si="12"/>
        <v>1267</v>
      </c>
      <c r="M128" s="14">
        <f>Master_Table[[#This Row],[Expense Budget]]-Master_Table[[#This Row],[Actual Expense]]</f>
        <v>700</v>
      </c>
      <c r="N128" s="16">
        <f t="shared" si="13"/>
        <v>5967</v>
      </c>
      <c r="O128" s="29">
        <f t="shared" si="10"/>
        <v>4000</v>
      </c>
      <c r="P128" s="16">
        <f t="shared" si="11"/>
        <v>1967</v>
      </c>
      <c r="Q128" s="28">
        <f>Master_Table[[#This Row],[△Sales Variance]]/Master_Table[[#This Row],[Sales Budget]]</f>
        <v>0.25340000000000001</v>
      </c>
      <c r="R128" s="28">
        <f>Master_Table[[#This Row],[△Expense  Variance]]/Master_Table[[#This Row],[Expense Budget]]</f>
        <v>0.7</v>
      </c>
      <c r="S128" s="28">
        <f>Master_Table[[#This Row],[Net Profit Variance]]/Master_Table[[#This Row],[Budget Net Profit]]</f>
        <v>0.49175000000000002</v>
      </c>
      <c r="T128" s="28">
        <f>Master_Table[[#This Row],[Actual Net Profit]]/Master_Table[[#This Row],[Actual Sales]]</f>
        <v>0.95213020584011487</v>
      </c>
      <c r="U128" s="28" t="str">
        <f>_xlfn.TEXTJOIN(" - ", TRUE, Master_Table[[#This Row],[Product]], Master_Table[[#This Row],[Branch]])</f>
        <v>Banana - Lagos</v>
      </c>
    </row>
    <row r="129" spans="1:21" ht="14.4" x14ac:dyDescent="0.3">
      <c r="A129" s="2">
        <v>128</v>
      </c>
      <c r="B129" s="2">
        <f t="shared" si="17"/>
        <v>102</v>
      </c>
      <c r="C129" s="1" t="str">
        <f>VLOOKUP(B129,Products!A:C,2,FALSE)</f>
        <v>Banana</v>
      </c>
      <c r="D129" s="1" t="str">
        <f t="shared" si="18"/>
        <v>Lagos</v>
      </c>
      <c r="E129" s="4" t="str">
        <f>_xlfn.XLOOKUP(D129,'Sales Manager'!$A$2:$A$6,'Sales Manager'!$B$2:$B$6,"")</f>
        <v>Adaora Okafor</v>
      </c>
      <c r="F129" s="3">
        <f t="shared" si="19"/>
        <v>8</v>
      </c>
      <c r="G129" s="1" t="str">
        <f t="shared" si="19"/>
        <v>Aug</v>
      </c>
      <c r="H129" s="11">
        <v>4000</v>
      </c>
      <c r="I129" s="11">
        <v>9103</v>
      </c>
      <c r="J129" s="11" cm="1">
        <f t="array" ref="J129">_xlfn.XLOOKUP(C129&amp;D129&amp;F129,Expense!$C$2:$C$601&amp;Expense!$D$2:$D$601&amp;Expense!$E$2:$E$601,Expense!$G$2:$G$601,"")</f>
        <v>2000</v>
      </c>
      <c r="K129" s="11" cm="1">
        <f t="array" ref="K129">_xlfn.XLOOKUP(C129&amp;D129&amp;F129,Expense!$C$2:$C$601&amp;Expense!$D$2:$D$601&amp;Expense!$E$2:$E$601,Expense!$H$2:$H$601,"")</f>
        <v>1900</v>
      </c>
      <c r="L129" s="14">
        <f t="shared" si="12"/>
        <v>5103</v>
      </c>
      <c r="M129" s="14">
        <f>Master_Table[[#This Row],[Expense Budget]]-Master_Table[[#This Row],[Actual Expense]]</f>
        <v>100</v>
      </c>
      <c r="N129" s="16">
        <f t="shared" si="13"/>
        <v>7203</v>
      </c>
      <c r="O129" s="29">
        <f t="shared" si="10"/>
        <v>2000</v>
      </c>
      <c r="P129" s="16">
        <f t="shared" si="11"/>
        <v>5203</v>
      </c>
      <c r="Q129" s="28">
        <f>Master_Table[[#This Row],[△Sales Variance]]/Master_Table[[#This Row],[Sales Budget]]</f>
        <v>1.2757499999999999</v>
      </c>
      <c r="R129" s="28">
        <f>Master_Table[[#This Row],[△Expense  Variance]]/Master_Table[[#This Row],[Expense Budget]]</f>
        <v>0.05</v>
      </c>
      <c r="S129" s="28">
        <f>Master_Table[[#This Row],[Net Profit Variance]]/Master_Table[[#This Row],[Budget Net Profit]]</f>
        <v>2.6015000000000001</v>
      </c>
      <c r="T129" s="28">
        <f>Master_Table[[#This Row],[Actual Net Profit]]/Master_Table[[#This Row],[Actual Sales]]</f>
        <v>0.791277600790948</v>
      </c>
      <c r="U129" s="28" t="str">
        <f>_xlfn.TEXTJOIN(" - ", TRUE, Master_Table[[#This Row],[Product]], Master_Table[[#This Row],[Branch]])</f>
        <v>Banana - Lagos</v>
      </c>
    </row>
    <row r="130" spans="1:21" ht="14.4" x14ac:dyDescent="0.3">
      <c r="A130" s="2">
        <v>129</v>
      </c>
      <c r="B130" s="2">
        <f t="shared" si="17"/>
        <v>102</v>
      </c>
      <c r="C130" s="1" t="str">
        <f>VLOOKUP(B130,Products!A:C,2,FALSE)</f>
        <v>Banana</v>
      </c>
      <c r="D130" s="1" t="str">
        <f t="shared" si="18"/>
        <v>Lagos</v>
      </c>
      <c r="E130" s="4" t="str">
        <f>_xlfn.XLOOKUP(D130,'Sales Manager'!$A$2:$A$6,'Sales Manager'!$B$2:$B$6,"")</f>
        <v>Adaora Okafor</v>
      </c>
      <c r="F130" s="3">
        <f t="shared" si="19"/>
        <v>9</v>
      </c>
      <c r="G130" s="1" t="str">
        <f t="shared" si="19"/>
        <v>Sept</v>
      </c>
      <c r="H130" s="11">
        <v>3000</v>
      </c>
      <c r="I130" s="11">
        <v>5341</v>
      </c>
      <c r="J130" s="11" cm="1">
        <f t="array" ref="J130">_xlfn.XLOOKUP(C130&amp;D130&amp;F130,Expense!$C$2:$C$601&amp;Expense!$D$2:$D$601&amp;Expense!$E$2:$E$601,Expense!$G$2:$G$601,"")</f>
        <v>1500</v>
      </c>
      <c r="K130" s="11" cm="1">
        <f t="array" ref="K130">_xlfn.XLOOKUP(C130&amp;D130&amp;F130,Expense!$C$2:$C$601&amp;Expense!$D$2:$D$601&amp;Expense!$E$2:$E$601,Expense!$H$2:$H$601,"")</f>
        <v>1100</v>
      </c>
      <c r="L130" s="14">
        <f t="shared" si="12"/>
        <v>2341</v>
      </c>
      <c r="M130" s="14">
        <f>Master_Table[[#This Row],[Expense Budget]]-Master_Table[[#This Row],[Actual Expense]]</f>
        <v>400</v>
      </c>
      <c r="N130" s="16">
        <f t="shared" si="13"/>
        <v>4241</v>
      </c>
      <c r="O130" s="29">
        <f t="shared" ref="O130:O193" si="20">H130-J130</f>
        <v>1500</v>
      </c>
      <c r="P130" s="16">
        <f t="shared" ref="P130:P193" si="21">N130-O130</f>
        <v>2741</v>
      </c>
      <c r="Q130" s="28">
        <f>Master_Table[[#This Row],[△Sales Variance]]/Master_Table[[#This Row],[Sales Budget]]</f>
        <v>0.78033333333333332</v>
      </c>
      <c r="R130" s="28">
        <f>Master_Table[[#This Row],[△Expense  Variance]]/Master_Table[[#This Row],[Expense Budget]]</f>
        <v>0.26666666666666666</v>
      </c>
      <c r="S130" s="28">
        <f>Master_Table[[#This Row],[Net Profit Variance]]/Master_Table[[#This Row],[Budget Net Profit]]</f>
        <v>1.8273333333333333</v>
      </c>
      <c r="T130" s="28">
        <f>Master_Table[[#This Row],[Actual Net Profit]]/Master_Table[[#This Row],[Actual Sales]]</f>
        <v>0.79404605879048862</v>
      </c>
      <c r="U130" s="28" t="str">
        <f>_xlfn.TEXTJOIN(" - ", TRUE, Master_Table[[#This Row],[Product]], Master_Table[[#This Row],[Branch]])</f>
        <v>Banana - Lagos</v>
      </c>
    </row>
    <row r="131" spans="1:21" ht="14.4" x14ac:dyDescent="0.3">
      <c r="A131" s="2">
        <v>130</v>
      </c>
      <c r="B131" s="2">
        <f t="shared" si="17"/>
        <v>102</v>
      </c>
      <c r="C131" s="1" t="str">
        <f>VLOOKUP(B131,Products!A:C,2,FALSE)</f>
        <v>Banana</v>
      </c>
      <c r="D131" s="1" t="str">
        <f t="shared" si="18"/>
        <v>Lagos</v>
      </c>
      <c r="E131" s="4" t="str">
        <f>_xlfn.XLOOKUP(D131,'Sales Manager'!$A$2:$A$6,'Sales Manager'!$B$2:$B$6,"")</f>
        <v>Adaora Okafor</v>
      </c>
      <c r="F131" s="3">
        <f t="shared" si="19"/>
        <v>10</v>
      </c>
      <c r="G131" s="1" t="str">
        <f t="shared" si="19"/>
        <v>Oct</v>
      </c>
      <c r="H131" s="11">
        <v>4000</v>
      </c>
      <c r="I131" s="11">
        <v>8972</v>
      </c>
      <c r="J131" s="11" cm="1">
        <f t="array" ref="J131">_xlfn.XLOOKUP(C131&amp;D131&amp;F131,Expense!$C$2:$C$601&amp;Expense!$D$2:$D$601&amp;Expense!$E$2:$E$601,Expense!$G$2:$G$601,"")</f>
        <v>1333.3333333333333</v>
      </c>
      <c r="K131" s="11" cm="1">
        <f t="array" ref="K131">_xlfn.XLOOKUP(C131&amp;D131&amp;F131,Expense!$C$2:$C$601&amp;Expense!$D$2:$D$601&amp;Expense!$E$2:$E$601,Expense!$H$2:$H$601,"")</f>
        <v>933.33333333333326</v>
      </c>
      <c r="L131" s="14">
        <f t="shared" ref="L131:L194" si="22">I131-H131</f>
        <v>4972</v>
      </c>
      <c r="M131" s="14">
        <f>Master_Table[[#This Row],[Expense Budget]]-Master_Table[[#This Row],[Actual Expense]]</f>
        <v>400</v>
      </c>
      <c r="N131" s="16">
        <f t="shared" ref="N131:N194" si="23">I131-K131</f>
        <v>8038.666666666667</v>
      </c>
      <c r="O131" s="29">
        <f t="shared" si="20"/>
        <v>2666.666666666667</v>
      </c>
      <c r="P131" s="16">
        <f t="shared" si="21"/>
        <v>5372</v>
      </c>
      <c r="Q131" s="28">
        <f>Master_Table[[#This Row],[△Sales Variance]]/Master_Table[[#This Row],[Sales Budget]]</f>
        <v>1.2430000000000001</v>
      </c>
      <c r="R131" s="28">
        <f>Master_Table[[#This Row],[△Expense  Variance]]/Master_Table[[#This Row],[Expense Budget]]</f>
        <v>0.30000000000000004</v>
      </c>
      <c r="S131" s="28">
        <f>Master_Table[[#This Row],[Net Profit Variance]]/Master_Table[[#This Row],[Budget Net Profit]]</f>
        <v>2.0145</v>
      </c>
      <c r="T131" s="28">
        <f>Master_Table[[#This Row],[Actual Net Profit]]/Master_Table[[#This Row],[Actual Sales]]</f>
        <v>0.89597265566949025</v>
      </c>
      <c r="U131" s="28" t="str">
        <f>_xlfn.TEXTJOIN(" - ", TRUE, Master_Table[[#This Row],[Product]], Master_Table[[#This Row],[Branch]])</f>
        <v>Banana - Lagos</v>
      </c>
    </row>
    <row r="132" spans="1:21" ht="14.4" x14ac:dyDescent="0.3">
      <c r="A132" s="2">
        <v>131</v>
      </c>
      <c r="B132" s="2">
        <f t="shared" si="17"/>
        <v>102</v>
      </c>
      <c r="C132" s="1" t="str">
        <f>VLOOKUP(B132,Products!A:C,2,FALSE)</f>
        <v>Banana</v>
      </c>
      <c r="D132" s="1" t="str">
        <f t="shared" si="18"/>
        <v>Lagos</v>
      </c>
      <c r="E132" s="4" t="str">
        <f>_xlfn.XLOOKUP(D132,'Sales Manager'!$A$2:$A$6,'Sales Manager'!$B$2:$B$6,"")</f>
        <v>Adaora Okafor</v>
      </c>
      <c r="F132" s="3">
        <f t="shared" si="19"/>
        <v>11</v>
      </c>
      <c r="G132" s="1" t="str">
        <f t="shared" si="19"/>
        <v>Nov</v>
      </c>
      <c r="H132" s="11">
        <v>6000</v>
      </c>
      <c r="I132" s="11">
        <v>4111</v>
      </c>
      <c r="J132" s="11" cm="1">
        <f t="array" ref="J132">_xlfn.XLOOKUP(C132&amp;D132&amp;F132,Expense!$C$2:$C$601&amp;Expense!$D$2:$D$601&amp;Expense!$E$2:$E$601,Expense!$G$2:$G$601,"")</f>
        <v>1200</v>
      </c>
      <c r="K132" s="11" cm="1">
        <f t="array" ref="K132">_xlfn.XLOOKUP(C132&amp;D132&amp;F132,Expense!$C$2:$C$601&amp;Expense!$D$2:$D$601&amp;Expense!$E$2:$E$601,Expense!$H$2:$H$601,"")</f>
        <v>1100</v>
      </c>
      <c r="L132" s="14">
        <f t="shared" si="22"/>
        <v>-1889</v>
      </c>
      <c r="M132" s="14">
        <f>Master_Table[[#This Row],[Expense Budget]]-Master_Table[[#This Row],[Actual Expense]]</f>
        <v>100</v>
      </c>
      <c r="N132" s="16">
        <f t="shared" si="23"/>
        <v>3011</v>
      </c>
      <c r="O132" s="29">
        <f t="shared" si="20"/>
        <v>4800</v>
      </c>
      <c r="P132" s="16">
        <f t="shared" si="21"/>
        <v>-1789</v>
      </c>
      <c r="Q132" s="28">
        <f>Master_Table[[#This Row],[△Sales Variance]]/Master_Table[[#This Row],[Sales Budget]]</f>
        <v>-0.31483333333333335</v>
      </c>
      <c r="R132" s="28">
        <f>Master_Table[[#This Row],[△Expense  Variance]]/Master_Table[[#This Row],[Expense Budget]]</f>
        <v>8.3333333333333329E-2</v>
      </c>
      <c r="S132" s="28">
        <f>Master_Table[[#This Row],[Net Profit Variance]]/Master_Table[[#This Row],[Budget Net Profit]]</f>
        <v>-0.37270833333333331</v>
      </c>
      <c r="T132" s="28">
        <f>Master_Table[[#This Row],[Actual Net Profit]]/Master_Table[[#This Row],[Actual Sales]]</f>
        <v>0.73242520068109951</v>
      </c>
      <c r="U132" s="28" t="str">
        <f>_xlfn.TEXTJOIN(" - ", TRUE, Master_Table[[#This Row],[Product]], Master_Table[[#This Row],[Branch]])</f>
        <v>Banana - Lagos</v>
      </c>
    </row>
    <row r="133" spans="1:21" ht="14.4" x14ac:dyDescent="0.3">
      <c r="A133" s="2">
        <v>132</v>
      </c>
      <c r="B133" s="2">
        <f t="shared" si="17"/>
        <v>102</v>
      </c>
      <c r="C133" s="1" t="str">
        <f>VLOOKUP(B133,Products!A:C,2,FALSE)</f>
        <v>Banana</v>
      </c>
      <c r="D133" s="1" t="str">
        <f t="shared" si="18"/>
        <v>Lagos</v>
      </c>
      <c r="E133" s="4" t="str">
        <f>_xlfn.XLOOKUP(D133,'Sales Manager'!$A$2:$A$6,'Sales Manager'!$B$2:$B$6,"")</f>
        <v>Adaora Okafor</v>
      </c>
      <c r="F133" s="3">
        <f t="shared" si="19"/>
        <v>12</v>
      </c>
      <c r="G133" s="1" t="str">
        <f t="shared" si="19"/>
        <v>Dec</v>
      </c>
      <c r="H133" s="11">
        <v>4000</v>
      </c>
      <c r="I133" s="11">
        <v>4667</v>
      </c>
      <c r="J133" s="11" cm="1">
        <f t="array" ref="J133">_xlfn.XLOOKUP(C133&amp;D133&amp;F133,Expense!$C$2:$C$601&amp;Expense!$D$2:$D$601&amp;Expense!$E$2:$E$601,Expense!$G$2:$G$601,"")</f>
        <v>800</v>
      </c>
      <c r="K133" s="11" cm="1">
        <f t="array" ref="K133">_xlfn.XLOOKUP(C133&amp;D133&amp;F133,Expense!$C$2:$C$601&amp;Expense!$D$2:$D$601&amp;Expense!$E$2:$E$601,Expense!$H$2:$H$601,"")</f>
        <v>600</v>
      </c>
      <c r="L133" s="14">
        <f t="shared" si="22"/>
        <v>667</v>
      </c>
      <c r="M133" s="14">
        <f>Master_Table[[#This Row],[Expense Budget]]-Master_Table[[#This Row],[Actual Expense]]</f>
        <v>200</v>
      </c>
      <c r="N133" s="16">
        <f t="shared" si="23"/>
        <v>4067</v>
      </c>
      <c r="O133" s="29">
        <f t="shared" si="20"/>
        <v>3200</v>
      </c>
      <c r="P133" s="16">
        <f t="shared" si="21"/>
        <v>867</v>
      </c>
      <c r="Q133" s="28">
        <f>Master_Table[[#This Row],[△Sales Variance]]/Master_Table[[#This Row],[Sales Budget]]</f>
        <v>0.16675000000000001</v>
      </c>
      <c r="R133" s="28">
        <f>Master_Table[[#This Row],[△Expense  Variance]]/Master_Table[[#This Row],[Expense Budget]]</f>
        <v>0.25</v>
      </c>
      <c r="S133" s="28">
        <f>Master_Table[[#This Row],[Net Profit Variance]]/Master_Table[[#This Row],[Budget Net Profit]]</f>
        <v>0.2709375</v>
      </c>
      <c r="T133" s="28">
        <f>Master_Table[[#This Row],[Actual Net Profit]]/Master_Table[[#This Row],[Actual Sales]]</f>
        <v>0.87143775444611105</v>
      </c>
      <c r="U133" s="28" t="str">
        <f>_xlfn.TEXTJOIN(" - ", TRUE, Master_Table[[#This Row],[Product]], Master_Table[[#This Row],[Branch]])</f>
        <v>Banana - Lagos</v>
      </c>
    </row>
    <row r="134" spans="1:21" ht="14.4" x14ac:dyDescent="0.3">
      <c r="A134" s="2">
        <v>133</v>
      </c>
      <c r="B134" s="2">
        <f t="shared" si="17"/>
        <v>102</v>
      </c>
      <c r="C134" s="1" t="str">
        <f>VLOOKUP(B134,Products!A:C,2,FALSE)</f>
        <v>Banana</v>
      </c>
      <c r="D134" s="1" t="str">
        <f t="shared" si="18"/>
        <v>Abuja</v>
      </c>
      <c r="E134" s="4" t="str">
        <f>_xlfn.XLOOKUP(D134,'Sales Manager'!$A$2:$A$6,'Sales Manager'!$B$2:$B$6,"")</f>
        <v>Emeka Nwosu</v>
      </c>
      <c r="F134" s="3">
        <f t="shared" si="19"/>
        <v>1</v>
      </c>
      <c r="G134" s="1" t="str">
        <f t="shared" si="19"/>
        <v>Jan</v>
      </c>
      <c r="H134" s="11">
        <v>6000</v>
      </c>
      <c r="I134" s="11">
        <v>2115</v>
      </c>
      <c r="J134" s="11" cm="1">
        <f t="array" ref="J134">_xlfn.XLOOKUP(C134&amp;D134&amp;F134,Expense!$C$2:$C$601&amp;Expense!$D$2:$D$601&amp;Expense!$E$2:$E$601,Expense!$G$2:$G$601,"")</f>
        <v>1200</v>
      </c>
      <c r="K134" s="11" cm="1">
        <f t="array" ref="K134">_xlfn.XLOOKUP(C134&amp;D134&amp;F134,Expense!$C$2:$C$601&amp;Expense!$D$2:$D$601&amp;Expense!$E$2:$E$601,Expense!$H$2:$H$601,"")</f>
        <v>1200</v>
      </c>
      <c r="L134" s="14">
        <f t="shared" si="22"/>
        <v>-3885</v>
      </c>
      <c r="M134" s="14">
        <f>Master_Table[[#This Row],[Expense Budget]]-Master_Table[[#This Row],[Actual Expense]]</f>
        <v>0</v>
      </c>
      <c r="N134" s="16">
        <f t="shared" si="23"/>
        <v>915</v>
      </c>
      <c r="O134" s="29">
        <f t="shared" si="20"/>
        <v>4800</v>
      </c>
      <c r="P134" s="16">
        <f t="shared" si="21"/>
        <v>-3885</v>
      </c>
      <c r="Q134" s="28">
        <f>Master_Table[[#This Row],[△Sales Variance]]/Master_Table[[#This Row],[Sales Budget]]</f>
        <v>-0.64749999999999996</v>
      </c>
      <c r="R134" s="28">
        <f>Master_Table[[#This Row],[△Expense  Variance]]/Master_Table[[#This Row],[Expense Budget]]</f>
        <v>0</v>
      </c>
      <c r="S134" s="28">
        <f>Master_Table[[#This Row],[Net Profit Variance]]/Master_Table[[#This Row],[Budget Net Profit]]</f>
        <v>-0.80937499999999996</v>
      </c>
      <c r="T134" s="28">
        <f>Master_Table[[#This Row],[Actual Net Profit]]/Master_Table[[#This Row],[Actual Sales]]</f>
        <v>0.43262411347517732</v>
      </c>
      <c r="U134" s="28" t="str">
        <f>_xlfn.TEXTJOIN(" - ", TRUE, Master_Table[[#This Row],[Product]], Master_Table[[#This Row],[Branch]])</f>
        <v>Banana - Abuja</v>
      </c>
    </row>
    <row r="135" spans="1:21" ht="14.4" x14ac:dyDescent="0.3">
      <c r="A135" s="2">
        <v>134</v>
      </c>
      <c r="B135" s="2">
        <f t="shared" si="17"/>
        <v>102</v>
      </c>
      <c r="C135" s="1" t="str">
        <f>VLOOKUP(B135,Products!A:C,2,FALSE)</f>
        <v>Banana</v>
      </c>
      <c r="D135" s="1" t="str">
        <f t="shared" si="18"/>
        <v>Abuja</v>
      </c>
      <c r="E135" s="4" t="str">
        <f>_xlfn.XLOOKUP(D135,'Sales Manager'!$A$2:$A$6,'Sales Manager'!$B$2:$B$6,"")</f>
        <v>Emeka Nwosu</v>
      </c>
      <c r="F135" s="3">
        <f t="shared" si="19"/>
        <v>2</v>
      </c>
      <c r="G135" s="1" t="str">
        <f t="shared" si="19"/>
        <v>Feb</v>
      </c>
      <c r="H135" s="11">
        <v>3000</v>
      </c>
      <c r="I135" s="11">
        <v>8165</v>
      </c>
      <c r="J135" s="11" cm="1">
        <f t="array" ref="J135">_xlfn.XLOOKUP(C135&amp;D135&amp;F135,Expense!$C$2:$C$601&amp;Expense!$D$2:$D$601&amp;Expense!$E$2:$E$601,Expense!$G$2:$G$601,"")</f>
        <v>750</v>
      </c>
      <c r="K135" s="11" cm="1">
        <f t="array" ref="K135">_xlfn.XLOOKUP(C135&amp;D135&amp;F135,Expense!$C$2:$C$601&amp;Expense!$D$2:$D$601&amp;Expense!$E$2:$E$601,Expense!$H$2:$H$601,"")</f>
        <v>350</v>
      </c>
      <c r="L135" s="14">
        <f t="shared" si="22"/>
        <v>5165</v>
      </c>
      <c r="M135" s="14">
        <f>Master_Table[[#This Row],[Expense Budget]]-Master_Table[[#This Row],[Actual Expense]]</f>
        <v>400</v>
      </c>
      <c r="N135" s="16">
        <f t="shared" si="23"/>
        <v>7815</v>
      </c>
      <c r="O135" s="29">
        <f t="shared" si="20"/>
        <v>2250</v>
      </c>
      <c r="P135" s="16">
        <f t="shared" si="21"/>
        <v>5565</v>
      </c>
      <c r="Q135" s="28">
        <f>Master_Table[[#This Row],[△Sales Variance]]/Master_Table[[#This Row],[Sales Budget]]</f>
        <v>1.7216666666666667</v>
      </c>
      <c r="R135" s="28">
        <f>Master_Table[[#This Row],[△Expense  Variance]]/Master_Table[[#This Row],[Expense Budget]]</f>
        <v>0.53333333333333333</v>
      </c>
      <c r="S135" s="28">
        <f>Master_Table[[#This Row],[Net Profit Variance]]/Master_Table[[#This Row],[Budget Net Profit]]</f>
        <v>2.4733333333333332</v>
      </c>
      <c r="T135" s="28">
        <f>Master_Table[[#This Row],[Actual Net Profit]]/Master_Table[[#This Row],[Actual Sales]]</f>
        <v>0.95713410900183715</v>
      </c>
      <c r="U135" s="28" t="str">
        <f>_xlfn.TEXTJOIN(" - ", TRUE, Master_Table[[#This Row],[Product]], Master_Table[[#This Row],[Branch]])</f>
        <v>Banana - Abuja</v>
      </c>
    </row>
    <row r="136" spans="1:21" ht="14.4" x14ac:dyDescent="0.3">
      <c r="A136" s="2">
        <v>135</v>
      </c>
      <c r="B136" s="2">
        <f t="shared" si="17"/>
        <v>102</v>
      </c>
      <c r="C136" s="1" t="str">
        <f>VLOOKUP(B136,Products!A:C,2,FALSE)</f>
        <v>Banana</v>
      </c>
      <c r="D136" s="1" t="str">
        <f t="shared" si="18"/>
        <v>Abuja</v>
      </c>
      <c r="E136" s="4" t="str">
        <f>_xlfn.XLOOKUP(D136,'Sales Manager'!$A$2:$A$6,'Sales Manager'!$B$2:$B$6,"")</f>
        <v>Emeka Nwosu</v>
      </c>
      <c r="F136" s="3">
        <f t="shared" si="19"/>
        <v>3</v>
      </c>
      <c r="G136" s="1" t="str">
        <f t="shared" si="19"/>
        <v>Mar</v>
      </c>
      <c r="H136" s="11">
        <v>2000</v>
      </c>
      <c r="I136" s="11">
        <v>5344</v>
      </c>
      <c r="J136" s="11" cm="1">
        <f t="array" ref="J136">_xlfn.XLOOKUP(C136&amp;D136&amp;F136,Expense!$C$2:$C$601&amp;Expense!$D$2:$D$601&amp;Expense!$E$2:$E$601,Expense!$G$2:$G$601,"")</f>
        <v>500</v>
      </c>
      <c r="K136" s="11" cm="1">
        <f t="array" ref="K136">_xlfn.XLOOKUP(C136&amp;D136&amp;F136,Expense!$C$2:$C$601&amp;Expense!$D$2:$D$601&amp;Expense!$E$2:$E$601,Expense!$H$2:$H$601,"")</f>
        <v>500</v>
      </c>
      <c r="L136" s="14">
        <f t="shared" si="22"/>
        <v>3344</v>
      </c>
      <c r="M136" s="14">
        <f>Master_Table[[#This Row],[Expense Budget]]-Master_Table[[#This Row],[Actual Expense]]</f>
        <v>0</v>
      </c>
      <c r="N136" s="16">
        <f t="shared" si="23"/>
        <v>4844</v>
      </c>
      <c r="O136" s="29">
        <f t="shared" si="20"/>
        <v>1500</v>
      </c>
      <c r="P136" s="16">
        <f t="shared" si="21"/>
        <v>3344</v>
      </c>
      <c r="Q136" s="28">
        <f>Master_Table[[#This Row],[△Sales Variance]]/Master_Table[[#This Row],[Sales Budget]]</f>
        <v>1.6719999999999999</v>
      </c>
      <c r="R136" s="28">
        <f>Master_Table[[#This Row],[△Expense  Variance]]/Master_Table[[#This Row],[Expense Budget]]</f>
        <v>0</v>
      </c>
      <c r="S136" s="28">
        <f>Master_Table[[#This Row],[Net Profit Variance]]/Master_Table[[#This Row],[Budget Net Profit]]</f>
        <v>2.2293333333333334</v>
      </c>
      <c r="T136" s="28">
        <f>Master_Table[[#This Row],[Actual Net Profit]]/Master_Table[[#This Row],[Actual Sales]]</f>
        <v>0.90643712574850299</v>
      </c>
      <c r="U136" s="28" t="str">
        <f>_xlfn.TEXTJOIN(" - ", TRUE, Master_Table[[#This Row],[Product]], Master_Table[[#This Row],[Branch]])</f>
        <v>Banana - Abuja</v>
      </c>
    </row>
    <row r="137" spans="1:21" ht="14.4" x14ac:dyDescent="0.3">
      <c r="A137" s="2">
        <v>136</v>
      </c>
      <c r="B137" s="2">
        <f t="shared" si="17"/>
        <v>102</v>
      </c>
      <c r="C137" s="1" t="str">
        <f>VLOOKUP(B137,Products!A:C,2,FALSE)</f>
        <v>Banana</v>
      </c>
      <c r="D137" s="1" t="str">
        <f t="shared" si="18"/>
        <v>Abuja</v>
      </c>
      <c r="E137" s="4" t="str">
        <f>_xlfn.XLOOKUP(D137,'Sales Manager'!$A$2:$A$6,'Sales Manager'!$B$2:$B$6,"")</f>
        <v>Emeka Nwosu</v>
      </c>
      <c r="F137" s="3">
        <f t="shared" si="19"/>
        <v>4</v>
      </c>
      <c r="G137" s="1" t="str">
        <f t="shared" si="19"/>
        <v>Apr</v>
      </c>
      <c r="H137" s="11">
        <v>4000</v>
      </c>
      <c r="I137" s="11">
        <v>2882</v>
      </c>
      <c r="J137" s="11" cm="1">
        <f t="array" ref="J137">_xlfn.XLOOKUP(C137&amp;D137&amp;F137,Expense!$C$2:$C$601&amp;Expense!$D$2:$D$601&amp;Expense!$E$2:$E$601,Expense!$G$2:$G$601,"")</f>
        <v>1333.3333333333333</v>
      </c>
      <c r="K137" s="11" cm="1">
        <f t="array" ref="K137">_xlfn.XLOOKUP(C137&amp;D137&amp;F137,Expense!$C$2:$C$601&amp;Expense!$D$2:$D$601&amp;Expense!$E$2:$E$601,Expense!$H$2:$H$601,"")</f>
        <v>833.33333333333326</v>
      </c>
      <c r="L137" s="14">
        <f t="shared" si="22"/>
        <v>-1118</v>
      </c>
      <c r="M137" s="14">
        <f>Master_Table[[#This Row],[Expense Budget]]-Master_Table[[#This Row],[Actual Expense]]</f>
        <v>500</v>
      </c>
      <c r="N137" s="16">
        <f t="shared" si="23"/>
        <v>2048.666666666667</v>
      </c>
      <c r="O137" s="29">
        <f t="shared" si="20"/>
        <v>2666.666666666667</v>
      </c>
      <c r="P137" s="16">
        <f t="shared" si="21"/>
        <v>-618</v>
      </c>
      <c r="Q137" s="28">
        <f>Master_Table[[#This Row],[△Sales Variance]]/Master_Table[[#This Row],[Sales Budget]]</f>
        <v>-0.27950000000000003</v>
      </c>
      <c r="R137" s="28">
        <f>Master_Table[[#This Row],[△Expense  Variance]]/Master_Table[[#This Row],[Expense Budget]]</f>
        <v>0.375</v>
      </c>
      <c r="S137" s="28">
        <f>Master_Table[[#This Row],[Net Profit Variance]]/Master_Table[[#This Row],[Budget Net Profit]]</f>
        <v>-0.23174999999999998</v>
      </c>
      <c r="T137" s="28">
        <f>Master_Table[[#This Row],[Actual Net Profit]]/Master_Table[[#This Row],[Actual Sales]]</f>
        <v>0.71084894749016891</v>
      </c>
      <c r="U137" s="28" t="str">
        <f>_xlfn.TEXTJOIN(" - ", TRUE, Master_Table[[#This Row],[Product]], Master_Table[[#This Row],[Branch]])</f>
        <v>Banana - Abuja</v>
      </c>
    </row>
    <row r="138" spans="1:21" ht="14.4" x14ac:dyDescent="0.3">
      <c r="A138" s="2">
        <v>137</v>
      </c>
      <c r="B138" s="2">
        <f t="shared" si="17"/>
        <v>102</v>
      </c>
      <c r="C138" s="1" t="str">
        <f>VLOOKUP(B138,Products!A:C,2,FALSE)</f>
        <v>Banana</v>
      </c>
      <c r="D138" s="1" t="str">
        <f t="shared" si="18"/>
        <v>Abuja</v>
      </c>
      <c r="E138" s="4" t="str">
        <f>_xlfn.XLOOKUP(D138,'Sales Manager'!$A$2:$A$6,'Sales Manager'!$B$2:$B$6,"")</f>
        <v>Emeka Nwosu</v>
      </c>
      <c r="F138" s="3">
        <f t="shared" si="19"/>
        <v>5</v>
      </c>
      <c r="G138" s="1" t="str">
        <f t="shared" si="19"/>
        <v>May</v>
      </c>
      <c r="H138" s="11">
        <v>2000</v>
      </c>
      <c r="I138" s="11">
        <v>5223</v>
      </c>
      <c r="J138" s="11" cm="1">
        <f t="array" ref="J138">_xlfn.XLOOKUP(C138&amp;D138&amp;F138,Expense!$C$2:$C$601&amp;Expense!$D$2:$D$601&amp;Expense!$E$2:$E$601,Expense!$G$2:$G$601,"")</f>
        <v>1000</v>
      </c>
      <c r="K138" s="11" cm="1">
        <f t="array" ref="K138">_xlfn.XLOOKUP(C138&amp;D138&amp;F138,Expense!$C$2:$C$601&amp;Expense!$D$2:$D$601&amp;Expense!$E$2:$E$601,Expense!$H$2:$H$601,"")</f>
        <v>1000</v>
      </c>
      <c r="L138" s="14">
        <f t="shared" si="22"/>
        <v>3223</v>
      </c>
      <c r="M138" s="14">
        <f>Master_Table[[#This Row],[Expense Budget]]-Master_Table[[#This Row],[Actual Expense]]</f>
        <v>0</v>
      </c>
      <c r="N138" s="16">
        <f t="shared" si="23"/>
        <v>4223</v>
      </c>
      <c r="O138" s="29">
        <f t="shared" si="20"/>
        <v>1000</v>
      </c>
      <c r="P138" s="16">
        <f t="shared" si="21"/>
        <v>3223</v>
      </c>
      <c r="Q138" s="28">
        <f>Master_Table[[#This Row],[△Sales Variance]]/Master_Table[[#This Row],[Sales Budget]]</f>
        <v>1.6114999999999999</v>
      </c>
      <c r="R138" s="28">
        <f>Master_Table[[#This Row],[△Expense  Variance]]/Master_Table[[#This Row],[Expense Budget]]</f>
        <v>0</v>
      </c>
      <c r="S138" s="28">
        <f>Master_Table[[#This Row],[Net Profit Variance]]/Master_Table[[#This Row],[Budget Net Profit]]</f>
        <v>3.2229999999999999</v>
      </c>
      <c r="T138" s="28">
        <f>Master_Table[[#This Row],[Actual Net Profit]]/Master_Table[[#This Row],[Actual Sales]]</f>
        <v>0.80853915374305951</v>
      </c>
      <c r="U138" s="28" t="str">
        <f>_xlfn.TEXTJOIN(" - ", TRUE, Master_Table[[#This Row],[Product]], Master_Table[[#This Row],[Branch]])</f>
        <v>Banana - Abuja</v>
      </c>
    </row>
    <row r="139" spans="1:21" ht="14.4" x14ac:dyDescent="0.3">
      <c r="A139" s="2">
        <v>138</v>
      </c>
      <c r="B139" s="2">
        <f t="shared" si="17"/>
        <v>102</v>
      </c>
      <c r="C139" s="1" t="str">
        <f>VLOOKUP(B139,Products!A:C,2,FALSE)</f>
        <v>Banana</v>
      </c>
      <c r="D139" s="1" t="str">
        <f t="shared" si="18"/>
        <v>Abuja</v>
      </c>
      <c r="E139" s="4" t="str">
        <f>_xlfn.XLOOKUP(D139,'Sales Manager'!$A$2:$A$6,'Sales Manager'!$B$2:$B$6,"")</f>
        <v>Emeka Nwosu</v>
      </c>
      <c r="F139" s="3">
        <f t="shared" si="19"/>
        <v>6</v>
      </c>
      <c r="G139" s="1" t="str">
        <f t="shared" si="19"/>
        <v>Jun</v>
      </c>
      <c r="H139" s="11">
        <v>2000</v>
      </c>
      <c r="I139" s="11">
        <v>2154</v>
      </c>
      <c r="J139" s="11" cm="1">
        <f t="array" ref="J139">_xlfn.XLOOKUP(C139&amp;D139&amp;F139,Expense!$C$2:$C$601&amp;Expense!$D$2:$D$601&amp;Expense!$E$2:$E$601,Expense!$G$2:$G$601,"")</f>
        <v>500</v>
      </c>
      <c r="K139" s="11" cm="1">
        <f t="array" ref="K139">_xlfn.XLOOKUP(C139&amp;D139&amp;F139,Expense!$C$2:$C$601&amp;Expense!$D$2:$D$601&amp;Expense!$E$2:$E$601,Expense!$H$2:$H$601,"")</f>
        <v>500</v>
      </c>
      <c r="L139" s="14">
        <f t="shared" si="22"/>
        <v>154</v>
      </c>
      <c r="M139" s="14">
        <f>Master_Table[[#This Row],[Expense Budget]]-Master_Table[[#This Row],[Actual Expense]]</f>
        <v>0</v>
      </c>
      <c r="N139" s="16">
        <f t="shared" si="23"/>
        <v>1654</v>
      </c>
      <c r="O139" s="29">
        <f t="shared" si="20"/>
        <v>1500</v>
      </c>
      <c r="P139" s="16">
        <f t="shared" si="21"/>
        <v>154</v>
      </c>
      <c r="Q139" s="28">
        <f>Master_Table[[#This Row],[△Sales Variance]]/Master_Table[[#This Row],[Sales Budget]]</f>
        <v>7.6999999999999999E-2</v>
      </c>
      <c r="R139" s="28">
        <f>Master_Table[[#This Row],[△Expense  Variance]]/Master_Table[[#This Row],[Expense Budget]]</f>
        <v>0</v>
      </c>
      <c r="S139" s="28">
        <f>Master_Table[[#This Row],[Net Profit Variance]]/Master_Table[[#This Row],[Budget Net Profit]]</f>
        <v>0.10266666666666667</v>
      </c>
      <c r="T139" s="28">
        <f>Master_Table[[#This Row],[Actual Net Profit]]/Master_Table[[#This Row],[Actual Sales]]</f>
        <v>0.76787372330547821</v>
      </c>
      <c r="U139" s="28" t="str">
        <f>_xlfn.TEXTJOIN(" - ", TRUE, Master_Table[[#This Row],[Product]], Master_Table[[#This Row],[Branch]])</f>
        <v>Banana - Abuja</v>
      </c>
    </row>
    <row r="140" spans="1:21" ht="14.4" x14ac:dyDescent="0.3">
      <c r="A140" s="2">
        <v>139</v>
      </c>
      <c r="B140" s="2">
        <f t="shared" si="17"/>
        <v>102</v>
      </c>
      <c r="C140" s="1" t="str">
        <f>VLOOKUP(B140,Products!A:C,2,FALSE)</f>
        <v>Banana</v>
      </c>
      <c r="D140" s="1" t="str">
        <f t="shared" si="18"/>
        <v>Abuja</v>
      </c>
      <c r="E140" s="4" t="str">
        <f>_xlfn.XLOOKUP(D140,'Sales Manager'!$A$2:$A$6,'Sales Manager'!$B$2:$B$6,"")</f>
        <v>Emeka Nwosu</v>
      </c>
      <c r="F140" s="3">
        <f t="shared" si="19"/>
        <v>7</v>
      </c>
      <c r="G140" s="1" t="str">
        <f t="shared" si="19"/>
        <v>Jul</v>
      </c>
      <c r="H140" s="11">
        <v>2000</v>
      </c>
      <c r="I140" s="11">
        <v>3534</v>
      </c>
      <c r="J140" s="11" cm="1">
        <f t="array" ref="J140">_xlfn.XLOOKUP(C140&amp;D140&amp;F140,Expense!$C$2:$C$601&amp;Expense!$D$2:$D$601&amp;Expense!$E$2:$E$601,Expense!$G$2:$G$601,"")</f>
        <v>500</v>
      </c>
      <c r="K140" s="11" cm="1">
        <f t="array" ref="K140">_xlfn.XLOOKUP(C140&amp;D140&amp;F140,Expense!$C$2:$C$601&amp;Expense!$D$2:$D$601&amp;Expense!$E$2:$E$601,Expense!$H$2:$H$601,"")</f>
        <v>300</v>
      </c>
      <c r="L140" s="14">
        <f t="shared" si="22"/>
        <v>1534</v>
      </c>
      <c r="M140" s="14">
        <f>Master_Table[[#This Row],[Expense Budget]]-Master_Table[[#This Row],[Actual Expense]]</f>
        <v>200</v>
      </c>
      <c r="N140" s="16">
        <f t="shared" si="23"/>
        <v>3234</v>
      </c>
      <c r="O140" s="29">
        <f t="shared" si="20"/>
        <v>1500</v>
      </c>
      <c r="P140" s="16">
        <f t="shared" si="21"/>
        <v>1734</v>
      </c>
      <c r="Q140" s="28">
        <f>Master_Table[[#This Row],[△Sales Variance]]/Master_Table[[#This Row],[Sales Budget]]</f>
        <v>0.76700000000000002</v>
      </c>
      <c r="R140" s="28">
        <f>Master_Table[[#This Row],[△Expense  Variance]]/Master_Table[[#This Row],[Expense Budget]]</f>
        <v>0.4</v>
      </c>
      <c r="S140" s="28">
        <f>Master_Table[[#This Row],[Net Profit Variance]]/Master_Table[[#This Row],[Budget Net Profit]]</f>
        <v>1.1559999999999999</v>
      </c>
      <c r="T140" s="28">
        <f>Master_Table[[#This Row],[Actual Net Profit]]/Master_Table[[#This Row],[Actual Sales]]</f>
        <v>0.91511035653650252</v>
      </c>
      <c r="U140" s="28" t="str">
        <f>_xlfn.TEXTJOIN(" - ", TRUE, Master_Table[[#This Row],[Product]], Master_Table[[#This Row],[Branch]])</f>
        <v>Banana - Abuja</v>
      </c>
    </row>
    <row r="141" spans="1:21" ht="14.4" x14ac:dyDescent="0.3">
      <c r="A141" s="2">
        <v>140</v>
      </c>
      <c r="B141" s="2">
        <f t="shared" si="17"/>
        <v>102</v>
      </c>
      <c r="C141" s="1" t="str">
        <f>VLOOKUP(B141,Products!A:C,2,FALSE)</f>
        <v>Banana</v>
      </c>
      <c r="D141" s="1" t="str">
        <f t="shared" si="18"/>
        <v>Abuja</v>
      </c>
      <c r="E141" s="4" t="str">
        <f>_xlfn.XLOOKUP(D141,'Sales Manager'!$A$2:$A$6,'Sales Manager'!$B$2:$B$6,"")</f>
        <v>Emeka Nwosu</v>
      </c>
      <c r="F141" s="3">
        <f t="shared" si="19"/>
        <v>8</v>
      </c>
      <c r="G141" s="1" t="str">
        <f t="shared" si="19"/>
        <v>Aug</v>
      </c>
      <c r="H141" s="11">
        <v>6000</v>
      </c>
      <c r="I141" s="11">
        <v>4122</v>
      </c>
      <c r="J141" s="11" cm="1">
        <f t="array" ref="J141">_xlfn.XLOOKUP(C141&amp;D141&amp;F141,Expense!$C$2:$C$601&amp;Expense!$D$2:$D$601&amp;Expense!$E$2:$E$601,Expense!$G$2:$G$601,"")</f>
        <v>3000</v>
      </c>
      <c r="K141" s="11" cm="1">
        <f t="array" ref="K141">_xlfn.XLOOKUP(C141&amp;D141&amp;F141,Expense!$C$2:$C$601&amp;Expense!$D$2:$D$601&amp;Expense!$E$2:$E$601,Expense!$H$2:$H$601,"")</f>
        <v>2600</v>
      </c>
      <c r="L141" s="14">
        <f t="shared" si="22"/>
        <v>-1878</v>
      </c>
      <c r="M141" s="14">
        <f>Master_Table[[#This Row],[Expense Budget]]-Master_Table[[#This Row],[Actual Expense]]</f>
        <v>400</v>
      </c>
      <c r="N141" s="16">
        <f t="shared" si="23"/>
        <v>1522</v>
      </c>
      <c r="O141" s="29">
        <f t="shared" si="20"/>
        <v>3000</v>
      </c>
      <c r="P141" s="16">
        <f t="shared" si="21"/>
        <v>-1478</v>
      </c>
      <c r="Q141" s="28">
        <f>Master_Table[[#This Row],[△Sales Variance]]/Master_Table[[#This Row],[Sales Budget]]</f>
        <v>-0.313</v>
      </c>
      <c r="R141" s="28">
        <f>Master_Table[[#This Row],[△Expense  Variance]]/Master_Table[[#This Row],[Expense Budget]]</f>
        <v>0.13333333333333333</v>
      </c>
      <c r="S141" s="28">
        <f>Master_Table[[#This Row],[Net Profit Variance]]/Master_Table[[#This Row],[Budget Net Profit]]</f>
        <v>-0.49266666666666664</v>
      </c>
      <c r="T141" s="28">
        <f>Master_Table[[#This Row],[Actual Net Profit]]/Master_Table[[#This Row],[Actual Sales]]</f>
        <v>0.36923823386705484</v>
      </c>
      <c r="U141" s="28" t="str">
        <f>_xlfn.TEXTJOIN(" - ", TRUE, Master_Table[[#This Row],[Product]], Master_Table[[#This Row],[Branch]])</f>
        <v>Banana - Abuja</v>
      </c>
    </row>
    <row r="142" spans="1:21" ht="14.4" x14ac:dyDescent="0.3">
      <c r="A142" s="2">
        <v>141</v>
      </c>
      <c r="B142" s="2">
        <f t="shared" si="17"/>
        <v>102</v>
      </c>
      <c r="C142" s="1" t="str">
        <f>VLOOKUP(B142,Products!A:C,2,FALSE)</f>
        <v>Banana</v>
      </c>
      <c r="D142" s="1" t="str">
        <f t="shared" si="18"/>
        <v>Abuja</v>
      </c>
      <c r="E142" s="4" t="str">
        <f>_xlfn.XLOOKUP(D142,'Sales Manager'!$A$2:$A$6,'Sales Manager'!$B$2:$B$6,"")</f>
        <v>Emeka Nwosu</v>
      </c>
      <c r="F142" s="3">
        <f t="shared" si="19"/>
        <v>9</v>
      </c>
      <c r="G142" s="1" t="str">
        <f t="shared" si="19"/>
        <v>Sept</v>
      </c>
      <c r="H142" s="11">
        <v>8000</v>
      </c>
      <c r="I142" s="11">
        <v>7579</v>
      </c>
      <c r="J142" s="11" cm="1">
        <f t="array" ref="J142">_xlfn.XLOOKUP(C142&amp;D142&amp;F142,Expense!$C$2:$C$601&amp;Expense!$D$2:$D$601&amp;Expense!$E$2:$E$601,Expense!$G$2:$G$601,"")</f>
        <v>1600</v>
      </c>
      <c r="K142" s="11" cm="1">
        <f t="array" ref="K142">_xlfn.XLOOKUP(C142&amp;D142&amp;F142,Expense!$C$2:$C$601&amp;Expense!$D$2:$D$601&amp;Expense!$E$2:$E$601,Expense!$H$2:$H$601,"")</f>
        <v>1500</v>
      </c>
      <c r="L142" s="14">
        <f t="shared" si="22"/>
        <v>-421</v>
      </c>
      <c r="M142" s="14">
        <f>Master_Table[[#This Row],[Expense Budget]]-Master_Table[[#This Row],[Actual Expense]]</f>
        <v>100</v>
      </c>
      <c r="N142" s="16">
        <f t="shared" si="23"/>
        <v>6079</v>
      </c>
      <c r="O142" s="29">
        <f t="shared" si="20"/>
        <v>6400</v>
      </c>
      <c r="P142" s="16">
        <f t="shared" si="21"/>
        <v>-321</v>
      </c>
      <c r="Q142" s="28">
        <f>Master_Table[[#This Row],[△Sales Variance]]/Master_Table[[#This Row],[Sales Budget]]</f>
        <v>-5.2624999999999998E-2</v>
      </c>
      <c r="R142" s="28">
        <f>Master_Table[[#This Row],[△Expense  Variance]]/Master_Table[[#This Row],[Expense Budget]]</f>
        <v>6.25E-2</v>
      </c>
      <c r="S142" s="28">
        <f>Master_Table[[#This Row],[Net Profit Variance]]/Master_Table[[#This Row],[Budget Net Profit]]</f>
        <v>-5.0156249999999999E-2</v>
      </c>
      <c r="T142" s="28">
        <f>Master_Table[[#This Row],[Actual Net Profit]]/Master_Table[[#This Row],[Actual Sales]]</f>
        <v>0.80208470774508511</v>
      </c>
      <c r="U142" s="28" t="str">
        <f>_xlfn.TEXTJOIN(" - ", TRUE, Master_Table[[#This Row],[Product]], Master_Table[[#This Row],[Branch]])</f>
        <v>Banana - Abuja</v>
      </c>
    </row>
    <row r="143" spans="1:21" ht="14.4" x14ac:dyDescent="0.3">
      <c r="A143" s="2">
        <v>142</v>
      </c>
      <c r="B143" s="2">
        <f t="shared" si="17"/>
        <v>102</v>
      </c>
      <c r="C143" s="1" t="str">
        <f>VLOOKUP(B143,Products!A:C,2,FALSE)</f>
        <v>Banana</v>
      </c>
      <c r="D143" s="1" t="str">
        <f t="shared" si="18"/>
        <v>Abuja</v>
      </c>
      <c r="E143" s="4" t="str">
        <f>_xlfn.XLOOKUP(D143,'Sales Manager'!$A$2:$A$6,'Sales Manager'!$B$2:$B$6,"")</f>
        <v>Emeka Nwosu</v>
      </c>
      <c r="F143" s="3">
        <f t="shared" ref="F143:G158" si="24">F131</f>
        <v>10</v>
      </c>
      <c r="G143" s="1" t="str">
        <f t="shared" si="24"/>
        <v>Oct</v>
      </c>
      <c r="H143" s="11">
        <v>9000</v>
      </c>
      <c r="I143" s="11">
        <v>8932</v>
      </c>
      <c r="J143" s="11" cm="1">
        <f t="array" ref="J143">_xlfn.XLOOKUP(C143&amp;D143&amp;F143,Expense!$C$2:$C$601&amp;Expense!$D$2:$D$601&amp;Expense!$E$2:$E$601,Expense!$G$2:$G$601,"")</f>
        <v>3000</v>
      </c>
      <c r="K143" s="11" cm="1">
        <f t="array" ref="K143">_xlfn.XLOOKUP(C143&amp;D143&amp;F143,Expense!$C$2:$C$601&amp;Expense!$D$2:$D$601&amp;Expense!$E$2:$E$601,Expense!$H$2:$H$601,"")</f>
        <v>2600</v>
      </c>
      <c r="L143" s="14">
        <f t="shared" si="22"/>
        <v>-68</v>
      </c>
      <c r="M143" s="14">
        <f>Master_Table[[#This Row],[Expense Budget]]-Master_Table[[#This Row],[Actual Expense]]</f>
        <v>400</v>
      </c>
      <c r="N143" s="16">
        <f t="shared" si="23"/>
        <v>6332</v>
      </c>
      <c r="O143" s="29">
        <f t="shared" si="20"/>
        <v>6000</v>
      </c>
      <c r="P143" s="16">
        <f t="shared" si="21"/>
        <v>332</v>
      </c>
      <c r="Q143" s="28">
        <f>Master_Table[[#This Row],[△Sales Variance]]/Master_Table[[#This Row],[Sales Budget]]</f>
        <v>-7.5555555555555558E-3</v>
      </c>
      <c r="R143" s="28">
        <f>Master_Table[[#This Row],[△Expense  Variance]]/Master_Table[[#This Row],[Expense Budget]]</f>
        <v>0.13333333333333333</v>
      </c>
      <c r="S143" s="28">
        <f>Master_Table[[#This Row],[Net Profit Variance]]/Master_Table[[#This Row],[Budget Net Profit]]</f>
        <v>5.5333333333333332E-2</v>
      </c>
      <c r="T143" s="28">
        <f>Master_Table[[#This Row],[Actual Net Profit]]/Master_Table[[#This Row],[Actual Sales]]</f>
        <v>0.70891177787729509</v>
      </c>
      <c r="U143" s="28" t="str">
        <f>_xlfn.TEXTJOIN(" - ", TRUE, Master_Table[[#This Row],[Product]], Master_Table[[#This Row],[Branch]])</f>
        <v>Banana - Abuja</v>
      </c>
    </row>
    <row r="144" spans="1:21" ht="14.4" x14ac:dyDescent="0.3">
      <c r="A144" s="2">
        <v>143</v>
      </c>
      <c r="B144" s="2">
        <f t="shared" si="17"/>
        <v>102</v>
      </c>
      <c r="C144" s="1" t="str">
        <f>VLOOKUP(B144,Products!A:C,2,FALSE)</f>
        <v>Banana</v>
      </c>
      <c r="D144" s="1" t="str">
        <f t="shared" si="18"/>
        <v>Abuja</v>
      </c>
      <c r="E144" s="4" t="str">
        <f>_xlfn.XLOOKUP(D144,'Sales Manager'!$A$2:$A$6,'Sales Manager'!$B$2:$B$6,"")</f>
        <v>Emeka Nwosu</v>
      </c>
      <c r="F144" s="3">
        <f t="shared" si="24"/>
        <v>11</v>
      </c>
      <c r="G144" s="1" t="str">
        <f t="shared" si="24"/>
        <v>Nov</v>
      </c>
      <c r="H144" s="11">
        <v>4000</v>
      </c>
      <c r="I144" s="11">
        <v>4587</v>
      </c>
      <c r="J144" s="11" cm="1">
        <f t="array" ref="J144">_xlfn.XLOOKUP(C144&amp;D144&amp;F144,Expense!$C$2:$C$601&amp;Expense!$D$2:$D$601&amp;Expense!$E$2:$E$601,Expense!$G$2:$G$601,"")</f>
        <v>800</v>
      </c>
      <c r="K144" s="11" cm="1">
        <f t="array" ref="K144">_xlfn.XLOOKUP(C144&amp;D144&amp;F144,Expense!$C$2:$C$601&amp;Expense!$D$2:$D$601&amp;Expense!$E$2:$E$601,Expense!$H$2:$H$601,"")</f>
        <v>200</v>
      </c>
      <c r="L144" s="14">
        <f t="shared" si="22"/>
        <v>587</v>
      </c>
      <c r="M144" s="14">
        <f>Master_Table[[#This Row],[Expense Budget]]-Master_Table[[#This Row],[Actual Expense]]</f>
        <v>600</v>
      </c>
      <c r="N144" s="16">
        <f t="shared" si="23"/>
        <v>4387</v>
      </c>
      <c r="O144" s="29">
        <f t="shared" si="20"/>
        <v>3200</v>
      </c>
      <c r="P144" s="16">
        <f t="shared" si="21"/>
        <v>1187</v>
      </c>
      <c r="Q144" s="28">
        <f>Master_Table[[#This Row],[△Sales Variance]]/Master_Table[[#This Row],[Sales Budget]]</f>
        <v>0.14674999999999999</v>
      </c>
      <c r="R144" s="28">
        <f>Master_Table[[#This Row],[△Expense  Variance]]/Master_Table[[#This Row],[Expense Budget]]</f>
        <v>0.75</v>
      </c>
      <c r="S144" s="28">
        <f>Master_Table[[#This Row],[Net Profit Variance]]/Master_Table[[#This Row],[Budget Net Profit]]</f>
        <v>0.37093749999999998</v>
      </c>
      <c r="T144" s="28">
        <f>Master_Table[[#This Row],[Actual Net Profit]]/Master_Table[[#This Row],[Actual Sales]]</f>
        <v>0.95639851754959671</v>
      </c>
      <c r="U144" s="28" t="str">
        <f>_xlfn.TEXTJOIN(" - ", TRUE, Master_Table[[#This Row],[Product]], Master_Table[[#This Row],[Branch]])</f>
        <v>Banana - Abuja</v>
      </c>
    </row>
    <row r="145" spans="1:21" ht="14.4" x14ac:dyDescent="0.3">
      <c r="A145" s="2">
        <v>144</v>
      </c>
      <c r="B145" s="2">
        <f t="shared" si="17"/>
        <v>102</v>
      </c>
      <c r="C145" s="1" t="str">
        <f>VLOOKUP(B145,Products!A:C,2,FALSE)</f>
        <v>Banana</v>
      </c>
      <c r="D145" s="1" t="str">
        <f t="shared" si="18"/>
        <v>Abuja</v>
      </c>
      <c r="E145" s="4" t="str">
        <f>_xlfn.XLOOKUP(D145,'Sales Manager'!$A$2:$A$6,'Sales Manager'!$B$2:$B$6,"")</f>
        <v>Emeka Nwosu</v>
      </c>
      <c r="F145" s="3">
        <f t="shared" si="24"/>
        <v>12</v>
      </c>
      <c r="G145" s="1" t="str">
        <f t="shared" si="24"/>
        <v>Dec</v>
      </c>
      <c r="H145" s="11">
        <v>6000</v>
      </c>
      <c r="I145" s="11">
        <v>7065</v>
      </c>
      <c r="J145" s="11" cm="1">
        <f t="array" ref="J145">_xlfn.XLOOKUP(C145&amp;D145&amp;F145,Expense!$C$2:$C$601&amp;Expense!$D$2:$D$601&amp;Expense!$E$2:$E$601,Expense!$G$2:$G$601,"")</f>
        <v>3000</v>
      </c>
      <c r="K145" s="11" cm="1">
        <f t="array" ref="K145">_xlfn.XLOOKUP(C145&amp;D145&amp;F145,Expense!$C$2:$C$601&amp;Expense!$D$2:$D$601&amp;Expense!$E$2:$E$601,Expense!$H$2:$H$601,"")</f>
        <v>2800</v>
      </c>
      <c r="L145" s="14">
        <f t="shared" si="22"/>
        <v>1065</v>
      </c>
      <c r="M145" s="14">
        <f>Master_Table[[#This Row],[Expense Budget]]-Master_Table[[#This Row],[Actual Expense]]</f>
        <v>200</v>
      </c>
      <c r="N145" s="16">
        <f t="shared" si="23"/>
        <v>4265</v>
      </c>
      <c r="O145" s="29">
        <f t="shared" si="20"/>
        <v>3000</v>
      </c>
      <c r="P145" s="16">
        <f t="shared" si="21"/>
        <v>1265</v>
      </c>
      <c r="Q145" s="28">
        <f>Master_Table[[#This Row],[△Sales Variance]]/Master_Table[[#This Row],[Sales Budget]]</f>
        <v>0.17749999999999999</v>
      </c>
      <c r="R145" s="28">
        <f>Master_Table[[#This Row],[△Expense  Variance]]/Master_Table[[#This Row],[Expense Budget]]</f>
        <v>6.6666666666666666E-2</v>
      </c>
      <c r="S145" s="28">
        <f>Master_Table[[#This Row],[Net Profit Variance]]/Master_Table[[#This Row],[Budget Net Profit]]</f>
        <v>0.42166666666666669</v>
      </c>
      <c r="T145" s="28">
        <f>Master_Table[[#This Row],[Actual Net Profit]]/Master_Table[[#This Row],[Actual Sales]]</f>
        <v>0.60368011323425341</v>
      </c>
      <c r="U145" s="28" t="str">
        <f>_xlfn.TEXTJOIN(" - ", TRUE, Master_Table[[#This Row],[Product]], Master_Table[[#This Row],[Branch]])</f>
        <v>Banana - Abuja</v>
      </c>
    </row>
    <row r="146" spans="1:21" ht="14.4" x14ac:dyDescent="0.3">
      <c r="A146" s="2">
        <v>145</v>
      </c>
      <c r="B146" s="2">
        <f t="shared" si="17"/>
        <v>102</v>
      </c>
      <c r="C146" s="1" t="str">
        <f>VLOOKUP(B146,Products!A:C,2,FALSE)</f>
        <v>Banana</v>
      </c>
      <c r="D146" s="1" t="str">
        <f t="shared" si="18"/>
        <v>Warri</v>
      </c>
      <c r="E146" s="4" t="str">
        <f>_xlfn.XLOOKUP(D146,'Sales Manager'!$A$2:$A$6,'Sales Manager'!$B$2:$B$6,"")</f>
        <v>Gbenga Adesanya</v>
      </c>
      <c r="F146" s="3">
        <f t="shared" si="24"/>
        <v>1</v>
      </c>
      <c r="G146" s="1" t="str">
        <f t="shared" si="24"/>
        <v>Jan</v>
      </c>
      <c r="H146" s="11">
        <v>2000</v>
      </c>
      <c r="I146" s="11">
        <v>3526</v>
      </c>
      <c r="J146" s="11" cm="1">
        <f t="array" ref="J146">_xlfn.XLOOKUP(C146&amp;D146&amp;F146,Expense!$C$2:$C$601&amp;Expense!$D$2:$D$601&amp;Expense!$E$2:$E$601,Expense!$G$2:$G$601,"")</f>
        <v>400</v>
      </c>
      <c r="K146" s="11" cm="1">
        <f t="array" ref="K146">_xlfn.XLOOKUP(C146&amp;D146&amp;F146,Expense!$C$2:$C$601&amp;Expense!$D$2:$D$601&amp;Expense!$E$2:$E$601,Expense!$H$2:$H$601,"")</f>
        <v>100</v>
      </c>
      <c r="L146" s="14">
        <f t="shared" si="22"/>
        <v>1526</v>
      </c>
      <c r="M146" s="14">
        <f>Master_Table[[#This Row],[Expense Budget]]-Master_Table[[#This Row],[Actual Expense]]</f>
        <v>300</v>
      </c>
      <c r="N146" s="16">
        <f t="shared" si="23"/>
        <v>3426</v>
      </c>
      <c r="O146" s="29">
        <f t="shared" si="20"/>
        <v>1600</v>
      </c>
      <c r="P146" s="16">
        <f t="shared" si="21"/>
        <v>1826</v>
      </c>
      <c r="Q146" s="28">
        <f>Master_Table[[#This Row],[△Sales Variance]]/Master_Table[[#This Row],[Sales Budget]]</f>
        <v>0.76300000000000001</v>
      </c>
      <c r="R146" s="28">
        <f>Master_Table[[#This Row],[△Expense  Variance]]/Master_Table[[#This Row],[Expense Budget]]</f>
        <v>0.75</v>
      </c>
      <c r="S146" s="28">
        <f>Master_Table[[#This Row],[Net Profit Variance]]/Master_Table[[#This Row],[Budget Net Profit]]</f>
        <v>1.1412500000000001</v>
      </c>
      <c r="T146" s="28">
        <f>Master_Table[[#This Row],[Actual Net Profit]]/Master_Table[[#This Row],[Actual Sales]]</f>
        <v>0.97163925127623374</v>
      </c>
      <c r="U146" s="28" t="str">
        <f>_xlfn.TEXTJOIN(" - ", TRUE, Master_Table[[#This Row],[Product]], Master_Table[[#This Row],[Branch]])</f>
        <v>Banana - Warri</v>
      </c>
    </row>
    <row r="147" spans="1:21" ht="14.4" x14ac:dyDescent="0.3">
      <c r="A147" s="2">
        <v>146</v>
      </c>
      <c r="B147" s="2">
        <f t="shared" si="17"/>
        <v>102</v>
      </c>
      <c r="C147" s="1" t="str">
        <f>VLOOKUP(B147,Products!A:C,2,FALSE)</f>
        <v>Banana</v>
      </c>
      <c r="D147" s="1" t="str">
        <f t="shared" si="18"/>
        <v>Warri</v>
      </c>
      <c r="E147" s="4" t="str">
        <f>_xlfn.XLOOKUP(D147,'Sales Manager'!$A$2:$A$6,'Sales Manager'!$B$2:$B$6,"")</f>
        <v>Gbenga Adesanya</v>
      </c>
      <c r="F147" s="3">
        <f t="shared" si="24"/>
        <v>2</v>
      </c>
      <c r="G147" s="1" t="str">
        <f t="shared" si="24"/>
        <v>Feb</v>
      </c>
      <c r="H147" s="11">
        <v>1000</v>
      </c>
      <c r="I147" s="11">
        <v>5533</v>
      </c>
      <c r="J147" s="11" cm="1">
        <f t="array" ref="J147">_xlfn.XLOOKUP(C147&amp;D147&amp;F147,Expense!$C$2:$C$601&amp;Expense!$D$2:$D$601&amp;Expense!$E$2:$E$601,Expense!$G$2:$G$601,"")</f>
        <v>200</v>
      </c>
      <c r="K147" s="11" cm="1">
        <f t="array" ref="K147">_xlfn.XLOOKUP(C147&amp;D147&amp;F147,Expense!$C$2:$C$601&amp;Expense!$D$2:$D$601&amp;Expense!$E$2:$E$601,Expense!$H$2:$H$601,"")</f>
        <v>600</v>
      </c>
      <c r="L147" s="14">
        <f t="shared" si="22"/>
        <v>4533</v>
      </c>
      <c r="M147" s="14">
        <f>Master_Table[[#This Row],[Expense Budget]]-Master_Table[[#This Row],[Actual Expense]]</f>
        <v>-400</v>
      </c>
      <c r="N147" s="16">
        <f t="shared" si="23"/>
        <v>4933</v>
      </c>
      <c r="O147" s="29">
        <f t="shared" si="20"/>
        <v>800</v>
      </c>
      <c r="P147" s="16">
        <f t="shared" si="21"/>
        <v>4133</v>
      </c>
      <c r="Q147" s="28">
        <f>Master_Table[[#This Row],[△Sales Variance]]/Master_Table[[#This Row],[Sales Budget]]</f>
        <v>4.5330000000000004</v>
      </c>
      <c r="R147" s="28">
        <f>Master_Table[[#This Row],[△Expense  Variance]]/Master_Table[[#This Row],[Expense Budget]]</f>
        <v>-2</v>
      </c>
      <c r="S147" s="28">
        <f>Master_Table[[#This Row],[Net Profit Variance]]/Master_Table[[#This Row],[Budget Net Profit]]</f>
        <v>5.1662499999999998</v>
      </c>
      <c r="T147" s="28">
        <f>Master_Table[[#This Row],[Actual Net Profit]]/Master_Table[[#This Row],[Actual Sales]]</f>
        <v>0.89155973251400689</v>
      </c>
      <c r="U147" s="28" t="str">
        <f>_xlfn.TEXTJOIN(" - ", TRUE, Master_Table[[#This Row],[Product]], Master_Table[[#This Row],[Branch]])</f>
        <v>Banana - Warri</v>
      </c>
    </row>
    <row r="148" spans="1:21" ht="14.4" x14ac:dyDescent="0.3">
      <c r="A148" s="2">
        <v>147</v>
      </c>
      <c r="B148" s="2">
        <f t="shared" si="17"/>
        <v>102</v>
      </c>
      <c r="C148" s="1" t="str">
        <f>VLOOKUP(B148,Products!A:C,2,FALSE)</f>
        <v>Banana</v>
      </c>
      <c r="D148" s="1" t="str">
        <f t="shared" si="18"/>
        <v>Warri</v>
      </c>
      <c r="E148" s="4" t="str">
        <f>_xlfn.XLOOKUP(D148,'Sales Manager'!$A$2:$A$6,'Sales Manager'!$B$2:$B$6,"")</f>
        <v>Gbenga Adesanya</v>
      </c>
      <c r="F148" s="3">
        <f t="shared" si="24"/>
        <v>3</v>
      </c>
      <c r="G148" s="1" t="str">
        <f t="shared" si="24"/>
        <v>Mar</v>
      </c>
      <c r="H148" s="11">
        <v>2000</v>
      </c>
      <c r="I148" s="11">
        <v>8988</v>
      </c>
      <c r="J148" s="11" cm="1">
        <f t="array" ref="J148">_xlfn.XLOOKUP(C148&amp;D148&amp;F148,Expense!$C$2:$C$601&amp;Expense!$D$2:$D$601&amp;Expense!$E$2:$E$601,Expense!$G$2:$G$601,"")</f>
        <v>500</v>
      </c>
      <c r="K148" s="11" cm="1">
        <f t="array" ref="K148">_xlfn.XLOOKUP(C148&amp;D148&amp;F148,Expense!$C$2:$C$601&amp;Expense!$D$2:$D$601&amp;Expense!$E$2:$E$601,Expense!$H$2:$H$601,"")</f>
        <v>300</v>
      </c>
      <c r="L148" s="14">
        <f t="shared" si="22"/>
        <v>6988</v>
      </c>
      <c r="M148" s="14">
        <f>Master_Table[[#This Row],[Expense Budget]]-Master_Table[[#This Row],[Actual Expense]]</f>
        <v>200</v>
      </c>
      <c r="N148" s="16">
        <f t="shared" si="23"/>
        <v>8688</v>
      </c>
      <c r="O148" s="29">
        <f t="shared" si="20"/>
        <v>1500</v>
      </c>
      <c r="P148" s="16">
        <f t="shared" si="21"/>
        <v>7188</v>
      </c>
      <c r="Q148" s="28">
        <f>Master_Table[[#This Row],[△Sales Variance]]/Master_Table[[#This Row],[Sales Budget]]</f>
        <v>3.4940000000000002</v>
      </c>
      <c r="R148" s="28">
        <f>Master_Table[[#This Row],[△Expense  Variance]]/Master_Table[[#This Row],[Expense Budget]]</f>
        <v>0.4</v>
      </c>
      <c r="S148" s="28">
        <f>Master_Table[[#This Row],[Net Profit Variance]]/Master_Table[[#This Row],[Budget Net Profit]]</f>
        <v>4.7919999999999998</v>
      </c>
      <c r="T148" s="28">
        <f>Master_Table[[#This Row],[Actual Net Profit]]/Master_Table[[#This Row],[Actual Sales]]</f>
        <v>0.96662216288384517</v>
      </c>
      <c r="U148" s="28" t="str">
        <f>_xlfn.TEXTJOIN(" - ", TRUE, Master_Table[[#This Row],[Product]], Master_Table[[#This Row],[Branch]])</f>
        <v>Banana - Warri</v>
      </c>
    </row>
    <row r="149" spans="1:21" ht="14.4" x14ac:dyDescent="0.3">
      <c r="A149" s="2">
        <v>148</v>
      </c>
      <c r="B149" s="2">
        <f t="shared" si="17"/>
        <v>102</v>
      </c>
      <c r="C149" s="1" t="str">
        <f>VLOOKUP(B149,Products!A:C,2,FALSE)</f>
        <v>Banana</v>
      </c>
      <c r="D149" s="1" t="str">
        <f t="shared" si="18"/>
        <v>Warri</v>
      </c>
      <c r="E149" s="4" t="str">
        <f>_xlfn.XLOOKUP(D149,'Sales Manager'!$A$2:$A$6,'Sales Manager'!$B$2:$B$6,"")</f>
        <v>Gbenga Adesanya</v>
      </c>
      <c r="F149" s="3">
        <f t="shared" si="24"/>
        <v>4</v>
      </c>
      <c r="G149" s="1" t="str">
        <f t="shared" si="24"/>
        <v>Apr</v>
      </c>
      <c r="H149" s="11">
        <v>4000</v>
      </c>
      <c r="I149" s="11">
        <v>5514</v>
      </c>
      <c r="J149" s="11" cm="1">
        <f t="array" ref="J149">_xlfn.XLOOKUP(C149&amp;D149&amp;F149,Expense!$C$2:$C$601&amp;Expense!$D$2:$D$601&amp;Expense!$E$2:$E$601,Expense!$G$2:$G$601,"")</f>
        <v>1333.3333333333333</v>
      </c>
      <c r="K149" s="11" cm="1">
        <f t="array" ref="K149">_xlfn.XLOOKUP(C149&amp;D149&amp;F149,Expense!$C$2:$C$601&amp;Expense!$D$2:$D$601&amp;Expense!$E$2:$E$601,Expense!$H$2:$H$601,"")</f>
        <v>833.33333333333326</v>
      </c>
      <c r="L149" s="14">
        <f t="shared" si="22"/>
        <v>1514</v>
      </c>
      <c r="M149" s="14">
        <f>Master_Table[[#This Row],[Expense Budget]]-Master_Table[[#This Row],[Actual Expense]]</f>
        <v>500</v>
      </c>
      <c r="N149" s="16">
        <f t="shared" si="23"/>
        <v>4680.666666666667</v>
      </c>
      <c r="O149" s="29">
        <f t="shared" si="20"/>
        <v>2666.666666666667</v>
      </c>
      <c r="P149" s="16">
        <f t="shared" si="21"/>
        <v>2014</v>
      </c>
      <c r="Q149" s="28">
        <f>Master_Table[[#This Row],[△Sales Variance]]/Master_Table[[#This Row],[Sales Budget]]</f>
        <v>0.3785</v>
      </c>
      <c r="R149" s="28">
        <f>Master_Table[[#This Row],[△Expense  Variance]]/Master_Table[[#This Row],[Expense Budget]]</f>
        <v>0.375</v>
      </c>
      <c r="S149" s="28">
        <f>Master_Table[[#This Row],[Net Profit Variance]]/Master_Table[[#This Row],[Budget Net Profit]]</f>
        <v>0.75524999999999987</v>
      </c>
      <c r="T149" s="28">
        <f>Master_Table[[#This Row],[Actual Net Profit]]/Master_Table[[#This Row],[Actual Sales]]</f>
        <v>0.84886954419054539</v>
      </c>
      <c r="U149" s="28" t="str">
        <f>_xlfn.TEXTJOIN(" - ", TRUE, Master_Table[[#This Row],[Product]], Master_Table[[#This Row],[Branch]])</f>
        <v>Banana - Warri</v>
      </c>
    </row>
    <row r="150" spans="1:21" ht="14.4" x14ac:dyDescent="0.3">
      <c r="A150" s="2">
        <v>149</v>
      </c>
      <c r="B150" s="2">
        <f t="shared" si="17"/>
        <v>102</v>
      </c>
      <c r="C150" s="1" t="str">
        <f>VLOOKUP(B150,Products!A:C,2,FALSE)</f>
        <v>Banana</v>
      </c>
      <c r="D150" s="1" t="str">
        <f t="shared" si="18"/>
        <v>Warri</v>
      </c>
      <c r="E150" s="4" t="str">
        <f>_xlfn.XLOOKUP(D150,'Sales Manager'!$A$2:$A$6,'Sales Manager'!$B$2:$B$6,"")</f>
        <v>Gbenga Adesanya</v>
      </c>
      <c r="F150" s="3">
        <f t="shared" si="24"/>
        <v>5</v>
      </c>
      <c r="G150" s="1" t="str">
        <f t="shared" si="24"/>
        <v>May</v>
      </c>
      <c r="H150" s="11">
        <v>7000</v>
      </c>
      <c r="I150" s="11">
        <v>6246</v>
      </c>
      <c r="J150" s="11" cm="1">
        <f t="array" ref="J150">_xlfn.XLOOKUP(C150&amp;D150&amp;F150,Expense!$C$2:$C$601&amp;Expense!$D$2:$D$601&amp;Expense!$E$2:$E$601,Expense!$G$2:$G$601,"")</f>
        <v>3500</v>
      </c>
      <c r="K150" s="11" cm="1">
        <f t="array" ref="K150">_xlfn.XLOOKUP(C150&amp;D150&amp;F150,Expense!$C$2:$C$601&amp;Expense!$D$2:$D$601&amp;Expense!$E$2:$E$601,Expense!$H$2:$H$601,"")</f>
        <v>3000</v>
      </c>
      <c r="L150" s="14">
        <f t="shared" si="22"/>
        <v>-754</v>
      </c>
      <c r="M150" s="14">
        <f>Master_Table[[#This Row],[Expense Budget]]-Master_Table[[#This Row],[Actual Expense]]</f>
        <v>500</v>
      </c>
      <c r="N150" s="16">
        <f t="shared" si="23"/>
        <v>3246</v>
      </c>
      <c r="O150" s="29">
        <f t="shared" si="20"/>
        <v>3500</v>
      </c>
      <c r="P150" s="16">
        <f t="shared" si="21"/>
        <v>-254</v>
      </c>
      <c r="Q150" s="28">
        <f>Master_Table[[#This Row],[△Sales Variance]]/Master_Table[[#This Row],[Sales Budget]]</f>
        <v>-0.10771428571428572</v>
      </c>
      <c r="R150" s="28">
        <f>Master_Table[[#This Row],[△Expense  Variance]]/Master_Table[[#This Row],[Expense Budget]]</f>
        <v>0.14285714285714285</v>
      </c>
      <c r="S150" s="28">
        <f>Master_Table[[#This Row],[Net Profit Variance]]/Master_Table[[#This Row],[Budget Net Profit]]</f>
        <v>-7.2571428571428565E-2</v>
      </c>
      <c r="T150" s="28">
        <f>Master_Table[[#This Row],[Actual Net Profit]]/Master_Table[[#This Row],[Actual Sales]]</f>
        <v>0.51969260326609035</v>
      </c>
      <c r="U150" s="28" t="str">
        <f>_xlfn.TEXTJOIN(" - ", TRUE, Master_Table[[#This Row],[Product]], Master_Table[[#This Row],[Branch]])</f>
        <v>Banana - Warri</v>
      </c>
    </row>
    <row r="151" spans="1:21" ht="14.4" x14ac:dyDescent="0.3">
      <c r="A151" s="2">
        <v>150</v>
      </c>
      <c r="B151" s="2">
        <f t="shared" si="17"/>
        <v>102</v>
      </c>
      <c r="C151" s="1" t="str">
        <f>VLOOKUP(B151,Products!A:C,2,FALSE)</f>
        <v>Banana</v>
      </c>
      <c r="D151" s="1" t="str">
        <f t="shared" si="18"/>
        <v>Warri</v>
      </c>
      <c r="E151" s="4" t="str">
        <f>_xlfn.XLOOKUP(D151,'Sales Manager'!$A$2:$A$6,'Sales Manager'!$B$2:$B$6,"")</f>
        <v>Gbenga Adesanya</v>
      </c>
      <c r="F151" s="3">
        <f t="shared" si="24"/>
        <v>6</v>
      </c>
      <c r="G151" s="1" t="str">
        <f t="shared" si="24"/>
        <v>Jun</v>
      </c>
      <c r="H151" s="11">
        <v>9000</v>
      </c>
      <c r="I151" s="11">
        <v>5178</v>
      </c>
      <c r="J151" s="11" cm="1">
        <f t="array" ref="J151">_xlfn.XLOOKUP(C151&amp;D151&amp;F151,Expense!$C$2:$C$601&amp;Expense!$D$2:$D$601&amp;Expense!$E$2:$E$601,Expense!$G$2:$G$601,"")</f>
        <v>3000</v>
      </c>
      <c r="K151" s="11" cm="1">
        <f t="array" ref="K151">_xlfn.XLOOKUP(C151&amp;D151&amp;F151,Expense!$C$2:$C$601&amp;Expense!$D$2:$D$601&amp;Expense!$E$2:$E$601,Expense!$H$2:$H$601,"")</f>
        <v>3000</v>
      </c>
      <c r="L151" s="14">
        <f t="shared" si="22"/>
        <v>-3822</v>
      </c>
      <c r="M151" s="14">
        <f>Master_Table[[#This Row],[Expense Budget]]-Master_Table[[#This Row],[Actual Expense]]</f>
        <v>0</v>
      </c>
      <c r="N151" s="16">
        <f t="shared" si="23"/>
        <v>2178</v>
      </c>
      <c r="O151" s="29">
        <f t="shared" si="20"/>
        <v>6000</v>
      </c>
      <c r="P151" s="16">
        <f t="shared" si="21"/>
        <v>-3822</v>
      </c>
      <c r="Q151" s="28">
        <f>Master_Table[[#This Row],[△Sales Variance]]/Master_Table[[#This Row],[Sales Budget]]</f>
        <v>-0.42466666666666669</v>
      </c>
      <c r="R151" s="28">
        <f>Master_Table[[#This Row],[△Expense  Variance]]/Master_Table[[#This Row],[Expense Budget]]</f>
        <v>0</v>
      </c>
      <c r="S151" s="28">
        <f>Master_Table[[#This Row],[Net Profit Variance]]/Master_Table[[#This Row],[Budget Net Profit]]</f>
        <v>-0.63700000000000001</v>
      </c>
      <c r="T151" s="28">
        <f>Master_Table[[#This Row],[Actual Net Profit]]/Master_Table[[#This Row],[Actual Sales]]</f>
        <v>0.42062572421784472</v>
      </c>
      <c r="U151" s="28" t="str">
        <f>_xlfn.TEXTJOIN(" - ", TRUE, Master_Table[[#This Row],[Product]], Master_Table[[#This Row],[Branch]])</f>
        <v>Banana - Warri</v>
      </c>
    </row>
    <row r="152" spans="1:21" ht="14.4" x14ac:dyDescent="0.3">
      <c r="A152" s="2">
        <v>151</v>
      </c>
      <c r="B152" s="2">
        <f t="shared" si="17"/>
        <v>102</v>
      </c>
      <c r="C152" s="1" t="str">
        <f>VLOOKUP(B152,Products!A:C,2,FALSE)</f>
        <v>Banana</v>
      </c>
      <c r="D152" s="1" t="str">
        <f t="shared" si="18"/>
        <v>Warri</v>
      </c>
      <c r="E152" s="4" t="str">
        <f>_xlfn.XLOOKUP(D152,'Sales Manager'!$A$2:$A$6,'Sales Manager'!$B$2:$B$6,"")</f>
        <v>Gbenga Adesanya</v>
      </c>
      <c r="F152" s="3">
        <f t="shared" si="24"/>
        <v>7</v>
      </c>
      <c r="G152" s="1" t="str">
        <f t="shared" si="24"/>
        <v>Jul</v>
      </c>
      <c r="H152" s="11">
        <v>4000</v>
      </c>
      <c r="I152" s="11">
        <v>5565</v>
      </c>
      <c r="J152" s="11" cm="1">
        <f t="array" ref="J152">_xlfn.XLOOKUP(C152&amp;D152&amp;F152,Expense!$C$2:$C$601&amp;Expense!$D$2:$D$601&amp;Expense!$E$2:$E$601,Expense!$G$2:$G$601,"")</f>
        <v>800</v>
      </c>
      <c r="K152" s="11" cm="1">
        <f t="array" ref="K152">_xlfn.XLOOKUP(C152&amp;D152&amp;F152,Expense!$C$2:$C$601&amp;Expense!$D$2:$D$601&amp;Expense!$E$2:$E$601,Expense!$H$2:$H$601,"")</f>
        <v>200</v>
      </c>
      <c r="L152" s="14">
        <f t="shared" si="22"/>
        <v>1565</v>
      </c>
      <c r="M152" s="14">
        <f>Master_Table[[#This Row],[Expense Budget]]-Master_Table[[#This Row],[Actual Expense]]</f>
        <v>600</v>
      </c>
      <c r="N152" s="16">
        <f t="shared" si="23"/>
        <v>5365</v>
      </c>
      <c r="O152" s="29">
        <f t="shared" si="20"/>
        <v>3200</v>
      </c>
      <c r="P152" s="16">
        <f t="shared" si="21"/>
        <v>2165</v>
      </c>
      <c r="Q152" s="28">
        <f>Master_Table[[#This Row],[△Sales Variance]]/Master_Table[[#This Row],[Sales Budget]]</f>
        <v>0.39124999999999999</v>
      </c>
      <c r="R152" s="28">
        <f>Master_Table[[#This Row],[△Expense  Variance]]/Master_Table[[#This Row],[Expense Budget]]</f>
        <v>0.75</v>
      </c>
      <c r="S152" s="28">
        <f>Master_Table[[#This Row],[Net Profit Variance]]/Master_Table[[#This Row],[Budget Net Profit]]</f>
        <v>0.67656249999999996</v>
      </c>
      <c r="T152" s="28">
        <f>Master_Table[[#This Row],[Actual Net Profit]]/Master_Table[[#This Row],[Actual Sales]]</f>
        <v>0.96406109613656787</v>
      </c>
      <c r="U152" s="28" t="str">
        <f>_xlfn.TEXTJOIN(" - ", TRUE, Master_Table[[#This Row],[Product]], Master_Table[[#This Row],[Branch]])</f>
        <v>Banana - Warri</v>
      </c>
    </row>
    <row r="153" spans="1:21" ht="14.4" x14ac:dyDescent="0.3">
      <c r="A153" s="2">
        <v>152</v>
      </c>
      <c r="B153" s="2">
        <f t="shared" si="17"/>
        <v>102</v>
      </c>
      <c r="C153" s="1" t="str">
        <f>VLOOKUP(B153,Products!A:C,2,FALSE)</f>
        <v>Banana</v>
      </c>
      <c r="D153" s="1" t="str">
        <f t="shared" si="18"/>
        <v>Warri</v>
      </c>
      <c r="E153" s="4" t="str">
        <f>_xlfn.XLOOKUP(D153,'Sales Manager'!$A$2:$A$6,'Sales Manager'!$B$2:$B$6,"")</f>
        <v>Gbenga Adesanya</v>
      </c>
      <c r="F153" s="3">
        <f t="shared" si="24"/>
        <v>8</v>
      </c>
      <c r="G153" s="1" t="str">
        <f t="shared" si="24"/>
        <v>Aug</v>
      </c>
      <c r="H153" s="11">
        <v>2000</v>
      </c>
      <c r="I153" s="11">
        <v>4137</v>
      </c>
      <c r="J153" s="11" cm="1">
        <f t="array" ref="J153">_xlfn.XLOOKUP(C153&amp;D153&amp;F153,Expense!$C$2:$C$601&amp;Expense!$D$2:$D$601&amp;Expense!$E$2:$E$601,Expense!$G$2:$G$601,"")</f>
        <v>666.66666666666663</v>
      </c>
      <c r="K153" s="11" cm="1">
        <f t="array" ref="K153">_xlfn.XLOOKUP(C153&amp;D153&amp;F153,Expense!$C$2:$C$601&amp;Expense!$D$2:$D$601&amp;Expense!$E$2:$E$601,Expense!$H$2:$H$601,"")</f>
        <v>366.66666666666663</v>
      </c>
      <c r="L153" s="14">
        <f t="shared" si="22"/>
        <v>2137</v>
      </c>
      <c r="M153" s="14">
        <f>Master_Table[[#This Row],[Expense Budget]]-Master_Table[[#This Row],[Actual Expense]]</f>
        <v>300</v>
      </c>
      <c r="N153" s="16">
        <f t="shared" si="23"/>
        <v>3770.3333333333335</v>
      </c>
      <c r="O153" s="29">
        <f t="shared" si="20"/>
        <v>1333.3333333333335</v>
      </c>
      <c r="P153" s="16">
        <f t="shared" si="21"/>
        <v>2437</v>
      </c>
      <c r="Q153" s="28">
        <f>Master_Table[[#This Row],[△Sales Variance]]/Master_Table[[#This Row],[Sales Budget]]</f>
        <v>1.0685</v>
      </c>
      <c r="R153" s="28">
        <f>Master_Table[[#This Row],[△Expense  Variance]]/Master_Table[[#This Row],[Expense Budget]]</f>
        <v>0.45</v>
      </c>
      <c r="S153" s="28">
        <f>Master_Table[[#This Row],[Net Profit Variance]]/Master_Table[[#This Row],[Budget Net Profit]]</f>
        <v>1.8277499999999998</v>
      </c>
      <c r="T153" s="28">
        <f>Master_Table[[#This Row],[Actual Net Profit]]/Master_Table[[#This Row],[Actual Sales]]</f>
        <v>0.91136894690194181</v>
      </c>
      <c r="U153" s="28" t="str">
        <f>_xlfn.TEXTJOIN(" - ", TRUE, Master_Table[[#This Row],[Product]], Master_Table[[#This Row],[Branch]])</f>
        <v>Banana - Warri</v>
      </c>
    </row>
    <row r="154" spans="1:21" ht="14.4" x14ac:dyDescent="0.3">
      <c r="A154" s="2">
        <v>153</v>
      </c>
      <c r="B154" s="2">
        <f t="shared" si="17"/>
        <v>102</v>
      </c>
      <c r="C154" s="1" t="str">
        <f>VLOOKUP(B154,Products!A:C,2,FALSE)</f>
        <v>Banana</v>
      </c>
      <c r="D154" s="1" t="str">
        <f t="shared" si="18"/>
        <v>Warri</v>
      </c>
      <c r="E154" s="4" t="str">
        <f>_xlfn.XLOOKUP(D154,'Sales Manager'!$A$2:$A$6,'Sales Manager'!$B$2:$B$6,"")</f>
        <v>Gbenga Adesanya</v>
      </c>
      <c r="F154" s="3">
        <f t="shared" si="24"/>
        <v>9</v>
      </c>
      <c r="G154" s="1" t="str">
        <f t="shared" si="24"/>
        <v>Sept</v>
      </c>
      <c r="H154" s="11">
        <v>3000</v>
      </c>
      <c r="I154" s="11">
        <v>5442</v>
      </c>
      <c r="J154" s="11" cm="1">
        <f t="array" ref="J154">_xlfn.XLOOKUP(C154&amp;D154&amp;F154,Expense!$C$2:$C$601&amp;Expense!$D$2:$D$601&amp;Expense!$E$2:$E$601,Expense!$G$2:$G$601,"")</f>
        <v>1500</v>
      </c>
      <c r="K154" s="11" cm="1">
        <f t="array" ref="K154">_xlfn.XLOOKUP(C154&amp;D154&amp;F154,Expense!$C$2:$C$601&amp;Expense!$D$2:$D$601&amp;Expense!$E$2:$E$601,Expense!$H$2:$H$601,"")</f>
        <v>1100</v>
      </c>
      <c r="L154" s="14">
        <f t="shared" si="22"/>
        <v>2442</v>
      </c>
      <c r="M154" s="14">
        <f>Master_Table[[#This Row],[Expense Budget]]-Master_Table[[#This Row],[Actual Expense]]</f>
        <v>400</v>
      </c>
      <c r="N154" s="16">
        <f t="shared" si="23"/>
        <v>4342</v>
      </c>
      <c r="O154" s="29">
        <f t="shared" si="20"/>
        <v>1500</v>
      </c>
      <c r="P154" s="16">
        <f t="shared" si="21"/>
        <v>2842</v>
      </c>
      <c r="Q154" s="28">
        <f>Master_Table[[#This Row],[△Sales Variance]]/Master_Table[[#This Row],[Sales Budget]]</f>
        <v>0.81399999999999995</v>
      </c>
      <c r="R154" s="28">
        <f>Master_Table[[#This Row],[△Expense  Variance]]/Master_Table[[#This Row],[Expense Budget]]</f>
        <v>0.26666666666666666</v>
      </c>
      <c r="S154" s="28">
        <f>Master_Table[[#This Row],[Net Profit Variance]]/Master_Table[[#This Row],[Budget Net Profit]]</f>
        <v>1.8946666666666667</v>
      </c>
      <c r="T154" s="28">
        <f>Master_Table[[#This Row],[Actual Net Profit]]/Master_Table[[#This Row],[Actual Sales]]</f>
        <v>0.79786843072399849</v>
      </c>
      <c r="U154" s="28" t="str">
        <f>_xlfn.TEXTJOIN(" - ", TRUE, Master_Table[[#This Row],[Product]], Master_Table[[#This Row],[Branch]])</f>
        <v>Banana - Warri</v>
      </c>
    </row>
    <row r="155" spans="1:21" ht="14.4" x14ac:dyDescent="0.3">
      <c r="A155" s="2">
        <v>154</v>
      </c>
      <c r="B155" s="2">
        <f t="shared" si="17"/>
        <v>102</v>
      </c>
      <c r="C155" s="1" t="str">
        <f>VLOOKUP(B155,Products!A:C,2,FALSE)</f>
        <v>Banana</v>
      </c>
      <c r="D155" s="1" t="str">
        <f t="shared" si="18"/>
        <v>Warri</v>
      </c>
      <c r="E155" s="4" t="str">
        <f>_xlfn.XLOOKUP(D155,'Sales Manager'!$A$2:$A$6,'Sales Manager'!$B$2:$B$6,"")</f>
        <v>Gbenga Adesanya</v>
      </c>
      <c r="F155" s="3">
        <f t="shared" si="24"/>
        <v>10</v>
      </c>
      <c r="G155" s="1" t="str">
        <f t="shared" si="24"/>
        <v>Oct</v>
      </c>
      <c r="H155" s="11">
        <v>5000</v>
      </c>
      <c r="I155" s="11">
        <v>2453</v>
      </c>
      <c r="J155" s="11" cm="1">
        <f t="array" ref="J155">_xlfn.XLOOKUP(C155&amp;D155&amp;F155,Expense!$C$2:$C$601&amp;Expense!$D$2:$D$601&amp;Expense!$E$2:$E$601,Expense!$G$2:$G$601,"")</f>
        <v>1000</v>
      </c>
      <c r="K155" s="11" cm="1">
        <f t="array" ref="K155">_xlfn.XLOOKUP(C155&amp;D155&amp;F155,Expense!$C$2:$C$601&amp;Expense!$D$2:$D$601&amp;Expense!$E$2:$E$601,Expense!$H$2:$H$601,"")</f>
        <v>500</v>
      </c>
      <c r="L155" s="14">
        <f t="shared" si="22"/>
        <v>-2547</v>
      </c>
      <c r="M155" s="14">
        <f>Master_Table[[#This Row],[Expense Budget]]-Master_Table[[#This Row],[Actual Expense]]</f>
        <v>500</v>
      </c>
      <c r="N155" s="16">
        <f t="shared" si="23"/>
        <v>1953</v>
      </c>
      <c r="O155" s="29">
        <f t="shared" si="20"/>
        <v>4000</v>
      </c>
      <c r="P155" s="16">
        <f t="shared" si="21"/>
        <v>-2047</v>
      </c>
      <c r="Q155" s="28">
        <f>Master_Table[[#This Row],[△Sales Variance]]/Master_Table[[#This Row],[Sales Budget]]</f>
        <v>-0.50939999999999996</v>
      </c>
      <c r="R155" s="28">
        <f>Master_Table[[#This Row],[△Expense  Variance]]/Master_Table[[#This Row],[Expense Budget]]</f>
        <v>0.5</v>
      </c>
      <c r="S155" s="28">
        <f>Master_Table[[#This Row],[Net Profit Variance]]/Master_Table[[#This Row],[Budget Net Profit]]</f>
        <v>-0.51175000000000004</v>
      </c>
      <c r="T155" s="28">
        <f>Master_Table[[#This Row],[Actual Net Profit]]/Master_Table[[#This Row],[Actual Sales]]</f>
        <v>0.79616795760293513</v>
      </c>
      <c r="U155" s="28" t="str">
        <f>_xlfn.TEXTJOIN(" - ", TRUE, Master_Table[[#This Row],[Product]], Master_Table[[#This Row],[Branch]])</f>
        <v>Banana - Warri</v>
      </c>
    </row>
    <row r="156" spans="1:21" ht="14.4" x14ac:dyDescent="0.3">
      <c r="A156" s="2">
        <v>155</v>
      </c>
      <c r="B156" s="2">
        <f t="shared" si="17"/>
        <v>102</v>
      </c>
      <c r="C156" s="1" t="str">
        <f>VLOOKUP(B156,Products!A:C,2,FALSE)</f>
        <v>Banana</v>
      </c>
      <c r="D156" s="1" t="str">
        <f t="shared" si="18"/>
        <v>Warri</v>
      </c>
      <c r="E156" s="4" t="str">
        <f>_xlfn.XLOOKUP(D156,'Sales Manager'!$A$2:$A$6,'Sales Manager'!$B$2:$B$6,"")</f>
        <v>Gbenga Adesanya</v>
      </c>
      <c r="F156" s="3">
        <f t="shared" si="24"/>
        <v>11</v>
      </c>
      <c r="G156" s="1" t="str">
        <f t="shared" si="24"/>
        <v>Nov</v>
      </c>
      <c r="H156" s="11">
        <v>2000</v>
      </c>
      <c r="I156" s="11">
        <v>5726</v>
      </c>
      <c r="J156" s="11" cm="1">
        <f t="array" ref="J156">_xlfn.XLOOKUP(C156&amp;D156&amp;F156,Expense!$C$2:$C$601&amp;Expense!$D$2:$D$601&amp;Expense!$E$2:$E$601,Expense!$G$2:$G$601,"")</f>
        <v>500</v>
      </c>
      <c r="K156" s="11" cm="1">
        <f t="array" ref="K156">_xlfn.XLOOKUP(C156&amp;D156&amp;F156,Expense!$C$2:$C$601&amp;Expense!$D$2:$D$601&amp;Expense!$E$2:$E$601,Expense!$H$2:$H$601,"")</f>
        <v>100</v>
      </c>
      <c r="L156" s="14">
        <f t="shared" si="22"/>
        <v>3726</v>
      </c>
      <c r="M156" s="14">
        <f>Master_Table[[#This Row],[Expense Budget]]-Master_Table[[#This Row],[Actual Expense]]</f>
        <v>400</v>
      </c>
      <c r="N156" s="16">
        <f t="shared" si="23"/>
        <v>5626</v>
      </c>
      <c r="O156" s="29">
        <f t="shared" si="20"/>
        <v>1500</v>
      </c>
      <c r="P156" s="16">
        <f t="shared" si="21"/>
        <v>4126</v>
      </c>
      <c r="Q156" s="28">
        <f>Master_Table[[#This Row],[△Sales Variance]]/Master_Table[[#This Row],[Sales Budget]]</f>
        <v>1.863</v>
      </c>
      <c r="R156" s="28">
        <f>Master_Table[[#This Row],[△Expense  Variance]]/Master_Table[[#This Row],[Expense Budget]]</f>
        <v>0.8</v>
      </c>
      <c r="S156" s="28">
        <f>Master_Table[[#This Row],[Net Profit Variance]]/Master_Table[[#This Row],[Budget Net Profit]]</f>
        <v>2.7506666666666666</v>
      </c>
      <c r="T156" s="28">
        <f>Master_Table[[#This Row],[Actual Net Profit]]/Master_Table[[#This Row],[Actual Sales]]</f>
        <v>0.98253580160670628</v>
      </c>
      <c r="U156" s="28" t="str">
        <f>_xlfn.TEXTJOIN(" - ", TRUE, Master_Table[[#This Row],[Product]], Master_Table[[#This Row],[Branch]])</f>
        <v>Banana - Warri</v>
      </c>
    </row>
    <row r="157" spans="1:21" ht="14.4" x14ac:dyDescent="0.3">
      <c r="A157" s="2">
        <v>156</v>
      </c>
      <c r="B157" s="2">
        <f t="shared" si="17"/>
        <v>102</v>
      </c>
      <c r="C157" s="1" t="str">
        <f>VLOOKUP(B157,Products!A:C,2,FALSE)</f>
        <v>Banana</v>
      </c>
      <c r="D157" s="1" t="str">
        <f t="shared" si="18"/>
        <v>Warri</v>
      </c>
      <c r="E157" s="4" t="str">
        <f>_xlfn.XLOOKUP(D157,'Sales Manager'!$A$2:$A$6,'Sales Manager'!$B$2:$B$6,"")</f>
        <v>Gbenga Adesanya</v>
      </c>
      <c r="F157" s="3">
        <f t="shared" si="24"/>
        <v>12</v>
      </c>
      <c r="G157" s="1" t="str">
        <f t="shared" si="24"/>
        <v>Dec</v>
      </c>
      <c r="H157" s="11">
        <v>1000</v>
      </c>
      <c r="I157" s="11">
        <v>5652</v>
      </c>
      <c r="J157" s="11" cm="1">
        <f t="array" ref="J157">_xlfn.XLOOKUP(C157&amp;D157&amp;F157,Expense!$C$2:$C$601&amp;Expense!$D$2:$D$601&amp;Expense!$E$2:$E$601,Expense!$G$2:$G$601,"")</f>
        <v>200</v>
      </c>
      <c r="K157" s="11" cm="1">
        <f t="array" ref="K157">_xlfn.XLOOKUP(C157&amp;D157&amp;F157,Expense!$C$2:$C$601&amp;Expense!$D$2:$D$601&amp;Expense!$E$2:$E$601,Expense!$H$2:$H$601,"")</f>
        <v>200</v>
      </c>
      <c r="L157" s="14">
        <f t="shared" si="22"/>
        <v>4652</v>
      </c>
      <c r="M157" s="14">
        <f>Master_Table[[#This Row],[Expense Budget]]-Master_Table[[#This Row],[Actual Expense]]</f>
        <v>0</v>
      </c>
      <c r="N157" s="16">
        <f t="shared" si="23"/>
        <v>5452</v>
      </c>
      <c r="O157" s="29">
        <f t="shared" si="20"/>
        <v>800</v>
      </c>
      <c r="P157" s="16">
        <f t="shared" si="21"/>
        <v>4652</v>
      </c>
      <c r="Q157" s="28">
        <f>Master_Table[[#This Row],[△Sales Variance]]/Master_Table[[#This Row],[Sales Budget]]</f>
        <v>4.6520000000000001</v>
      </c>
      <c r="R157" s="28">
        <f>Master_Table[[#This Row],[△Expense  Variance]]/Master_Table[[#This Row],[Expense Budget]]</f>
        <v>0</v>
      </c>
      <c r="S157" s="28">
        <f>Master_Table[[#This Row],[Net Profit Variance]]/Master_Table[[#This Row],[Budget Net Profit]]</f>
        <v>5.8150000000000004</v>
      </c>
      <c r="T157" s="28">
        <f>Master_Table[[#This Row],[Actual Net Profit]]/Master_Table[[#This Row],[Actual Sales]]</f>
        <v>0.96461429582448688</v>
      </c>
      <c r="U157" s="28" t="str">
        <f>_xlfn.TEXTJOIN(" - ", TRUE, Master_Table[[#This Row],[Product]], Master_Table[[#This Row],[Branch]])</f>
        <v>Banana - Warri</v>
      </c>
    </row>
    <row r="158" spans="1:21" ht="14.4" x14ac:dyDescent="0.3">
      <c r="A158" s="2">
        <v>157</v>
      </c>
      <c r="B158" s="2">
        <f t="shared" si="17"/>
        <v>102</v>
      </c>
      <c r="C158" s="1" t="str">
        <f>VLOOKUP(B158,Products!A:C,2,FALSE)</f>
        <v>Banana</v>
      </c>
      <c r="D158" s="1" t="str">
        <f t="shared" si="18"/>
        <v>Kaduna</v>
      </c>
      <c r="E158" s="4" t="str">
        <f>_xlfn.XLOOKUP(D158,'Sales Manager'!$A$2:$A$6,'Sales Manager'!$B$2:$B$6,"")</f>
        <v>Musa Garba</v>
      </c>
      <c r="F158" s="3">
        <f t="shared" si="24"/>
        <v>1</v>
      </c>
      <c r="G158" s="1" t="str">
        <f t="shared" si="24"/>
        <v>Jan</v>
      </c>
      <c r="H158" s="11">
        <v>1000</v>
      </c>
      <c r="I158" s="11">
        <v>4714</v>
      </c>
      <c r="J158" s="11" cm="1">
        <f t="array" ref="J158">_xlfn.XLOOKUP(C158&amp;D158&amp;F158,Expense!$C$2:$C$601&amp;Expense!$D$2:$D$601&amp;Expense!$E$2:$E$601,Expense!$G$2:$G$601,"")</f>
        <v>200</v>
      </c>
      <c r="K158" s="11" cm="1">
        <f t="array" ref="K158">_xlfn.XLOOKUP(C158&amp;D158&amp;F158,Expense!$C$2:$C$601&amp;Expense!$D$2:$D$601&amp;Expense!$E$2:$E$601,Expense!$H$2:$H$601,"")</f>
        <v>100</v>
      </c>
      <c r="L158" s="14">
        <f t="shared" si="22"/>
        <v>3714</v>
      </c>
      <c r="M158" s="14">
        <f>Master_Table[[#This Row],[Expense Budget]]-Master_Table[[#This Row],[Actual Expense]]</f>
        <v>100</v>
      </c>
      <c r="N158" s="16">
        <f t="shared" si="23"/>
        <v>4614</v>
      </c>
      <c r="O158" s="29">
        <f t="shared" si="20"/>
        <v>800</v>
      </c>
      <c r="P158" s="16">
        <f t="shared" si="21"/>
        <v>3814</v>
      </c>
      <c r="Q158" s="28">
        <f>Master_Table[[#This Row],[△Sales Variance]]/Master_Table[[#This Row],[Sales Budget]]</f>
        <v>3.714</v>
      </c>
      <c r="R158" s="28">
        <f>Master_Table[[#This Row],[△Expense  Variance]]/Master_Table[[#This Row],[Expense Budget]]</f>
        <v>0.5</v>
      </c>
      <c r="S158" s="28">
        <f>Master_Table[[#This Row],[Net Profit Variance]]/Master_Table[[#This Row],[Budget Net Profit]]</f>
        <v>4.7675000000000001</v>
      </c>
      <c r="T158" s="28">
        <f>Master_Table[[#This Row],[Actual Net Profit]]/Master_Table[[#This Row],[Actual Sales]]</f>
        <v>0.97878659312685612</v>
      </c>
      <c r="U158" s="28" t="str">
        <f>_xlfn.TEXTJOIN(" - ", TRUE, Master_Table[[#This Row],[Product]], Master_Table[[#This Row],[Branch]])</f>
        <v>Banana - Kaduna</v>
      </c>
    </row>
    <row r="159" spans="1:21" ht="14.4" x14ac:dyDescent="0.3">
      <c r="A159" s="2">
        <v>158</v>
      </c>
      <c r="B159" s="2">
        <f t="shared" si="17"/>
        <v>102</v>
      </c>
      <c r="C159" s="1" t="str">
        <f>VLOOKUP(B159,Products!A:C,2,FALSE)</f>
        <v>Banana</v>
      </c>
      <c r="D159" s="1" t="str">
        <f t="shared" si="18"/>
        <v>Kaduna</v>
      </c>
      <c r="E159" s="4" t="str">
        <f>_xlfn.XLOOKUP(D159,'Sales Manager'!$A$2:$A$6,'Sales Manager'!$B$2:$B$6,"")</f>
        <v>Musa Garba</v>
      </c>
      <c r="F159" s="3">
        <f t="shared" ref="F159:G174" si="25">F147</f>
        <v>2</v>
      </c>
      <c r="G159" s="1" t="str">
        <f t="shared" si="25"/>
        <v>Feb</v>
      </c>
      <c r="H159" s="11">
        <v>3000</v>
      </c>
      <c r="I159" s="11">
        <v>5201</v>
      </c>
      <c r="J159" s="11" cm="1">
        <f t="array" ref="J159">_xlfn.XLOOKUP(C159&amp;D159&amp;F159,Expense!$C$2:$C$601&amp;Expense!$D$2:$D$601&amp;Expense!$E$2:$E$601,Expense!$G$2:$G$601,"")</f>
        <v>750</v>
      </c>
      <c r="K159" s="11" cm="1">
        <f t="array" ref="K159">_xlfn.XLOOKUP(C159&amp;D159&amp;F159,Expense!$C$2:$C$601&amp;Expense!$D$2:$D$601&amp;Expense!$E$2:$E$601,Expense!$H$2:$H$601,"")</f>
        <v>750</v>
      </c>
      <c r="L159" s="14">
        <f t="shared" si="22"/>
        <v>2201</v>
      </c>
      <c r="M159" s="14">
        <f>Master_Table[[#This Row],[Expense Budget]]-Master_Table[[#This Row],[Actual Expense]]</f>
        <v>0</v>
      </c>
      <c r="N159" s="16">
        <f t="shared" si="23"/>
        <v>4451</v>
      </c>
      <c r="O159" s="29">
        <f t="shared" si="20"/>
        <v>2250</v>
      </c>
      <c r="P159" s="16">
        <f t="shared" si="21"/>
        <v>2201</v>
      </c>
      <c r="Q159" s="28">
        <f>Master_Table[[#This Row],[△Sales Variance]]/Master_Table[[#This Row],[Sales Budget]]</f>
        <v>0.73366666666666669</v>
      </c>
      <c r="R159" s="28">
        <f>Master_Table[[#This Row],[△Expense  Variance]]/Master_Table[[#This Row],[Expense Budget]]</f>
        <v>0</v>
      </c>
      <c r="S159" s="28">
        <f>Master_Table[[#This Row],[Net Profit Variance]]/Master_Table[[#This Row],[Budget Net Profit]]</f>
        <v>0.97822222222222222</v>
      </c>
      <c r="T159" s="28">
        <f>Master_Table[[#This Row],[Actual Net Profit]]/Master_Table[[#This Row],[Actual Sales]]</f>
        <v>0.85579696212266876</v>
      </c>
      <c r="U159" s="28" t="str">
        <f>_xlfn.TEXTJOIN(" - ", TRUE, Master_Table[[#This Row],[Product]], Master_Table[[#This Row],[Branch]])</f>
        <v>Banana - Kaduna</v>
      </c>
    </row>
    <row r="160" spans="1:21" ht="14.4" x14ac:dyDescent="0.3">
      <c r="A160" s="2">
        <v>159</v>
      </c>
      <c r="B160" s="2">
        <f t="shared" si="17"/>
        <v>102</v>
      </c>
      <c r="C160" s="1" t="str">
        <f>VLOOKUP(B160,Products!A:C,2,FALSE)</f>
        <v>Banana</v>
      </c>
      <c r="D160" s="1" t="str">
        <f t="shared" si="18"/>
        <v>Kaduna</v>
      </c>
      <c r="E160" s="4" t="str">
        <f>_xlfn.XLOOKUP(D160,'Sales Manager'!$A$2:$A$6,'Sales Manager'!$B$2:$B$6,"")</f>
        <v>Musa Garba</v>
      </c>
      <c r="F160" s="3">
        <f t="shared" si="25"/>
        <v>3</v>
      </c>
      <c r="G160" s="1" t="str">
        <f t="shared" si="25"/>
        <v>Mar</v>
      </c>
      <c r="H160" s="11">
        <v>4000</v>
      </c>
      <c r="I160" s="11">
        <v>10230</v>
      </c>
      <c r="J160" s="11" cm="1">
        <f t="array" ref="J160">_xlfn.XLOOKUP(C160&amp;D160&amp;F160,Expense!$C$2:$C$601&amp;Expense!$D$2:$D$601&amp;Expense!$E$2:$E$601,Expense!$G$2:$G$601,"")</f>
        <v>1333.3333333333333</v>
      </c>
      <c r="K160" s="11" cm="1">
        <f t="array" ref="K160">_xlfn.XLOOKUP(C160&amp;D160&amp;F160,Expense!$C$2:$C$601&amp;Expense!$D$2:$D$601&amp;Expense!$E$2:$E$601,Expense!$H$2:$H$601,"")</f>
        <v>633.33333333333326</v>
      </c>
      <c r="L160" s="14">
        <f t="shared" si="22"/>
        <v>6230</v>
      </c>
      <c r="M160" s="14">
        <f>Master_Table[[#This Row],[Expense Budget]]-Master_Table[[#This Row],[Actual Expense]]</f>
        <v>700</v>
      </c>
      <c r="N160" s="16">
        <f t="shared" si="23"/>
        <v>9596.6666666666661</v>
      </c>
      <c r="O160" s="29">
        <f t="shared" si="20"/>
        <v>2666.666666666667</v>
      </c>
      <c r="P160" s="16">
        <f t="shared" si="21"/>
        <v>6929.9999999999991</v>
      </c>
      <c r="Q160" s="28">
        <f>Master_Table[[#This Row],[△Sales Variance]]/Master_Table[[#This Row],[Sales Budget]]</f>
        <v>1.5575000000000001</v>
      </c>
      <c r="R160" s="28">
        <f>Master_Table[[#This Row],[△Expense  Variance]]/Master_Table[[#This Row],[Expense Budget]]</f>
        <v>0.52500000000000002</v>
      </c>
      <c r="S160" s="28">
        <f>Master_Table[[#This Row],[Net Profit Variance]]/Master_Table[[#This Row],[Budget Net Profit]]</f>
        <v>2.5987499999999994</v>
      </c>
      <c r="T160" s="28">
        <f>Master_Table[[#This Row],[Actual Net Profit]]/Master_Table[[#This Row],[Actual Sales]]</f>
        <v>0.93809058325187356</v>
      </c>
      <c r="U160" s="28" t="str">
        <f>_xlfn.TEXTJOIN(" - ", TRUE, Master_Table[[#This Row],[Product]], Master_Table[[#This Row],[Branch]])</f>
        <v>Banana - Kaduna</v>
      </c>
    </row>
    <row r="161" spans="1:21" ht="14.4" x14ac:dyDescent="0.3">
      <c r="A161" s="2">
        <v>160</v>
      </c>
      <c r="B161" s="2">
        <f t="shared" si="17"/>
        <v>102</v>
      </c>
      <c r="C161" s="1" t="str">
        <f>VLOOKUP(B161,Products!A:C,2,FALSE)</f>
        <v>Banana</v>
      </c>
      <c r="D161" s="1" t="str">
        <f t="shared" si="18"/>
        <v>Kaduna</v>
      </c>
      <c r="E161" s="4" t="str">
        <f>_xlfn.XLOOKUP(D161,'Sales Manager'!$A$2:$A$6,'Sales Manager'!$B$2:$B$6,"")</f>
        <v>Musa Garba</v>
      </c>
      <c r="F161" s="3">
        <f t="shared" si="25"/>
        <v>4</v>
      </c>
      <c r="G161" s="1" t="str">
        <f t="shared" si="25"/>
        <v>Apr</v>
      </c>
      <c r="H161" s="11">
        <v>3000</v>
      </c>
      <c r="I161" s="11">
        <v>6667</v>
      </c>
      <c r="J161" s="11" cm="1">
        <f t="array" ref="J161">_xlfn.XLOOKUP(C161&amp;D161&amp;F161,Expense!$C$2:$C$601&amp;Expense!$D$2:$D$601&amp;Expense!$E$2:$E$601,Expense!$G$2:$G$601,"")</f>
        <v>750</v>
      </c>
      <c r="K161" s="11" cm="1">
        <f t="array" ref="K161">_xlfn.XLOOKUP(C161&amp;D161&amp;F161,Expense!$C$2:$C$601&amp;Expense!$D$2:$D$601&amp;Expense!$E$2:$E$601,Expense!$H$2:$H$601,"")</f>
        <v>550</v>
      </c>
      <c r="L161" s="14">
        <f t="shared" si="22"/>
        <v>3667</v>
      </c>
      <c r="M161" s="14">
        <f>Master_Table[[#This Row],[Expense Budget]]-Master_Table[[#This Row],[Actual Expense]]</f>
        <v>200</v>
      </c>
      <c r="N161" s="16">
        <f t="shared" si="23"/>
        <v>6117</v>
      </c>
      <c r="O161" s="29">
        <f t="shared" si="20"/>
        <v>2250</v>
      </c>
      <c r="P161" s="16">
        <f t="shared" si="21"/>
        <v>3867</v>
      </c>
      <c r="Q161" s="28">
        <f>Master_Table[[#This Row],[△Sales Variance]]/Master_Table[[#This Row],[Sales Budget]]</f>
        <v>1.2223333333333333</v>
      </c>
      <c r="R161" s="28">
        <f>Master_Table[[#This Row],[△Expense  Variance]]/Master_Table[[#This Row],[Expense Budget]]</f>
        <v>0.26666666666666666</v>
      </c>
      <c r="S161" s="28">
        <f>Master_Table[[#This Row],[Net Profit Variance]]/Master_Table[[#This Row],[Budget Net Profit]]</f>
        <v>1.7186666666666666</v>
      </c>
      <c r="T161" s="28">
        <f>Master_Table[[#This Row],[Actual Net Profit]]/Master_Table[[#This Row],[Actual Sales]]</f>
        <v>0.91750412479376031</v>
      </c>
      <c r="U161" s="28" t="str">
        <f>_xlfn.TEXTJOIN(" - ", TRUE, Master_Table[[#This Row],[Product]], Master_Table[[#This Row],[Branch]])</f>
        <v>Banana - Kaduna</v>
      </c>
    </row>
    <row r="162" spans="1:21" ht="14.4" x14ac:dyDescent="0.3">
      <c r="A162" s="2">
        <v>161</v>
      </c>
      <c r="B162" s="2">
        <f t="shared" si="17"/>
        <v>102</v>
      </c>
      <c r="C162" s="1" t="str">
        <f>VLOOKUP(B162,Products!A:C,2,FALSE)</f>
        <v>Banana</v>
      </c>
      <c r="D162" s="1" t="str">
        <f t="shared" si="18"/>
        <v>Kaduna</v>
      </c>
      <c r="E162" s="4" t="str">
        <f>_xlfn.XLOOKUP(D162,'Sales Manager'!$A$2:$A$6,'Sales Manager'!$B$2:$B$6,"")</f>
        <v>Musa Garba</v>
      </c>
      <c r="F162" s="3">
        <f t="shared" si="25"/>
        <v>5</v>
      </c>
      <c r="G162" s="1" t="str">
        <f t="shared" si="25"/>
        <v>May</v>
      </c>
      <c r="H162" s="11">
        <v>5000</v>
      </c>
      <c r="I162" s="11">
        <v>6540</v>
      </c>
      <c r="J162" s="11" cm="1">
        <f t="array" ref="J162">_xlfn.XLOOKUP(C162&amp;D162&amp;F162,Expense!$C$2:$C$601&amp;Expense!$D$2:$D$601&amp;Expense!$E$2:$E$601,Expense!$G$2:$G$601,"")</f>
        <v>2500</v>
      </c>
      <c r="K162" s="11" cm="1">
        <f t="array" ref="K162">_xlfn.XLOOKUP(C162&amp;D162&amp;F162,Expense!$C$2:$C$601&amp;Expense!$D$2:$D$601&amp;Expense!$E$2:$E$601,Expense!$H$2:$H$601,"")</f>
        <v>2200</v>
      </c>
      <c r="L162" s="14">
        <f t="shared" si="22"/>
        <v>1540</v>
      </c>
      <c r="M162" s="14">
        <f>Master_Table[[#This Row],[Expense Budget]]-Master_Table[[#This Row],[Actual Expense]]</f>
        <v>300</v>
      </c>
      <c r="N162" s="16">
        <f t="shared" si="23"/>
        <v>4340</v>
      </c>
      <c r="O162" s="29">
        <f t="shared" si="20"/>
        <v>2500</v>
      </c>
      <c r="P162" s="16">
        <f t="shared" si="21"/>
        <v>1840</v>
      </c>
      <c r="Q162" s="28">
        <f>Master_Table[[#This Row],[△Sales Variance]]/Master_Table[[#This Row],[Sales Budget]]</f>
        <v>0.308</v>
      </c>
      <c r="R162" s="28">
        <f>Master_Table[[#This Row],[△Expense  Variance]]/Master_Table[[#This Row],[Expense Budget]]</f>
        <v>0.12</v>
      </c>
      <c r="S162" s="28">
        <f>Master_Table[[#This Row],[Net Profit Variance]]/Master_Table[[#This Row],[Budget Net Profit]]</f>
        <v>0.73599999999999999</v>
      </c>
      <c r="T162" s="28">
        <f>Master_Table[[#This Row],[Actual Net Profit]]/Master_Table[[#This Row],[Actual Sales]]</f>
        <v>0.66360856269113155</v>
      </c>
      <c r="U162" s="28" t="str">
        <f>_xlfn.TEXTJOIN(" - ", TRUE, Master_Table[[#This Row],[Product]], Master_Table[[#This Row],[Branch]])</f>
        <v>Banana - Kaduna</v>
      </c>
    </row>
    <row r="163" spans="1:21" ht="14.4" x14ac:dyDescent="0.3">
      <c r="A163" s="2">
        <v>162</v>
      </c>
      <c r="B163" s="2">
        <f t="shared" si="17"/>
        <v>102</v>
      </c>
      <c r="C163" s="1" t="str">
        <f>VLOOKUP(B163,Products!A:C,2,FALSE)</f>
        <v>Banana</v>
      </c>
      <c r="D163" s="1" t="str">
        <f t="shared" si="18"/>
        <v>Kaduna</v>
      </c>
      <c r="E163" s="4" t="str">
        <f>_xlfn.XLOOKUP(D163,'Sales Manager'!$A$2:$A$6,'Sales Manager'!$B$2:$B$6,"")</f>
        <v>Musa Garba</v>
      </c>
      <c r="F163" s="3">
        <f t="shared" si="25"/>
        <v>6</v>
      </c>
      <c r="G163" s="1" t="str">
        <f t="shared" si="25"/>
        <v>Jun</v>
      </c>
      <c r="H163" s="11">
        <v>5000</v>
      </c>
      <c r="I163" s="11">
        <v>4644</v>
      </c>
      <c r="J163" s="11" cm="1">
        <f t="array" ref="J163">_xlfn.XLOOKUP(C163&amp;D163&amp;F163,Expense!$C$2:$C$601&amp;Expense!$D$2:$D$601&amp;Expense!$E$2:$E$601,Expense!$G$2:$G$601,"")</f>
        <v>1250</v>
      </c>
      <c r="K163" s="11" cm="1">
        <f t="array" ref="K163">_xlfn.XLOOKUP(C163&amp;D163&amp;F163,Expense!$C$2:$C$601&amp;Expense!$D$2:$D$601&amp;Expense!$E$2:$E$601,Expense!$H$2:$H$601,"")</f>
        <v>750</v>
      </c>
      <c r="L163" s="14">
        <f t="shared" si="22"/>
        <v>-356</v>
      </c>
      <c r="M163" s="14">
        <f>Master_Table[[#This Row],[Expense Budget]]-Master_Table[[#This Row],[Actual Expense]]</f>
        <v>500</v>
      </c>
      <c r="N163" s="16">
        <f t="shared" si="23"/>
        <v>3894</v>
      </c>
      <c r="O163" s="29">
        <f t="shared" si="20"/>
        <v>3750</v>
      </c>
      <c r="P163" s="16">
        <f t="shared" si="21"/>
        <v>144</v>
      </c>
      <c r="Q163" s="28">
        <f>Master_Table[[#This Row],[△Sales Variance]]/Master_Table[[#This Row],[Sales Budget]]</f>
        <v>-7.1199999999999999E-2</v>
      </c>
      <c r="R163" s="28">
        <f>Master_Table[[#This Row],[△Expense  Variance]]/Master_Table[[#This Row],[Expense Budget]]</f>
        <v>0.4</v>
      </c>
      <c r="S163" s="28">
        <f>Master_Table[[#This Row],[Net Profit Variance]]/Master_Table[[#This Row],[Budget Net Profit]]</f>
        <v>3.8399999999999997E-2</v>
      </c>
      <c r="T163" s="28">
        <f>Master_Table[[#This Row],[Actual Net Profit]]/Master_Table[[#This Row],[Actual Sales]]</f>
        <v>0.83850129198966405</v>
      </c>
      <c r="U163" s="28" t="str">
        <f>_xlfn.TEXTJOIN(" - ", TRUE, Master_Table[[#This Row],[Product]], Master_Table[[#This Row],[Branch]])</f>
        <v>Banana - Kaduna</v>
      </c>
    </row>
    <row r="164" spans="1:21" ht="14.4" x14ac:dyDescent="0.3">
      <c r="A164" s="2">
        <v>163</v>
      </c>
      <c r="B164" s="2">
        <f t="shared" si="17"/>
        <v>102</v>
      </c>
      <c r="C164" s="1" t="str">
        <f>VLOOKUP(B164,Products!A:C,2,FALSE)</f>
        <v>Banana</v>
      </c>
      <c r="D164" s="1" t="str">
        <f t="shared" si="18"/>
        <v>Kaduna</v>
      </c>
      <c r="E164" s="4" t="str">
        <f>_xlfn.XLOOKUP(D164,'Sales Manager'!$A$2:$A$6,'Sales Manager'!$B$2:$B$6,"")</f>
        <v>Musa Garba</v>
      </c>
      <c r="F164" s="3">
        <f t="shared" si="25"/>
        <v>7</v>
      </c>
      <c r="G164" s="1" t="str">
        <f t="shared" si="25"/>
        <v>Jul</v>
      </c>
      <c r="H164" s="11">
        <v>7000</v>
      </c>
      <c r="I164" s="11">
        <v>6333</v>
      </c>
      <c r="J164" s="11" cm="1">
        <f t="array" ref="J164">_xlfn.XLOOKUP(C164&amp;D164&amp;F164,Expense!$C$2:$C$601&amp;Expense!$D$2:$D$601&amp;Expense!$E$2:$E$601,Expense!$G$2:$G$601,"")</f>
        <v>1750</v>
      </c>
      <c r="K164" s="11" cm="1">
        <f t="array" ref="K164">_xlfn.XLOOKUP(C164&amp;D164&amp;F164,Expense!$C$2:$C$601&amp;Expense!$D$2:$D$601&amp;Expense!$E$2:$E$601,Expense!$H$2:$H$601,"")</f>
        <v>1350</v>
      </c>
      <c r="L164" s="14">
        <f t="shared" si="22"/>
        <v>-667</v>
      </c>
      <c r="M164" s="14">
        <f>Master_Table[[#This Row],[Expense Budget]]-Master_Table[[#This Row],[Actual Expense]]</f>
        <v>400</v>
      </c>
      <c r="N164" s="16">
        <f t="shared" si="23"/>
        <v>4983</v>
      </c>
      <c r="O164" s="29">
        <f t="shared" si="20"/>
        <v>5250</v>
      </c>
      <c r="P164" s="16">
        <f t="shared" si="21"/>
        <v>-267</v>
      </c>
      <c r="Q164" s="28">
        <f>Master_Table[[#This Row],[△Sales Variance]]/Master_Table[[#This Row],[Sales Budget]]</f>
        <v>-9.5285714285714279E-2</v>
      </c>
      <c r="R164" s="28">
        <f>Master_Table[[#This Row],[△Expense  Variance]]/Master_Table[[#This Row],[Expense Budget]]</f>
        <v>0.22857142857142856</v>
      </c>
      <c r="S164" s="28">
        <f>Master_Table[[#This Row],[Net Profit Variance]]/Master_Table[[#This Row],[Budget Net Profit]]</f>
        <v>-5.0857142857142858E-2</v>
      </c>
      <c r="T164" s="28">
        <f>Master_Table[[#This Row],[Actual Net Profit]]/Master_Table[[#This Row],[Actual Sales]]</f>
        <v>0.78683088583609662</v>
      </c>
      <c r="U164" s="28" t="str">
        <f>_xlfn.TEXTJOIN(" - ", TRUE, Master_Table[[#This Row],[Product]], Master_Table[[#This Row],[Branch]])</f>
        <v>Banana - Kaduna</v>
      </c>
    </row>
    <row r="165" spans="1:21" ht="14.4" x14ac:dyDescent="0.3">
      <c r="A165" s="2">
        <v>164</v>
      </c>
      <c r="B165" s="2">
        <f t="shared" si="17"/>
        <v>102</v>
      </c>
      <c r="C165" s="1" t="str">
        <f>VLOOKUP(B165,Products!A:C,2,FALSE)</f>
        <v>Banana</v>
      </c>
      <c r="D165" s="1" t="str">
        <f t="shared" si="18"/>
        <v>Kaduna</v>
      </c>
      <c r="E165" s="4" t="str">
        <f>_xlfn.XLOOKUP(D165,'Sales Manager'!$A$2:$A$6,'Sales Manager'!$B$2:$B$6,"")</f>
        <v>Musa Garba</v>
      </c>
      <c r="F165" s="3">
        <f t="shared" si="25"/>
        <v>8</v>
      </c>
      <c r="G165" s="1" t="str">
        <f t="shared" si="25"/>
        <v>Aug</v>
      </c>
      <c r="H165" s="11">
        <v>2000</v>
      </c>
      <c r="I165" s="11">
        <v>2122</v>
      </c>
      <c r="J165" s="11" cm="1">
        <f t="array" ref="J165">_xlfn.XLOOKUP(C165&amp;D165&amp;F165,Expense!$C$2:$C$601&amp;Expense!$D$2:$D$601&amp;Expense!$E$2:$E$601,Expense!$G$2:$G$601,"")</f>
        <v>400</v>
      </c>
      <c r="K165" s="11" cm="1">
        <f t="array" ref="K165">_xlfn.XLOOKUP(C165&amp;D165&amp;F165,Expense!$C$2:$C$601&amp;Expense!$D$2:$D$601&amp;Expense!$E$2:$E$601,Expense!$H$2:$H$601,"")</f>
        <v>400</v>
      </c>
      <c r="L165" s="14">
        <f t="shared" si="22"/>
        <v>122</v>
      </c>
      <c r="M165" s="14">
        <f>Master_Table[[#This Row],[Expense Budget]]-Master_Table[[#This Row],[Actual Expense]]</f>
        <v>0</v>
      </c>
      <c r="N165" s="16">
        <f t="shared" si="23"/>
        <v>1722</v>
      </c>
      <c r="O165" s="29">
        <f t="shared" si="20"/>
        <v>1600</v>
      </c>
      <c r="P165" s="16">
        <f t="shared" si="21"/>
        <v>122</v>
      </c>
      <c r="Q165" s="28">
        <f>Master_Table[[#This Row],[△Sales Variance]]/Master_Table[[#This Row],[Sales Budget]]</f>
        <v>6.0999999999999999E-2</v>
      </c>
      <c r="R165" s="28">
        <f>Master_Table[[#This Row],[△Expense  Variance]]/Master_Table[[#This Row],[Expense Budget]]</f>
        <v>0</v>
      </c>
      <c r="S165" s="28">
        <f>Master_Table[[#This Row],[Net Profit Variance]]/Master_Table[[#This Row],[Budget Net Profit]]</f>
        <v>7.6249999999999998E-2</v>
      </c>
      <c r="T165" s="28">
        <f>Master_Table[[#This Row],[Actual Net Profit]]/Master_Table[[#This Row],[Actual Sales]]</f>
        <v>0.81149858623939675</v>
      </c>
      <c r="U165" s="28" t="str">
        <f>_xlfn.TEXTJOIN(" - ", TRUE, Master_Table[[#This Row],[Product]], Master_Table[[#This Row],[Branch]])</f>
        <v>Banana - Kaduna</v>
      </c>
    </row>
    <row r="166" spans="1:21" ht="14.4" x14ac:dyDescent="0.3">
      <c r="A166" s="2">
        <v>165</v>
      </c>
      <c r="B166" s="2">
        <f t="shared" si="17"/>
        <v>102</v>
      </c>
      <c r="C166" s="1" t="str">
        <f>VLOOKUP(B166,Products!A:C,2,FALSE)</f>
        <v>Banana</v>
      </c>
      <c r="D166" s="1" t="str">
        <f t="shared" si="18"/>
        <v>Kaduna</v>
      </c>
      <c r="E166" s="4" t="str">
        <f>_xlfn.XLOOKUP(D166,'Sales Manager'!$A$2:$A$6,'Sales Manager'!$B$2:$B$6,"")</f>
        <v>Musa Garba</v>
      </c>
      <c r="F166" s="3">
        <f t="shared" si="25"/>
        <v>9</v>
      </c>
      <c r="G166" s="1" t="str">
        <f t="shared" si="25"/>
        <v>Sept</v>
      </c>
      <c r="H166" s="11">
        <v>2000</v>
      </c>
      <c r="I166" s="11">
        <v>4147</v>
      </c>
      <c r="J166" s="11" cm="1">
        <f t="array" ref="J166">_xlfn.XLOOKUP(C166&amp;D166&amp;F166,Expense!$C$2:$C$601&amp;Expense!$D$2:$D$601&amp;Expense!$E$2:$E$601,Expense!$G$2:$G$601,"")</f>
        <v>400</v>
      </c>
      <c r="K166" s="11" cm="1">
        <f t="array" ref="K166">_xlfn.XLOOKUP(C166&amp;D166&amp;F166,Expense!$C$2:$C$601&amp;Expense!$D$2:$D$601&amp;Expense!$E$2:$E$601,Expense!$H$2:$H$601,"")</f>
        <v>100</v>
      </c>
      <c r="L166" s="14">
        <f t="shared" si="22"/>
        <v>2147</v>
      </c>
      <c r="M166" s="14">
        <f>Master_Table[[#This Row],[Expense Budget]]-Master_Table[[#This Row],[Actual Expense]]</f>
        <v>300</v>
      </c>
      <c r="N166" s="16">
        <f t="shared" si="23"/>
        <v>4047</v>
      </c>
      <c r="O166" s="29">
        <f t="shared" si="20"/>
        <v>1600</v>
      </c>
      <c r="P166" s="16">
        <f t="shared" si="21"/>
        <v>2447</v>
      </c>
      <c r="Q166" s="28">
        <f>Master_Table[[#This Row],[△Sales Variance]]/Master_Table[[#This Row],[Sales Budget]]</f>
        <v>1.0734999999999999</v>
      </c>
      <c r="R166" s="28">
        <f>Master_Table[[#This Row],[△Expense  Variance]]/Master_Table[[#This Row],[Expense Budget]]</f>
        <v>0.75</v>
      </c>
      <c r="S166" s="28">
        <f>Master_Table[[#This Row],[Net Profit Variance]]/Master_Table[[#This Row],[Budget Net Profit]]</f>
        <v>1.5293749999999999</v>
      </c>
      <c r="T166" s="28">
        <f>Master_Table[[#This Row],[Actual Net Profit]]/Master_Table[[#This Row],[Actual Sales]]</f>
        <v>0.97588618278273453</v>
      </c>
      <c r="U166" s="28" t="str">
        <f>_xlfn.TEXTJOIN(" - ", TRUE, Master_Table[[#This Row],[Product]], Master_Table[[#This Row],[Branch]])</f>
        <v>Banana - Kaduna</v>
      </c>
    </row>
    <row r="167" spans="1:21" ht="14.4" x14ac:dyDescent="0.3">
      <c r="A167" s="2">
        <v>166</v>
      </c>
      <c r="B167" s="2">
        <f t="shared" si="17"/>
        <v>102</v>
      </c>
      <c r="C167" s="1" t="str">
        <f>VLOOKUP(B167,Products!A:C,2,FALSE)</f>
        <v>Banana</v>
      </c>
      <c r="D167" s="1" t="str">
        <f t="shared" si="18"/>
        <v>Kaduna</v>
      </c>
      <c r="E167" s="4" t="str">
        <f>_xlfn.XLOOKUP(D167,'Sales Manager'!$A$2:$A$6,'Sales Manager'!$B$2:$B$6,"")</f>
        <v>Musa Garba</v>
      </c>
      <c r="F167" s="3">
        <f t="shared" si="25"/>
        <v>10</v>
      </c>
      <c r="G167" s="1" t="str">
        <f t="shared" si="25"/>
        <v>Oct</v>
      </c>
      <c r="H167" s="11">
        <v>6000</v>
      </c>
      <c r="I167" s="11">
        <v>6126</v>
      </c>
      <c r="J167" s="11" cm="1">
        <f t="array" ref="J167">_xlfn.XLOOKUP(C167&amp;D167&amp;F167,Expense!$C$2:$C$601&amp;Expense!$D$2:$D$601&amp;Expense!$E$2:$E$601,Expense!$G$2:$G$601,"")</f>
        <v>1200</v>
      </c>
      <c r="K167" s="11" cm="1">
        <f t="array" ref="K167">_xlfn.XLOOKUP(C167&amp;D167&amp;F167,Expense!$C$2:$C$601&amp;Expense!$D$2:$D$601&amp;Expense!$E$2:$E$601,Expense!$H$2:$H$601,"")</f>
        <v>800</v>
      </c>
      <c r="L167" s="14">
        <f t="shared" si="22"/>
        <v>126</v>
      </c>
      <c r="M167" s="14">
        <f>Master_Table[[#This Row],[Expense Budget]]-Master_Table[[#This Row],[Actual Expense]]</f>
        <v>400</v>
      </c>
      <c r="N167" s="16">
        <f t="shared" si="23"/>
        <v>5326</v>
      </c>
      <c r="O167" s="29">
        <f t="shared" si="20"/>
        <v>4800</v>
      </c>
      <c r="P167" s="16">
        <f t="shared" si="21"/>
        <v>526</v>
      </c>
      <c r="Q167" s="28">
        <f>Master_Table[[#This Row],[△Sales Variance]]/Master_Table[[#This Row],[Sales Budget]]</f>
        <v>2.1000000000000001E-2</v>
      </c>
      <c r="R167" s="28">
        <f>Master_Table[[#This Row],[△Expense  Variance]]/Master_Table[[#This Row],[Expense Budget]]</f>
        <v>0.33333333333333331</v>
      </c>
      <c r="S167" s="28">
        <f>Master_Table[[#This Row],[Net Profit Variance]]/Master_Table[[#This Row],[Budget Net Profit]]</f>
        <v>0.10958333333333334</v>
      </c>
      <c r="T167" s="28">
        <f>Master_Table[[#This Row],[Actual Net Profit]]/Master_Table[[#This Row],[Actual Sales]]</f>
        <v>0.86940907606921314</v>
      </c>
      <c r="U167" s="28" t="str">
        <f>_xlfn.TEXTJOIN(" - ", TRUE, Master_Table[[#This Row],[Product]], Master_Table[[#This Row],[Branch]])</f>
        <v>Banana - Kaduna</v>
      </c>
    </row>
    <row r="168" spans="1:21" ht="14.4" x14ac:dyDescent="0.3">
      <c r="A168" s="2">
        <v>167</v>
      </c>
      <c r="B168" s="2">
        <f t="shared" si="17"/>
        <v>102</v>
      </c>
      <c r="C168" s="1" t="str">
        <f>VLOOKUP(B168,Products!A:C,2,FALSE)</f>
        <v>Banana</v>
      </c>
      <c r="D168" s="1" t="str">
        <f t="shared" si="18"/>
        <v>Kaduna</v>
      </c>
      <c r="E168" s="4" t="str">
        <f>_xlfn.XLOOKUP(D168,'Sales Manager'!$A$2:$A$6,'Sales Manager'!$B$2:$B$6,"")</f>
        <v>Musa Garba</v>
      </c>
      <c r="F168" s="3">
        <f t="shared" si="25"/>
        <v>11</v>
      </c>
      <c r="G168" s="1" t="str">
        <f t="shared" si="25"/>
        <v>Nov</v>
      </c>
      <c r="H168" s="11">
        <v>6000</v>
      </c>
      <c r="I168" s="11">
        <v>7435</v>
      </c>
      <c r="J168" s="11" cm="1">
        <f t="array" ref="J168">_xlfn.XLOOKUP(C168&amp;D168&amp;F168,Expense!$C$2:$C$601&amp;Expense!$D$2:$D$601&amp;Expense!$E$2:$E$601,Expense!$G$2:$G$601,"")</f>
        <v>2000</v>
      </c>
      <c r="K168" s="11" cm="1">
        <f t="array" ref="K168">_xlfn.XLOOKUP(C168&amp;D168&amp;F168,Expense!$C$2:$C$601&amp;Expense!$D$2:$D$601&amp;Expense!$E$2:$E$601,Expense!$H$2:$H$601,"")</f>
        <v>1600</v>
      </c>
      <c r="L168" s="14">
        <f t="shared" si="22"/>
        <v>1435</v>
      </c>
      <c r="M168" s="14">
        <f>Master_Table[[#This Row],[Expense Budget]]-Master_Table[[#This Row],[Actual Expense]]</f>
        <v>400</v>
      </c>
      <c r="N168" s="16">
        <f t="shared" si="23"/>
        <v>5835</v>
      </c>
      <c r="O168" s="29">
        <f t="shared" si="20"/>
        <v>4000</v>
      </c>
      <c r="P168" s="16">
        <f t="shared" si="21"/>
        <v>1835</v>
      </c>
      <c r="Q168" s="28">
        <f>Master_Table[[#This Row],[△Sales Variance]]/Master_Table[[#This Row],[Sales Budget]]</f>
        <v>0.23916666666666667</v>
      </c>
      <c r="R168" s="28">
        <f>Master_Table[[#This Row],[△Expense  Variance]]/Master_Table[[#This Row],[Expense Budget]]</f>
        <v>0.2</v>
      </c>
      <c r="S168" s="28">
        <f>Master_Table[[#This Row],[Net Profit Variance]]/Master_Table[[#This Row],[Budget Net Profit]]</f>
        <v>0.45874999999999999</v>
      </c>
      <c r="T168" s="28">
        <f>Master_Table[[#This Row],[Actual Net Profit]]/Master_Table[[#This Row],[Actual Sales]]</f>
        <v>0.78480161398789505</v>
      </c>
      <c r="U168" s="28" t="str">
        <f>_xlfn.TEXTJOIN(" - ", TRUE, Master_Table[[#This Row],[Product]], Master_Table[[#This Row],[Branch]])</f>
        <v>Banana - Kaduna</v>
      </c>
    </row>
    <row r="169" spans="1:21" ht="14.4" x14ac:dyDescent="0.3">
      <c r="A169" s="2">
        <v>168</v>
      </c>
      <c r="B169" s="2">
        <f t="shared" si="17"/>
        <v>102</v>
      </c>
      <c r="C169" s="1" t="str">
        <f>VLOOKUP(B169,Products!A:C,2,FALSE)</f>
        <v>Banana</v>
      </c>
      <c r="D169" s="1" t="str">
        <f t="shared" si="18"/>
        <v>Kaduna</v>
      </c>
      <c r="E169" s="4" t="str">
        <f>_xlfn.XLOOKUP(D169,'Sales Manager'!$A$2:$A$6,'Sales Manager'!$B$2:$B$6,"")</f>
        <v>Musa Garba</v>
      </c>
      <c r="F169" s="3">
        <f t="shared" si="25"/>
        <v>12</v>
      </c>
      <c r="G169" s="1" t="str">
        <f t="shared" si="25"/>
        <v>Dec</v>
      </c>
      <c r="H169" s="11">
        <v>7000</v>
      </c>
      <c r="I169" s="11">
        <v>5149</v>
      </c>
      <c r="J169" s="11" cm="1">
        <f t="array" ref="J169">_xlfn.XLOOKUP(C169&amp;D169&amp;F169,Expense!$C$2:$C$601&amp;Expense!$D$2:$D$601&amp;Expense!$E$2:$E$601,Expense!$G$2:$G$601,"")</f>
        <v>1400</v>
      </c>
      <c r="K169" s="11" cm="1">
        <f t="array" ref="K169">_xlfn.XLOOKUP(C169&amp;D169&amp;F169,Expense!$C$2:$C$601&amp;Expense!$D$2:$D$601&amp;Expense!$E$2:$E$601,Expense!$H$2:$H$601,"")</f>
        <v>700</v>
      </c>
      <c r="L169" s="14">
        <f t="shared" si="22"/>
        <v>-1851</v>
      </c>
      <c r="M169" s="14">
        <f>Master_Table[[#This Row],[Expense Budget]]-Master_Table[[#This Row],[Actual Expense]]</f>
        <v>700</v>
      </c>
      <c r="N169" s="16">
        <f t="shared" si="23"/>
        <v>4449</v>
      </c>
      <c r="O169" s="29">
        <f t="shared" si="20"/>
        <v>5600</v>
      </c>
      <c r="P169" s="16">
        <f t="shared" si="21"/>
        <v>-1151</v>
      </c>
      <c r="Q169" s="28">
        <f>Master_Table[[#This Row],[△Sales Variance]]/Master_Table[[#This Row],[Sales Budget]]</f>
        <v>-0.2644285714285714</v>
      </c>
      <c r="R169" s="28">
        <f>Master_Table[[#This Row],[△Expense  Variance]]/Master_Table[[#This Row],[Expense Budget]]</f>
        <v>0.5</v>
      </c>
      <c r="S169" s="28">
        <f>Master_Table[[#This Row],[Net Profit Variance]]/Master_Table[[#This Row],[Budget Net Profit]]</f>
        <v>-0.20553571428571429</v>
      </c>
      <c r="T169" s="28">
        <f>Master_Table[[#This Row],[Actual Net Profit]]/Master_Table[[#This Row],[Actual Sales]]</f>
        <v>0.86405127209166832</v>
      </c>
      <c r="U169" s="28" t="str">
        <f>_xlfn.TEXTJOIN(" - ", TRUE, Master_Table[[#This Row],[Product]], Master_Table[[#This Row],[Branch]])</f>
        <v>Banana - Kaduna</v>
      </c>
    </row>
    <row r="170" spans="1:21" ht="14.4" x14ac:dyDescent="0.3">
      <c r="A170" s="2">
        <v>169</v>
      </c>
      <c r="B170" s="2">
        <f t="shared" si="17"/>
        <v>102</v>
      </c>
      <c r="C170" s="1" t="str">
        <f>VLOOKUP(B170,Products!A:C,2,FALSE)</f>
        <v>Banana</v>
      </c>
      <c r="D170" s="1" t="str">
        <f t="shared" si="18"/>
        <v>Ibadan</v>
      </c>
      <c r="E170" s="4" t="str">
        <f>_xlfn.XLOOKUP(D170,'Sales Manager'!$A$2:$A$6,'Sales Manager'!$B$2:$B$6,"")</f>
        <v>Funmi Adeyemi</v>
      </c>
      <c r="F170" s="3">
        <f t="shared" si="25"/>
        <v>1</v>
      </c>
      <c r="G170" s="1" t="str">
        <f t="shared" si="25"/>
        <v>Jan</v>
      </c>
      <c r="H170" s="11">
        <v>4000</v>
      </c>
      <c r="I170" s="11">
        <v>7112</v>
      </c>
      <c r="J170" s="11" cm="1">
        <f t="array" ref="J170">_xlfn.XLOOKUP(C170&amp;D170&amp;F170,Expense!$C$2:$C$601&amp;Expense!$D$2:$D$601&amp;Expense!$E$2:$E$601,Expense!$G$2:$G$601,"")</f>
        <v>1000</v>
      </c>
      <c r="K170" s="11" cm="1">
        <f t="array" ref="K170">_xlfn.XLOOKUP(C170&amp;D170&amp;F170,Expense!$C$2:$C$601&amp;Expense!$D$2:$D$601&amp;Expense!$E$2:$E$601,Expense!$H$2:$H$601,"")</f>
        <v>900</v>
      </c>
      <c r="L170" s="14">
        <f t="shared" si="22"/>
        <v>3112</v>
      </c>
      <c r="M170" s="14">
        <f>Master_Table[[#This Row],[Expense Budget]]-Master_Table[[#This Row],[Actual Expense]]</f>
        <v>100</v>
      </c>
      <c r="N170" s="16">
        <f t="shared" si="23"/>
        <v>6212</v>
      </c>
      <c r="O170" s="29">
        <f t="shared" si="20"/>
        <v>3000</v>
      </c>
      <c r="P170" s="16">
        <f t="shared" si="21"/>
        <v>3212</v>
      </c>
      <c r="Q170" s="28">
        <f>Master_Table[[#This Row],[△Sales Variance]]/Master_Table[[#This Row],[Sales Budget]]</f>
        <v>0.77800000000000002</v>
      </c>
      <c r="R170" s="28">
        <f>Master_Table[[#This Row],[△Expense  Variance]]/Master_Table[[#This Row],[Expense Budget]]</f>
        <v>0.1</v>
      </c>
      <c r="S170" s="28">
        <f>Master_Table[[#This Row],[Net Profit Variance]]/Master_Table[[#This Row],[Budget Net Profit]]</f>
        <v>1.0706666666666667</v>
      </c>
      <c r="T170" s="28">
        <f>Master_Table[[#This Row],[Actual Net Profit]]/Master_Table[[#This Row],[Actual Sales]]</f>
        <v>0.87345331833520812</v>
      </c>
      <c r="U170" s="28" t="str">
        <f>_xlfn.TEXTJOIN(" - ", TRUE, Master_Table[[#This Row],[Product]], Master_Table[[#This Row],[Branch]])</f>
        <v>Banana - Ibadan</v>
      </c>
    </row>
    <row r="171" spans="1:21" ht="14.4" x14ac:dyDescent="0.3">
      <c r="A171" s="2">
        <v>170</v>
      </c>
      <c r="B171" s="2">
        <f t="shared" si="17"/>
        <v>102</v>
      </c>
      <c r="C171" s="1" t="str">
        <f>VLOOKUP(B171,Products!A:C,2,FALSE)</f>
        <v>Banana</v>
      </c>
      <c r="D171" s="1" t="str">
        <f t="shared" si="18"/>
        <v>Ibadan</v>
      </c>
      <c r="E171" s="4" t="str">
        <f>_xlfn.XLOOKUP(D171,'Sales Manager'!$A$2:$A$6,'Sales Manager'!$B$2:$B$6,"")</f>
        <v>Funmi Adeyemi</v>
      </c>
      <c r="F171" s="3">
        <f t="shared" si="25"/>
        <v>2</v>
      </c>
      <c r="G171" s="1" t="str">
        <f t="shared" si="25"/>
        <v>Feb</v>
      </c>
      <c r="H171" s="11">
        <v>6000</v>
      </c>
      <c r="I171" s="11">
        <v>5435</v>
      </c>
      <c r="J171" s="11" cm="1">
        <f t="array" ref="J171">_xlfn.XLOOKUP(C171&amp;D171&amp;F171,Expense!$C$2:$C$601&amp;Expense!$D$2:$D$601&amp;Expense!$E$2:$E$601,Expense!$G$2:$G$601,"")</f>
        <v>2000</v>
      </c>
      <c r="K171" s="11" cm="1">
        <f t="array" ref="K171">_xlfn.XLOOKUP(C171&amp;D171&amp;F171,Expense!$C$2:$C$601&amp;Expense!$D$2:$D$601&amp;Expense!$E$2:$E$601,Expense!$H$2:$H$601,"")</f>
        <v>1500</v>
      </c>
      <c r="L171" s="14">
        <f t="shared" si="22"/>
        <v>-565</v>
      </c>
      <c r="M171" s="14">
        <f>Master_Table[[#This Row],[Expense Budget]]-Master_Table[[#This Row],[Actual Expense]]</f>
        <v>500</v>
      </c>
      <c r="N171" s="16">
        <f t="shared" si="23"/>
        <v>3935</v>
      </c>
      <c r="O171" s="29">
        <f t="shared" si="20"/>
        <v>4000</v>
      </c>
      <c r="P171" s="16">
        <f t="shared" si="21"/>
        <v>-65</v>
      </c>
      <c r="Q171" s="28">
        <f>Master_Table[[#This Row],[△Sales Variance]]/Master_Table[[#This Row],[Sales Budget]]</f>
        <v>-9.4166666666666662E-2</v>
      </c>
      <c r="R171" s="28">
        <f>Master_Table[[#This Row],[△Expense  Variance]]/Master_Table[[#This Row],[Expense Budget]]</f>
        <v>0.25</v>
      </c>
      <c r="S171" s="28">
        <f>Master_Table[[#This Row],[Net Profit Variance]]/Master_Table[[#This Row],[Budget Net Profit]]</f>
        <v>-1.6250000000000001E-2</v>
      </c>
      <c r="T171" s="28">
        <f>Master_Table[[#This Row],[Actual Net Profit]]/Master_Table[[#This Row],[Actual Sales]]</f>
        <v>0.72401103955841761</v>
      </c>
      <c r="U171" s="28" t="str">
        <f>_xlfn.TEXTJOIN(" - ", TRUE, Master_Table[[#This Row],[Product]], Master_Table[[#This Row],[Branch]])</f>
        <v>Banana - Ibadan</v>
      </c>
    </row>
    <row r="172" spans="1:21" ht="14.4" x14ac:dyDescent="0.3">
      <c r="A172" s="2">
        <v>171</v>
      </c>
      <c r="B172" s="2">
        <f t="shared" si="17"/>
        <v>102</v>
      </c>
      <c r="C172" s="1" t="str">
        <f>VLOOKUP(B172,Products!A:C,2,FALSE)</f>
        <v>Banana</v>
      </c>
      <c r="D172" s="1" t="str">
        <f t="shared" si="18"/>
        <v>Ibadan</v>
      </c>
      <c r="E172" s="4" t="str">
        <f>_xlfn.XLOOKUP(D172,'Sales Manager'!$A$2:$A$6,'Sales Manager'!$B$2:$B$6,"")</f>
        <v>Funmi Adeyemi</v>
      </c>
      <c r="F172" s="3">
        <f t="shared" si="25"/>
        <v>3</v>
      </c>
      <c r="G172" s="1" t="str">
        <f t="shared" si="25"/>
        <v>Mar</v>
      </c>
      <c r="H172" s="11">
        <v>1000</v>
      </c>
      <c r="I172" s="11">
        <v>9284</v>
      </c>
      <c r="J172" s="11" cm="1">
        <f t="array" ref="J172">_xlfn.XLOOKUP(C172&amp;D172&amp;F172,Expense!$C$2:$C$601&amp;Expense!$D$2:$D$601&amp;Expense!$E$2:$E$601,Expense!$G$2:$G$601,"")</f>
        <v>200</v>
      </c>
      <c r="K172" s="11" cm="1">
        <f t="array" ref="K172">_xlfn.XLOOKUP(C172&amp;D172&amp;F172,Expense!$C$2:$C$601&amp;Expense!$D$2:$D$601&amp;Expense!$E$2:$E$601,Expense!$H$2:$H$601,"")</f>
        <v>600</v>
      </c>
      <c r="L172" s="14">
        <f t="shared" si="22"/>
        <v>8284</v>
      </c>
      <c r="M172" s="14">
        <f>Master_Table[[#This Row],[Expense Budget]]-Master_Table[[#This Row],[Actual Expense]]</f>
        <v>-400</v>
      </c>
      <c r="N172" s="16">
        <f t="shared" si="23"/>
        <v>8684</v>
      </c>
      <c r="O172" s="29">
        <f t="shared" si="20"/>
        <v>800</v>
      </c>
      <c r="P172" s="16">
        <f t="shared" si="21"/>
        <v>7884</v>
      </c>
      <c r="Q172" s="28">
        <f>Master_Table[[#This Row],[△Sales Variance]]/Master_Table[[#This Row],[Sales Budget]]</f>
        <v>8.2840000000000007</v>
      </c>
      <c r="R172" s="28">
        <f>Master_Table[[#This Row],[△Expense  Variance]]/Master_Table[[#This Row],[Expense Budget]]</f>
        <v>-2</v>
      </c>
      <c r="S172" s="28">
        <f>Master_Table[[#This Row],[Net Profit Variance]]/Master_Table[[#This Row],[Budget Net Profit]]</f>
        <v>9.8550000000000004</v>
      </c>
      <c r="T172" s="28">
        <f>Master_Table[[#This Row],[Actual Net Profit]]/Master_Table[[#This Row],[Actual Sales]]</f>
        <v>0.93537268418785002</v>
      </c>
      <c r="U172" s="28" t="str">
        <f>_xlfn.TEXTJOIN(" - ", TRUE, Master_Table[[#This Row],[Product]], Master_Table[[#This Row],[Branch]])</f>
        <v>Banana - Ibadan</v>
      </c>
    </row>
    <row r="173" spans="1:21" ht="14.4" x14ac:dyDescent="0.3">
      <c r="A173" s="2">
        <v>172</v>
      </c>
      <c r="B173" s="2">
        <f t="shared" si="17"/>
        <v>102</v>
      </c>
      <c r="C173" s="1" t="str">
        <f>VLOOKUP(B173,Products!A:C,2,FALSE)</f>
        <v>Banana</v>
      </c>
      <c r="D173" s="1" t="str">
        <f t="shared" si="18"/>
        <v>Ibadan</v>
      </c>
      <c r="E173" s="4" t="str">
        <f>_xlfn.XLOOKUP(D173,'Sales Manager'!$A$2:$A$6,'Sales Manager'!$B$2:$B$6,"")</f>
        <v>Funmi Adeyemi</v>
      </c>
      <c r="F173" s="3">
        <f t="shared" si="25"/>
        <v>4</v>
      </c>
      <c r="G173" s="1" t="str">
        <f t="shared" si="25"/>
        <v>Apr</v>
      </c>
      <c r="H173" s="11">
        <v>5000</v>
      </c>
      <c r="I173" s="11">
        <v>4452</v>
      </c>
      <c r="J173" s="11" cm="1">
        <f t="array" ref="J173">_xlfn.XLOOKUP(C173&amp;D173&amp;F173,Expense!$C$2:$C$601&amp;Expense!$D$2:$D$601&amp;Expense!$E$2:$E$601,Expense!$G$2:$G$601,"")</f>
        <v>1666.6666666666667</v>
      </c>
      <c r="K173" s="11" cm="1">
        <f t="array" ref="K173">_xlfn.XLOOKUP(C173&amp;D173&amp;F173,Expense!$C$2:$C$601&amp;Expense!$D$2:$D$601&amp;Expense!$E$2:$E$601,Expense!$H$2:$H$601,"")</f>
        <v>1666.6666666666667</v>
      </c>
      <c r="L173" s="14">
        <f t="shared" si="22"/>
        <v>-548</v>
      </c>
      <c r="M173" s="14">
        <f>Master_Table[[#This Row],[Expense Budget]]-Master_Table[[#This Row],[Actual Expense]]</f>
        <v>0</v>
      </c>
      <c r="N173" s="16">
        <f t="shared" si="23"/>
        <v>2785.333333333333</v>
      </c>
      <c r="O173" s="29">
        <f t="shared" si="20"/>
        <v>3333.333333333333</v>
      </c>
      <c r="P173" s="16">
        <f t="shared" si="21"/>
        <v>-548</v>
      </c>
      <c r="Q173" s="28">
        <f>Master_Table[[#This Row],[△Sales Variance]]/Master_Table[[#This Row],[Sales Budget]]</f>
        <v>-0.1096</v>
      </c>
      <c r="R173" s="28">
        <f>Master_Table[[#This Row],[△Expense  Variance]]/Master_Table[[#This Row],[Expense Budget]]</f>
        <v>0</v>
      </c>
      <c r="S173" s="28">
        <f>Master_Table[[#This Row],[Net Profit Variance]]/Master_Table[[#This Row],[Budget Net Profit]]</f>
        <v>-0.16440000000000002</v>
      </c>
      <c r="T173" s="28">
        <f>Master_Table[[#This Row],[Actual Net Profit]]/Master_Table[[#This Row],[Actual Sales]]</f>
        <v>0.62563641808924819</v>
      </c>
      <c r="U173" s="28" t="str">
        <f>_xlfn.TEXTJOIN(" - ", TRUE, Master_Table[[#This Row],[Product]], Master_Table[[#This Row],[Branch]])</f>
        <v>Banana - Ibadan</v>
      </c>
    </row>
    <row r="174" spans="1:21" ht="14.4" x14ac:dyDescent="0.3">
      <c r="A174" s="2">
        <v>173</v>
      </c>
      <c r="B174" s="2">
        <f t="shared" si="17"/>
        <v>102</v>
      </c>
      <c r="C174" s="1" t="str">
        <f>VLOOKUP(B174,Products!A:C,2,FALSE)</f>
        <v>Banana</v>
      </c>
      <c r="D174" s="1" t="str">
        <f t="shared" si="18"/>
        <v>Ibadan</v>
      </c>
      <c r="E174" s="4" t="str">
        <f>_xlfn.XLOOKUP(D174,'Sales Manager'!$A$2:$A$6,'Sales Manager'!$B$2:$B$6,"")</f>
        <v>Funmi Adeyemi</v>
      </c>
      <c r="F174" s="3">
        <f t="shared" si="25"/>
        <v>5</v>
      </c>
      <c r="G174" s="1" t="str">
        <f t="shared" si="25"/>
        <v>May</v>
      </c>
      <c r="H174" s="11">
        <v>3000</v>
      </c>
      <c r="I174" s="11">
        <v>2432</v>
      </c>
      <c r="J174" s="11" cm="1">
        <f t="array" ref="J174">_xlfn.XLOOKUP(C174&amp;D174&amp;F174,Expense!$C$2:$C$601&amp;Expense!$D$2:$D$601&amp;Expense!$E$2:$E$601,Expense!$G$2:$G$601,"")</f>
        <v>1500</v>
      </c>
      <c r="K174" s="11" cm="1">
        <f t="array" ref="K174">_xlfn.XLOOKUP(C174&amp;D174&amp;F174,Expense!$C$2:$C$601&amp;Expense!$D$2:$D$601&amp;Expense!$E$2:$E$601,Expense!$H$2:$H$601,"")</f>
        <v>1400</v>
      </c>
      <c r="L174" s="14">
        <f t="shared" si="22"/>
        <v>-568</v>
      </c>
      <c r="M174" s="14">
        <f>Master_Table[[#This Row],[Expense Budget]]-Master_Table[[#This Row],[Actual Expense]]</f>
        <v>100</v>
      </c>
      <c r="N174" s="16">
        <f t="shared" si="23"/>
        <v>1032</v>
      </c>
      <c r="O174" s="29">
        <f t="shared" si="20"/>
        <v>1500</v>
      </c>
      <c r="P174" s="16">
        <f t="shared" si="21"/>
        <v>-468</v>
      </c>
      <c r="Q174" s="28">
        <f>Master_Table[[#This Row],[△Sales Variance]]/Master_Table[[#This Row],[Sales Budget]]</f>
        <v>-0.18933333333333333</v>
      </c>
      <c r="R174" s="28">
        <f>Master_Table[[#This Row],[△Expense  Variance]]/Master_Table[[#This Row],[Expense Budget]]</f>
        <v>6.6666666666666666E-2</v>
      </c>
      <c r="S174" s="28">
        <f>Master_Table[[#This Row],[Net Profit Variance]]/Master_Table[[#This Row],[Budget Net Profit]]</f>
        <v>-0.312</v>
      </c>
      <c r="T174" s="28">
        <f>Master_Table[[#This Row],[Actual Net Profit]]/Master_Table[[#This Row],[Actual Sales]]</f>
        <v>0.42434210526315791</v>
      </c>
      <c r="U174" s="28" t="str">
        <f>_xlfn.TEXTJOIN(" - ", TRUE, Master_Table[[#This Row],[Product]], Master_Table[[#This Row],[Branch]])</f>
        <v>Banana - Ibadan</v>
      </c>
    </row>
    <row r="175" spans="1:21" ht="14.4" x14ac:dyDescent="0.3">
      <c r="A175" s="2">
        <v>174</v>
      </c>
      <c r="B175" s="2">
        <f t="shared" si="17"/>
        <v>102</v>
      </c>
      <c r="C175" s="1" t="str">
        <f>VLOOKUP(B175,Products!A:C,2,FALSE)</f>
        <v>Banana</v>
      </c>
      <c r="D175" s="1" t="str">
        <f t="shared" si="18"/>
        <v>Ibadan</v>
      </c>
      <c r="E175" s="4" t="str">
        <f>_xlfn.XLOOKUP(D175,'Sales Manager'!$A$2:$A$6,'Sales Manager'!$B$2:$B$6,"")</f>
        <v>Funmi Adeyemi</v>
      </c>
      <c r="F175" s="3">
        <f t="shared" ref="F175:G190" si="26">F163</f>
        <v>6</v>
      </c>
      <c r="G175" s="1" t="str">
        <f t="shared" si="26"/>
        <v>Jun</v>
      </c>
      <c r="H175" s="11">
        <v>1000</v>
      </c>
      <c r="I175" s="11">
        <v>3214</v>
      </c>
      <c r="J175" s="11" cm="1">
        <f t="array" ref="J175">_xlfn.XLOOKUP(C175&amp;D175&amp;F175,Expense!$C$2:$C$601&amp;Expense!$D$2:$D$601&amp;Expense!$E$2:$E$601,Expense!$G$2:$G$601,"")</f>
        <v>333.33333333333331</v>
      </c>
      <c r="K175" s="11" cm="1">
        <f t="array" ref="K175">_xlfn.XLOOKUP(C175&amp;D175&amp;F175,Expense!$C$2:$C$601&amp;Expense!$D$2:$D$601&amp;Expense!$E$2:$E$601,Expense!$H$2:$H$601,"")</f>
        <v>333.33333333333331</v>
      </c>
      <c r="L175" s="14">
        <f t="shared" si="22"/>
        <v>2214</v>
      </c>
      <c r="M175" s="14">
        <f>Master_Table[[#This Row],[Expense Budget]]-Master_Table[[#This Row],[Actual Expense]]</f>
        <v>0</v>
      </c>
      <c r="N175" s="16">
        <f t="shared" si="23"/>
        <v>2880.6666666666665</v>
      </c>
      <c r="O175" s="29">
        <f t="shared" si="20"/>
        <v>666.66666666666674</v>
      </c>
      <c r="P175" s="16">
        <f t="shared" si="21"/>
        <v>2214</v>
      </c>
      <c r="Q175" s="28">
        <f>Master_Table[[#This Row],[△Sales Variance]]/Master_Table[[#This Row],[Sales Budget]]</f>
        <v>2.214</v>
      </c>
      <c r="R175" s="28">
        <f>Master_Table[[#This Row],[△Expense  Variance]]/Master_Table[[#This Row],[Expense Budget]]</f>
        <v>0</v>
      </c>
      <c r="S175" s="28">
        <f>Master_Table[[#This Row],[Net Profit Variance]]/Master_Table[[#This Row],[Budget Net Profit]]</f>
        <v>3.3209999999999997</v>
      </c>
      <c r="T175" s="28">
        <f>Master_Table[[#This Row],[Actual Net Profit]]/Master_Table[[#This Row],[Actual Sales]]</f>
        <v>0.89628707736984026</v>
      </c>
      <c r="U175" s="28" t="str">
        <f>_xlfn.TEXTJOIN(" - ", TRUE, Master_Table[[#This Row],[Product]], Master_Table[[#This Row],[Branch]])</f>
        <v>Banana - Ibadan</v>
      </c>
    </row>
    <row r="176" spans="1:21" ht="14.4" x14ac:dyDescent="0.3">
      <c r="A176" s="2">
        <v>175</v>
      </c>
      <c r="B176" s="2">
        <f t="shared" si="17"/>
        <v>102</v>
      </c>
      <c r="C176" s="1" t="str">
        <f>VLOOKUP(B176,Products!A:C,2,FALSE)</f>
        <v>Banana</v>
      </c>
      <c r="D176" s="1" t="str">
        <f t="shared" si="18"/>
        <v>Ibadan</v>
      </c>
      <c r="E176" s="4" t="str">
        <f>_xlfn.XLOOKUP(D176,'Sales Manager'!$A$2:$A$6,'Sales Manager'!$B$2:$B$6,"")</f>
        <v>Funmi Adeyemi</v>
      </c>
      <c r="F176" s="3">
        <f t="shared" si="26"/>
        <v>7</v>
      </c>
      <c r="G176" s="1" t="str">
        <f t="shared" si="26"/>
        <v>Jul</v>
      </c>
      <c r="H176" s="11">
        <v>2000</v>
      </c>
      <c r="I176" s="11">
        <v>2637</v>
      </c>
      <c r="J176" s="11" cm="1">
        <f t="array" ref="J176">_xlfn.XLOOKUP(C176&amp;D176&amp;F176,Expense!$C$2:$C$601&amp;Expense!$D$2:$D$601&amp;Expense!$E$2:$E$601,Expense!$G$2:$G$601,"")</f>
        <v>400</v>
      </c>
      <c r="K176" s="11" cm="1">
        <f t="array" ref="K176">_xlfn.XLOOKUP(C176&amp;D176&amp;F176,Expense!$C$2:$C$601&amp;Expense!$D$2:$D$601&amp;Expense!$E$2:$E$601,Expense!$H$2:$H$601,"")</f>
        <v>300</v>
      </c>
      <c r="L176" s="14">
        <f t="shared" si="22"/>
        <v>637</v>
      </c>
      <c r="M176" s="14">
        <f>Master_Table[[#This Row],[Expense Budget]]-Master_Table[[#This Row],[Actual Expense]]</f>
        <v>100</v>
      </c>
      <c r="N176" s="16">
        <f t="shared" si="23"/>
        <v>2337</v>
      </c>
      <c r="O176" s="29">
        <f t="shared" si="20"/>
        <v>1600</v>
      </c>
      <c r="P176" s="16">
        <f t="shared" si="21"/>
        <v>737</v>
      </c>
      <c r="Q176" s="28">
        <f>Master_Table[[#This Row],[△Sales Variance]]/Master_Table[[#This Row],[Sales Budget]]</f>
        <v>0.31850000000000001</v>
      </c>
      <c r="R176" s="28">
        <f>Master_Table[[#This Row],[△Expense  Variance]]/Master_Table[[#This Row],[Expense Budget]]</f>
        <v>0.25</v>
      </c>
      <c r="S176" s="28">
        <f>Master_Table[[#This Row],[Net Profit Variance]]/Master_Table[[#This Row],[Budget Net Profit]]</f>
        <v>0.46062500000000001</v>
      </c>
      <c r="T176" s="28">
        <f>Master_Table[[#This Row],[Actual Net Profit]]/Master_Table[[#This Row],[Actual Sales]]</f>
        <v>0.88623435722411836</v>
      </c>
      <c r="U176" s="28" t="str">
        <f>_xlfn.TEXTJOIN(" - ", TRUE, Master_Table[[#This Row],[Product]], Master_Table[[#This Row],[Branch]])</f>
        <v>Banana - Ibadan</v>
      </c>
    </row>
    <row r="177" spans="1:21" ht="14.4" x14ac:dyDescent="0.3">
      <c r="A177" s="2">
        <v>176</v>
      </c>
      <c r="B177" s="2">
        <f t="shared" si="17"/>
        <v>102</v>
      </c>
      <c r="C177" s="1" t="str">
        <f>VLOOKUP(B177,Products!A:C,2,FALSE)</f>
        <v>Banana</v>
      </c>
      <c r="D177" s="1" t="str">
        <f t="shared" si="18"/>
        <v>Ibadan</v>
      </c>
      <c r="E177" s="4" t="str">
        <f>_xlfn.XLOOKUP(D177,'Sales Manager'!$A$2:$A$6,'Sales Manager'!$B$2:$B$6,"")</f>
        <v>Funmi Adeyemi</v>
      </c>
      <c r="F177" s="3">
        <f t="shared" si="26"/>
        <v>8</v>
      </c>
      <c r="G177" s="1" t="str">
        <f t="shared" si="26"/>
        <v>Aug</v>
      </c>
      <c r="H177" s="11">
        <v>3000</v>
      </c>
      <c r="I177" s="11">
        <v>7768</v>
      </c>
      <c r="J177" s="11" cm="1">
        <f t="array" ref="J177">_xlfn.XLOOKUP(C177&amp;D177&amp;F177,Expense!$C$2:$C$601&amp;Expense!$D$2:$D$601&amp;Expense!$E$2:$E$601,Expense!$G$2:$G$601,"")</f>
        <v>750</v>
      </c>
      <c r="K177" s="11" cm="1">
        <f t="array" ref="K177">_xlfn.XLOOKUP(C177&amp;D177&amp;F177,Expense!$C$2:$C$601&amp;Expense!$D$2:$D$601&amp;Expense!$E$2:$E$601,Expense!$H$2:$H$601,"")</f>
        <v>350</v>
      </c>
      <c r="L177" s="14">
        <f t="shared" si="22"/>
        <v>4768</v>
      </c>
      <c r="M177" s="14">
        <f>Master_Table[[#This Row],[Expense Budget]]-Master_Table[[#This Row],[Actual Expense]]</f>
        <v>400</v>
      </c>
      <c r="N177" s="16">
        <f t="shared" si="23"/>
        <v>7418</v>
      </c>
      <c r="O177" s="29">
        <f t="shared" si="20"/>
        <v>2250</v>
      </c>
      <c r="P177" s="16">
        <f t="shared" si="21"/>
        <v>5168</v>
      </c>
      <c r="Q177" s="28">
        <f>Master_Table[[#This Row],[△Sales Variance]]/Master_Table[[#This Row],[Sales Budget]]</f>
        <v>1.5893333333333333</v>
      </c>
      <c r="R177" s="28">
        <f>Master_Table[[#This Row],[△Expense  Variance]]/Master_Table[[#This Row],[Expense Budget]]</f>
        <v>0.53333333333333333</v>
      </c>
      <c r="S177" s="28">
        <f>Master_Table[[#This Row],[Net Profit Variance]]/Master_Table[[#This Row],[Budget Net Profit]]</f>
        <v>2.2968888888888888</v>
      </c>
      <c r="T177" s="28">
        <f>Master_Table[[#This Row],[Actual Net Profit]]/Master_Table[[#This Row],[Actual Sales]]</f>
        <v>0.95494335736354274</v>
      </c>
      <c r="U177" s="28" t="str">
        <f>_xlfn.TEXTJOIN(" - ", TRUE, Master_Table[[#This Row],[Product]], Master_Table[[#This Row],[Branch]])</f>
        <v>Banana - Ibadan</v>
      </c>
    </row>
    <row r="178" spans="1:21" ht="14.4" x14ac:dyDescent="0.3">
      <c r="A178" s="2">
        <v>177</v>
      </c>
      <c r="B178" s="2">
        <f t="shared" si="17"/>
        <v>102</v>
      </c>
      <c r="C178" s="1" t="str">
        <f>VLOOKUP(B178,Products!A:C,2,FALSE)</f>
        <v>Banana</v>
      </c>
      <c r="D178" s="1" t="str">
        <f t="shared" si="18"/>
        <v>Ibadan</v>
      </c>
      <c r="E178" s="4" t="str">
        <f>_xlfn.XLOOKUP(D178,'Sales Manager'!$A$2:$A$6,'Sales Manager'!$B$2:$B$6,"")</f>
        <v>Funmi Adeyemi</v>
      </c>
      <c r="F178" s="3">
        <f t="shared" si="26"/>
        <v>9</v>
      </c>
      <c r="G178" s="1" t="str">
        <f t="shared" si="26"/>
        <v>Sept</v>
      </c>
      <c r="H178" s="11">
        <v>9000</v>
      </c>
      <c r="I178" s="11">
        <v>5762</v>
      </c>
      <c r="J178" s="11" cm="1">
        <f t="array" ref="J178">_xlfn.XLOOKUP(C178&amp;D178&amp;F178,Expense!$C$2:$C$601&amp;Expense!$D$2:$D$601&amp;Expense!$E$2:$E$601,Expense!$G$2:$G$601,"")</f>
        <v>4500</v>
      </c>
      <c r="K178" s="11" cm="1">
        <f t="array" ref="K178">_xlfn.XLOOKUP(C178&amp;D178&amp;F178,Expense!$C$2:$C$601&amp;Expense!$D$2:$D$601&amp;Expense!$E$2:$E$601,Expense!$H$2:$H$601,"")</f>
        <v>3800</v>
      </c>
      <c r="L178" s="14">
        <f t="shared" si="22"/>
        <v>-3238</v>
      </c>
      <c r="M178" s="14">
        <f>Master_Table[[#This Row],[Expense Budget]]-Master_Table[[#This Row],[Actual Expense]]</f>
        <v>700</v>
      </c>
      <c r="N178" s="16">
        <f t="shared" si="23"/>
        <v>1962</v>
      </c>
      <c r="O178" s="29">
        <f t="shared" si="20"/>
        <v>4500</v>
      </c>
      <c r="P178" s="16">
        <f t="shared" si="21"/>
        <v>-2538</v>
      </c>
      <c r="Q178" s="28">
        <f>Master_Table[[#This Row],[△Sales Variance]]/Master_Table[[#This Row],[Sales Budget]]</f>
        <v>-0.35977777777777775</v>
      </c>
      <c r="R178" s="28">
        <f>Master_Table[[#This Row],[△Expense  Variance]]/Master_Table[[#This Row],[Expense Budget]]</f>
        <v>0.15555555555555556</v>
      </c>
      <c r="S178" s="28">
        <f>Master_Table[[#This Row],[Net Profit Variance]]/Master_Table[[#This Row],[Budget Net Profit]]</f>
        <v>-0.56399999999999995</v>
      </c>
      <c r="T178" s="28">
        <f>Master_Table[[#This Row],[Actual Net Profit]]/Master_Table[[#This Row],[Actual Sales]]</f>
        <v>0.34050676848316558</v>
      </c>
      <c r="U178" s="28" t="str">
        <f>_xlfn.TEXTJOIN(" - ", TRUE, Master_Table[[#This Row],[Product]], Master_Table[[#This Row],[Branch]])</f>
        <v>Banana - Ibadan</v>
      </c>
    </row>
    <row r="179" spans="1:21" ht="14.4" x14ac:dyDescent="0.3">
      <c r="A179" s="2">
        <v>178</v>
      </c>
      <c r="B179" s="2">
        <f t="shared" si="17"/>
        <v>102</v>
      </c>
      <c r="C179" s="1" t="str">
        <f>VLOOKUP(B179,Products!A:C,2,FALSE)</f>
        <v>Banana</v>
      </c>
      <c r="D179" s="1" t="str">
        <f t="shared" si="18"/>
        <v>Ibadan</v>
      </c>
      <c r="E179" s="4" t="str">
        <f>_xlfn.XLOOKUP(D179,'Sales Manager'!$A$2:$A$6,'Sales Manager'!$B$2:$B$6,"")</f>
        <v>Funmi Adeyemi</v>
      </c>
      <c r="F179" s="3">
        <f t="shared" si="26"/>
        <v>10</v>
      </c>
      <c r="G179" s="1" t="str">
        <f t="shared" si="26"/>
        <v>Oct</v>
      </c>
      <c r="H179" s="11">
        <v>7000</v>
      </c>
      <c r="I179" s="11">
        <v>3434</v>
      </c>
      <c r="J179" s="11" cm="1">
        <f t="array" ref="J179">_xlfn.XLOOKUP(C179&amp;D179&amp;F179,Expense!$C$2:$C$601&amp;Expense!$D$2:$D$601&amp;Expense!$E$2:$E$601,Expense!$G$2:$G$601,"")</f>
        <v>2333.3333333333335</v>
      </c>
      <c r="K179" s="11" cm="1">
        <f t="array" ref="K179">_xlfn.XLOOKUP(C179&amp;D179&amp;F179,Expense!$C$2:$C$601&amp;Expense!$D$2:$D$601&amp;Expense!$E$2:$E$601,Expense!$H$2:$H$601,"")</f>
        <v>2233.3333333333335</v>
      </c>
      <c r="L179" s="14">
        <f t="shared" si="22"/>
        <v>-3566</v>
      </c>
      <c r="M179" s="14">
        <f>Master_Table[[#This Row],[Expense Budget]]-Master_Table[[#This Row],[Actual Expense]]</f>
        <v>100</v>
      </c>
      <c r="N179" s="16">
        <f t="shared" si="23"/>
        <v>1200.6666666666665</v>
      </c>
      <c r="O179" s="29">
        <f t="shared" si="20"/>
        <v>4666.6666666666661</v>
      </c>
      <c r="P179" s="16">
        <f t="shared" si="21"/>
        <v>-3465.9999999999995</v>
      </c>
      <c r="Q179" s="28">
        <f>Master_Table[[#This Row],[△Sales Variance]]/Master_Table[[#This Row],[Sales Budget]]</f>
        <v>-0.50942857142857145</v>
      </c>
      <c r="R179" s="28">
        <f>Master_Table[[#This Row],[△Expense  Variance]]/Master_Table[[#This Row],[Expense Budget]]</f>
        <v>4.2857142857142858E-2</v>
      </c>
      <c r="S179" s="28">
        <f>Master_Table[[#This Row],[Net Profit Variance]]/Master_Table[[#This Row],[Budget Net Profit]]</f>
        <v>-0.74271428571428566</v>
      </c>
      <c r="T179" s="28">
        <f>Master_Table[[#This Row],[Actual Net Profit]]/Master_Table[[#This Row],[Actual Sales]]</f>
        <v>0.34964084643758492</v>
      </c>
      <c r="U179" s="28" t="str">
        <f>_xlfn.TEXTJOIN(" - ", TRUE, Master_Table[[#This Row],[Product]], Master_Table[[#This Row],[Branch]])</f>
        <v>Banana - Ibadan</v>
      </c>
    </row>
    <row r="180" spans="1:21" ht="14.4" x14ac:dyDescent="0.3">
      <c r="A180" s="2">
        <v>179</v>
      </c>
      <c r="B180" s="2">
        <f t="shared" si="17"/>
        <v>102</v>
      </c>
      <c r="C180" s="1" t="str">
        <f>VLOOKUP(B180,Products!A:C,2,FALSE)</f>
        <v>Banana</v>
      </c>
      <c r="D180" s="1" t="str">
        <f t="shared" si="18"/>
        <v>Ibadan</v>
      </c>
      <c r="E180" s="4" t="str">
        <f>_xlfn.XLOOKUP(D180,'Sales Manager'!$A$2:$A$6,'Sales Manager'!$B$2:$B$6,"")</f>
        <v>Funmi Adeyemi</v>
      </c>
      <c r="F180" s="3">
        <f t="shared" si="26"/>
        <v>11</v>
      </c>
      <c r="G180" s="1" t="str">
        <f t="shared" si="26"/>
        <v>Nov</v>
      </c>
      <c r="H180" s="11">
        <v>2000</v>
      </c>
      <c r="I180" s="11">
        <v>6651</v>
      </c>
      <c r="J180" s="11" cm="1">
        <f t="array" ref="J180">_xlfn.XLOOKUP(C180&amp;D180&amp;F180,Expense!$C$2:$C$601&amp;Expense!$D$2:$D$601&amp;Expense!$E$2:$E$601,Expense!$G$2:$G$601,"")</f>
        <v>666.66666666666663</v>
      </c>
      <c r="K180" s="11" cm="1">
        <f t="array" ref="K180">_xlfn.XLOOKUP(C180&amp;D180&amp;F180,Expense!$C$2:$C$601&amp;Expense!$D$2:$D$601&amp;Expense!$E$2:$E$601,Expense!$H$2:$H$601,"")</f>
        <v>566.66666666666663</v>
      </c>
      <c r="L180" s="14">
        <f t="shared" si="22"/>
        <v>4651</v>
      </c>
      <c r="M180" s="14">
        <f>Master_Table[[#This Row],[Expense Budget]]-Master_Table[[#This Row],[Actual Expense]]</f>
        <v>100</v>
      </c>
      <c r="N180" s="16">
        <f t="shared" si="23"/>
        <v>6084.333333333333</v>
      </c>
      <c r="O180" s="29">
        <f t="shared" si="20"/>
        <v>1333.3333333333335</v>
      </c>
      <c r="P180" s="16">
        <f t="shared" si="21"/>
        <v>4751</v>
      </c>
      <c r="Q180" s="28">
        <f>Master_Table[[#This Row],[△Sales Variance]]/Master_Table[[#This Row],[Sales Budget]]</f>
        <v>2.3254999999999999</v>
      </c>
      <c r="R180" s="28">
        <f>Master_Table[[#This Row],[△Expense  Variance]]/Master_Table[[#This Row],[Expense Budget]]</f>
        <v>0.15000000000000002</v>
      </c>
      <c r="S180" s="28">
        <f>Master_Table[[#This Row],[Net Profit Variance]]/Master_Table[[#This Row],[Budget Net Profit]]</f>
        <v>3.5632499999999996</v>
      </c>
      <c r="T180" s="28">
        <f>Master_Table[[#This Row],[Actual Net Profit]]/Master_Table[[#This Row],[Actual Sales]]</f>
        <v>0.91479977948178215</v>
      </c>
      <c r="U180" s="28" t="str">
        <f>_xlfn.TEXTJOIN(" - ", TRUE, Master_Table[[#This Row],[Product]], Master_Table[[#This Row],[Branch]])</f>
        <v>Banana - Ibadan</v>
      </c>
    </row>
    <row r="181" spans="1:21" ht="14.4" x14ac:dyDescent="0.3">
      <c r="A181" s="2">
        <v>180</v>
      </c>
      <c r="B181" s="2">
        <f t="shared" si="17"/>
        <v>102</v>
      </c>
      <c r="C181" s="1" t="str">
        <f>VLOOKUP(B181,Products!A:C,2,FALSE)</f>
        <v>Banana</v>
      </c>
      <c r="D181" s="1" t="str">
        <f t="shared" si="18"/>
        <v>Ibadan</v>
      </c>
      <c r="E181" s="4" t="str">
        <f>_xlfn.XLOOKUP(D181,'Sales Manager'!$A$2:$A$6,'Sales Manager'!$B$2:$B$6,"")</f>
        <v>Funmi Adeyemi</v>
      </c>
      <c r="F181" s="3">
        <f t="shared" si="26"/>
        <v>12</v>
      </c>
      <c r="G181" s="1" t="str">
        <f t="shared" si="26"/>
        <v>Dec</v>
      </c>
      <c r="H181" s="11">
        <v>7000</v>
      </c>
      <c r="I181" s="11">
        <v>9315</v>
      </c>
      <c r="J181" s="11" cm="1">
        <f t="array" ref="J181">_xlfn.XLOOKUP(C181&amp;D181&amp;F181,Expense!$C$2:$C$601&amp;Expense!$D$2:$D$601&amp;Expense!$E$2:$E$601,Expense!$G$2:$G$601,"")</f>
        <v>3500</v>
      </c>
      <c r="K181" s="11" cm="1">
        <f t="array" ref="K181">_xlfn.XLOOKUP(C181&amp;D181&amp;F181,Expense!$C$2:$C$601&amp;Expense!$D$2:$D$601&amp;Expense!$E$2:$E$601,Expense!$H$2:$H$601,"")</f>
        <v>3300</v>
      </c>
      <c r="L181" s="14">
        <f t="shared" si="22"/>
        <v>2315</v>
      </c>
      <c r="M181" s="14">
        <f>Master_Table[[#This Row],[Expense Budget]]-Master_Table[[#This Row],[Actual Expense]]</f>
        <v>200</v>
      </c>
      <c r="N181" s="16">
        <f t="shared" si="23"/>
        <v>6015</v>
      </c>
      <c r="O181" s="29">
        <f t="shared" si="20"/>
        <v>3500</v>
      </c>
      <c r="P181" s="16">
        <f t="shared" si="21"/>
        <v>2515</v>
      </c>
      <c r="Q181" s="28">
        <f>Master_Table[[#This Row],[△Sales Variance]]/Master_Table[[#This Row],[Sales Budget]]</f>
        <v>0.33071428571428574</v>
      </c>
      <c r="R181" s="28">
        <f>Master_Table[[#This Row],[△Expense  Variance]]/Master_Table[[#This Row],[Expense Budget]]</f>
        <v>5.7142857142857141E-2</v>
      </c>
      <c r="S181" s="28">
        <f>Master_Table[[#This Row],[Net Profit Variance]]/Master_Table[[#This Row],[Budget Net Profit]]</f>
        <v>0.71857142857142853</v>
      </c>
      <c r="T181" s="28">
        <f>Master_Table[[#This Row],[Actual Net Profit]]/Master_Table[[#This Row],[Actual Sales]]</f>
        <v>0.64573268921095006</v>
      </c>
      <c r="U181" s="28" t="str">
        <f>_xlfn.TEXTJOIN(" - ", TRUE, Master_Table[[#This Row],[Product]], Master_Table[[#This Row],[Branch]])</f>
        <v>Banana - Ibadan</v>
      </c>
    </row>
    <row r="182" spans="1:21" ht="14.4" x14ac:dyDescent="0.3">
      <c r="A182" s="2">
        <v>181</v>
      </c>
      <c r="B182" s="2">
        <f t="shared" si="17"/>
        <v>103</v>
      </c>
      <c r="C182" s="1" t="str">
        <f>VLOOKUP(B182,Products!A:C,2,FALSE)</f>
        <v>Melon</v>
      </c>
      <c r="D182" s="1" t="str">
        <f t="shared" si="18"/>
        <v>Lagos</v>
      </c>
      <c r="E182" s="4" t="str">
        <f>_xlfn.XLOOKUP(D182,'Sales Manager'!$A$2:$A$6,'Sales Manager'!$B$2:$B$6,"")</f>
        <v>Adaora Okafor</v>
      </c>
      <c r="F182" s="3">
        <f t="shared" si="26"/>
        <v>1</v>
      </c>
      <c r="G182" s="1" t="str">
        <f t="shared" si="26"/>
        <v>Jan</v>
      </c>
      <c r="H182" s="11">
        <v>4000</v>
      </c>
      <c r="I182" s="11">
        <v>7734</v>
      </c>
      <c r="J182" s="11" cm="1">
        <f t="array" ref="J182">_xlfn.XLOOKUP(C182&amp;D182&amp;F182,Expense!$C$2:$C$601&amp;Expense!$D$2:$D$601&amp;Expense!$E$2:$E$601,Expense!$G$2:$G$601,"")</f>
        <v>1000</v>
      </c>
      <c r="K182" s="11" cm="1">
        <f t="array" ref="K182">_xlfn.XLOOKUP(C182&amp;D182&amp;F182,Expense!$C$2:$C$601&amp;Expense!$D$2:$D$601&amp;Expense!$E$2:$E$601,Expense!$H$2:$H$601,"")</f>
        <v>500</v>
      </c>
      <c r="L182" s="14">
        <f t="shared" si="22"/>
        <v>3734</v>
      </c>
      <c r="M182" s="14">
        <f>Master_Table[[#This Row],[Expense Budget]]-Master_Table[[#This Row],[Actual Expense]]</f>
        <v>500</v>
      </c>
      <c r="N182" s="16">
        <f t="shared" si="23"/>
        <v>7234</v>
      </c>
      <c r="O182" s="29">
        <f t="shared" si="20"/>
        <v>3000</v>
      </c>
      <c r="P182" s="16">
        <f t="shared" si="21"/>
        <v>4234</v>
      </c>
      <c r="Q182" s="28">
        <f>Master_Table[[#This Row],[△Sales Variance]]/Master_Table[[#This Row],[Sales Budget]]</f>
        <v>0.9335</v>
      </c>
      <c r="R182" s="28">
        <f>Master_Table[[#This Row],[△Expense  Variance]]/Master_Table[[#This Row],[Expense Budget]]</f>
        <v>0.5</v>
      </c>
      <c r="S182" s="28">
        <f>Master_Table[[#This Row],[Net Profit Variance]]/Master_Table[[#This Row],[Budget Net Profit]]</f>
        <v>1.4113333333333333</v>
      </c>
      <c r="T182" s="28">
        <f>Master_Table[[#This Row],[Actual Net Profit]]/Master_Table[[#This Row],[Actual Sales]]</f>
        <v>0.93535040082751486</v>
      </c>
      <c r="U182" s="28" t="str">
        <f>_xlfn.TEXTJOIN(" - ", TRUE, Master_Table[[#This Row],[Product]], Master_Table[[#This Row],[Branch]])</f>
        <v>Melon - Lagos</v>
      </c>
    </row>
    <row r="183" spans="1:21" ht="14.4" x14ac:dyDescent="0.3">
      <c r="A183" s="2">
        <v>182</v>
      </c>
      <c r="B183" s="2">
        <f t="shared" si="17"/>
        <v>103</v>
      </c>
      <c r="C183" s="1" t="str">
        <f>VLOOKUP(B183,Products!A:C,2,FALSE)</f>
        <v>Melon</v>
      </c>
      <c r="D183" s="1" t="str">
        <f t="shared" si="18"/>
        <v>Lagos</v>
      </c>
      <c r="E183" s="4" t="str">
        <f>_xlfn.XLOOKUP(D183,'Sales Manager'!$A$2:$A$6,'Sales Manager'!$B$2:$B$6,"")</f>
        <v>Adaora Okafor</v>
      </c>
      <c r="F183" s="3">
        <f t="shared" si="26"/>
        <v>2</v>
      </c>
      <c r="G183" s="1" t="str">
        <f t="shared" si="26"/>
        <v>Feb</v>
      </c>
      <c r="H183" s="11">
        <v>1000</v>
      </c>
      <c r="I183" s="11">
        <v>2344</v>
      </c>
      <c r="J183" s="11" cm="1">
        <f t="array" ref="J183">_xlfn.XLOOKUP(C183&amp;D183&amp;F183,Expense!$C$2:$C$601&amp;Expense!$D$2:$D$601&amp;Expense!$E$2:$E$601,Expense!$G$2:$G$601,"")</f>
        <v>500</v>
      </c>
      <c r="K183" s="11" cm="1">
        <f t="array" ref="K183">_xlfn.XLOOKUP(C183&amp;D183&amp;F183,Expense!$C$2:$C$601&amp;Expense!$D$2:$D$601&amp;Expense!$E$2:$E$601,Expense!$H$2:$H$601,"")</f>
        <v>100</v>
      </c>
      <c r="L183" s="14">
        <f t="shared" si="22"/>
        <v>1344</v>
      </c>
      <c r="M183" s="14">
        <f>Master_Table[[#This Row],[Expense Budget]]-Master_Table[[#This Row],[Actual Expense]]</f>
        <v>400</v>
      </c>
      <c r="N183" s="16">
        <f t="shared" si="23"/>
        <v>2244</v>
      </c>
      <c r="O183" s="29">
        <f t="shared" si="20"/>
        <v>500</v>
      </c>
      <c r="P183" s="16">
        <f t="shared" si="21"/>
        <v>1744</v>
      </c>
      <c r="Q183" s="28">
        <f>Master_Table[[#This Row],[△Sales Variance]]/Master_Table[[#This Row],[Sales Budget]]</f>
        <v>1.3440000000000001</v>
      </c>
      <c r="R183" s="28">
        <f>Master_Table[[#This Row],[△Expense  Variance]]/Master_Table[[#This Row],[Expense Budget]]</f>
        <v>0.8</v>
      </c>
      <c r="S183" s="28">
        <f>Master_Table[[#This Row],[Net Profit Variance]]/Master_Table[[#This Row],[Budget Net Profit]]</f>
        <v>3.488</v>
      </c>
      <c r="T183" s="28">
        <f>Master_Table[[#This Row],[Actual Net Profit]]/Master_Table[[#This Row],[Actual Sales]]</f>
        <v>0.9573378839590444</v>
      </c>
      <c r="U183" s="28" t="str">
        <f>_xlfn.TEXTJOIN(" - ", TRUE, Master_Table[[#This Row],[Product]], Master_Table[[#This Row],[Branch]])</f>
        <v>Melon - Lagos</v>
      </c>
    </row>
    <row r="184" spans="1:21" ht="14.4" x14ac:dyDescent="0.3">
      <c r="A184" s="2">
        <v>183</v>
      </c>
      <c r="B184" s="2">
        <f t="shared" si="17"/>
        <v>103</v>
      </c>
      <c r="C184" s="1" t="str">
        <f>VLOOKUP(B184,Products!A:C,2,FALSE)</f>
        <v>Melon</v>
      </c>
      <c r="D184" s="1" t="str">
        <f t="shared" si="18"/>
        <v>Lagos</v>
      </c>
      <c r="E184" s="4" t="str">
        <f>_xlfn.XLOOKUP(D184,'Sales Manager'!$A$2:$A$6,'Sales Manager'!$B$2:$B$6,"")</f>
        <v>Adaora Okafor</v>
      </c>
      <c r="F184" s="3">
        <f t="shared" si="26"/>
        <v>3</v>
      </c>
      <c r="G184" s="1" t="str">
        <f t="shared" si="26"/>
        <v>Mar</v>
      </c>
      <c r="H184" s="11">
        <v>5000</v>
      </c>
      <c r="I184" s="11">
        <v>7518</v>
      </c>
      <c r="J184" s="11" cm="1">
        <f t="array" ref="J184">_xlfn.XLOOKUP(C184&amp;D184&amp;F184,Expense!$C$2:$C$601&amp;Expense!$D$2:$D$601&amp;Expense!$E$2:$E$601,Expense!$G$2:$G$601,"")</f>
        <v>1000</v>
      </c>
      <c r="K184" s="11" cm="1">
        <f t="array" ref="K184">_xlfn.XLOOKUP(C184&amp;D184&amp;F184,Expense!$C$2:$C$601&amp;Expense!$D$2:$D$601&amp;Expense!$E$2:$E$601,Expense!$H$2:$H$601,"")</f>
        <v>900</v>
      </c>
      <c r="L184" s="14">
        <f t="shared" si="22"/>
        <v>2518</v>
      </c>
      <c r="M184" s="14">
        <f>Master_Table[[#This Row],[Expense Budget]]-Master_Table[[#This Row],[Actual Expense]]</f>
        <v>100</v>
      </c>
      <c r="N184" s="16">
        <f t="shared" si="23"/>
        <v>6618</v>
      </c>
      <c r="O184" s="29">
        <f t="shared" si="20"/>
        <v>4000</v>
      </c>
      <c r="P184" s="16">
        <f t="shared" si="21"/>
        <v>2618</v>
      </c>
      <c r="Q184" s="28">
        <f>Master_Table[[#This Row],[△Sales Variance]]/Master_Table[[#This Row],[Sales Budget]]</f>
        <v>0.50360000000000005</v>
      </c>
      <c r="R184" s="28">
        <f>Master_Table[[#This Row],[△Expense  Variance]]/Master_Table[[#This Row],[Expense Budget]]</f>
        <v>0.1</v>
      </c>
      <c r="S184" s="28">
        <f>Master_Table[[#This Row],[Net Profit Variance]]/Master_Table[[#This Row],[Budget Net Profit]]</f>
        <v>0.65449999999999997</v>
      </c>
      <c r="T184" s="28">
        <f>Master_Table[[#This Row],[Actual Net Profit]]/Master_Table[[#This Row],[Actual Sales]]</f>
        <v>0.88028731045490827</v>
      </c>
      <c r="U184" s="28" t="str">
        <f>_xlfn.TEXTJOIN(" - ", TRUE, Master_Table[[#This Row],[Product]], Master_Table[[#This Row],[Branch]])</f>
        <v>Melon - Lagos</v>
      </c>
    </row>
    <row r="185" spans="1:21" ht="14.4" x14ac:dyDescent="0.3">
      <c r="A185" s="2">
        <v>184</v>
      </c>
      <c r="B185" s="2">
        <f t="shared" si="17"/>
        <v>103</v>
      </c>
      <c r="C185" s="1" t="str">
        <f>VLOOKUP(B185,Products!A:C,2,FALSE)</f>
        <v>Melon</v>
      </c>
      <c r="D185" s="1" t="str">
        <f t="shared" si="18"/>
        <v>Lagos</v>
      </c>
      <c r="E185" s="4" t="str">
        <f>_xlfn.XLOOKUP(D185,'Sales Manager'!$A$2:$A$6,'Sales Manager'!$B$2:$B$6,"")</f>
        <v>Adaora Okafor</v>
      </c>
      <c r="F185" s="3">
        <f t="shared" si="26"/>
        <v>4</v>
      </c>
      <c r="G185" s="1" t="str">
        <f t="shared" si="26"/>
        <v>Apr</v>
      </c>
      <c r="H185" s="11">
        <v>3000</v>
      </c>
      <c r="I185" s="11">
        <v>4421</v>
      </c>
      <c r="J185" s="11" cm="1">
        <f t="array" ref="J185">_xlfn.XLOOKUP(C185&amp;D185&amp;F185,Expense!$C$2:$C$601&amp;Expense!$D$2:$D$601&amp;Expense!$E$2:$E$601,Expense!$G$2:$G$601,"")</f>
        <v>750</v>
      </c>
      <c r="K185" s="11" cm="1">
        <f t="array" ref="K185">_xlfn.XLOOKUP(C185&amp;D185&amp;F185,Expense!$C$2:$C$601&amp;Expense!$D$2:$D$601&amp;Expense!$E$2:$E$601,Expense!$H$2:$H$601,"")</f>
        <v>450</v>
      </c>
      <c r="L185" s="14">
        <f t="shared" si="22"/>
        <v>1421</v>
      </c>
      <c r="M185" s="14">
        <f>Master_Table[[#This Row],[Expense Budget]]-Master_Table[[#This Row],[Actual Expense]]</f>
        <v>300</v>
      </c>
      <c r="N185" s="16">
        <f t="shared" si="23"/>
        <v>3971</v>
      </c>
      <c r="O185" s="29">
        <f t="shared" si="20"/>
        <v>2250</v>
      </c>
      <c r="P185" s="16">
        <f t="shared" si="21"/>
        <v>1721</v>
      </c>
      <c r="Q185" s="28">
        <f>Master_Table[[#This Row],[△Sales Variance]]/Master_Table[[#This Row],[Sales Budget]]</f>
        <v>0.47366666666666668</v>
      </c>
      <c r="R185" s="28">
        <f>Master_Table[[#This Row],[△Expense  Variance]]/Master_Table[[#This Row],[Expense Budget]]</f>
        <v>0.4</v>
      </c>
      <c r="S185" s="28">
        <f>Master_Table[[#This Row],[Net Profit Variance]]/Master_Table[[#This Row],[Budget Net Profit]]</f>
        <v>0.76488888888888884</v>
      </c>
      <c r="T185" s="28">
        <f>Master_Table[[#This Row],[Actual Net Profit]]/Master_Table[[#This Row],[Actual Sales]]</f>
        <v>0.89821307396516625</v>
      </c>
      <c r="U185" s="28" t="str">
        <f>_xlfn.TEXTJOIN(" - ", TRUE, Master_Table[[#This Row],[Product]], Master_Table[[#This Row],[Branch]])</f>
        <v>Melon - Lagos</v>
      </c>
    </row>
    <row r="186" spans="1:21" ht="14.4" x14ac:dyDescent="0.3">
      <c r="A186" s="2">
        <v>185</v>
      </c>
      <c r="B186" s="2">
        <f t="shared" si="17"/>
        <v>103</v>
      </c>
      <c r="C186" s="1" t="str">
        <f>VLOOKUP(B186,Products!A:C,2,FALSE)</f>
        <v>Melon</v>
      </c>
      <c r="D186" s="1" t="str">
        <f t="shared" si="18"/>
        <v>Lagos</v>
      </c>
      <c r="E186" s="4" t="str">
        <f>_xlfn.XLOOKUP(D186,'Sales Manager'!$A$2:$A$6,'Sales Manager'!$B$2:$B$6,"")</f>
        <v>Adaora Okafor</v>
      </c>
      <c r="F186" s="3">
        <f t="shared" si="26"/>
        <v>5</v>
      </c>
      <c r="G186" s="1" t="str">
        <f t="shared" si="26"/>
        <v>May</v>
      </c>
      <c r="H186" s="11">
        <v>3000</v>
      </c>
      <c r="I186" s="11">
        <v>5754</v>
      </c>
      <c r="J186" s="11" cm="1">
        <f t="array" ref="J186">_xlfn.XLOOKUP(C186&amp;D186&amp;F186,Expense!$C$2:$C$601&amp;Expense!$D$2:$D$601&amp;Expense!$E$2:$E$601,Expense!$G$2:$G$601,"")</f>
        <v>1000</v>
      </c>
      <c r="K186" s="11" cm="1">
        <f t="array" ref="K186">_xlfn.XLOOKUP(C186&amp;D186&amp;F186,Expense!$C$2:$C$601&amp;Expense!$D$2:$D$601&amp;Expense!$E$2:$E$601,Expense!$H$2:$H$601,"")</f>
        <v>900</v>
      </c>
      <c r="L186" s="14">
        <f t="shared" si="22"/>
        <v>2754</v>
      </c>
      <c r="M186" s="14">
        <f>Master_Table[[#This Row],[Expense Budget]]-Master_Table[[#This Row],[Actual Expense]]</f>
        <v>100</v>
      </c>
      <c r="N186" s="16">
        <f t="shared" si="23"/>
        <v>4854</v>
      </c>
      <c r="O186" s="29">
        <f t="shared" si="20"/>
        <v>2000</v>
      </c>
      <c r="P186" s="16">
        <f t="shared" si="21"/>
        <v>2854</v>
      </c>
      <c r="Q186" s="28">
        <f>Master_Table[[#This Row],[△Sales Variance]]/Master_Table[[#This Row],[Sales Budget]]</f>
        <v>0.91800000000000004</v>
      </c>
      <c r="R186" s="28">
        <f>Master_Table[[#This Row],[△Expense  Variance]]/Master_Table[[#This Row],[Expense Budget]]</f>
        <v>0.1</v>
      </c>
      <c r="S186" s="28">
        <f>Master_Table[[#This Row],[Net Profit Variance]]/Master_Table[[#This Row],[Budget Net Profit]]</f>
        <v>1.427</v>
      </c>
      <c r="T186" s="28">
        <f>Master_Table[[#This Row],[Actual Net Profit]]/Master_Table[[#This Row],[Actual Sales]]</f>
        <v>0.8435870698644421</v>
      </c>
      <c r="U186" s="28" t="str">
        <f>_xlfn.TEXTJOIN(" - ", TRUE, Master_Table[[#This Row],[Product]], Master_Table[[#This Row],[Branch]])</f>
        <v>Melon - Lagos</v>
      </c>
    </row>
    <row r="187" spans="1:21" ht="14.4" x14ac:dyDescent="0.3">
      <c r="A187" s="2">
        <v>186</v>
      </c>
      <c r="B187" s="2">
        <f t="shared" si="17"/>
        <v>103</v>
      </c>
      <c r="C187" s="1" t="str">
        <f>VLOOKUP(B187,Products!A:C,2,FALSE)</f>
        <v>Melon</v>
      </c>
      <c r="D187" s="1" t="str">
        <f t="shared" si="18"/>
        <v>Lagos</v>
      </c>
      <c r="E187" s="4" t="str">
        <f>_xlfn.XLOOKUP(D187,'Sales Manager'!$A$2:$A$6,'Sales Manager'!$B$2:$B$6,"")</f>
        <v>Adaora Okafor</v>
      </c>
      <c r="F187" s="3">
        <f t="shared" si="26"/>
        <v>6</v>
      </c>
      <c r="G187" s="1" t="str">
        <f t="shared" si="26"/>
        <v>Jun</v>
      </c>
      <c r="H187" s="11">
        <v>8000</v>
      </c>
      <c r="I187" s="11">
        <v>2734</v>
      </c>
      <c r="J187" s="11" cm="1">
        <f t="array" ref="J187">_xlfn.XLOOKUP(C187&amp;D187&amp;F187,Expense!$C$2:$C$601&amp;Expense!$D$2:$D$601&amp;Expense!$E$2:$E$601,Expense!$G$2:$G$601,"")</f>
        <v>4000</v>
      </c>
      <c r="K187" s="11" cm="1">
        <f t="array" ref="K187">_xlfn.XLOOKUP(C187&amp;D187&amp;F187,Expense!$C$2:$C$601&amp;Expense!$D$2:$D$601&amp;Expense!$E$2:$E$601,Expense!$H$2:$H$601,"")</f>
        <v>3700</v>
      </c>
      <c r="L187" s="14">
        <f t="shared" si="22"/>
        <v>-5266</v>
      </c>
      <c r="M187" s="14">
        <f>Master_Table[[#This Row],[Expense Budget]]-Master_Table[[#This Row],[Actual Expense]]</f>
        <v>300</v>
      </c>
      <c r="N187" s="16">
        <f t="shared" si="23"/>
        <v>-966</v>
      </c>
      <c r="O187" s="29">
        <f t="shared" si="20"/>
        <v>4000</v>
      </c>
      <c r="P187" s="16">
        <f t="shared" si="21"/>
        <v>-4966</v>
      </c>
      <c r="Q187" s="28">
        <f>Master_Table[[#This Row],[△Sales Variance]]/Master_Table[[#This Row],[Sales Budget]]</f>
        <v>-0.65825</v>
      </c>
      <c r="R187" s="28">
        <f>Master_Table[[#This Row],[△Expense  Variance]]/Master_Table[[#This Row],[Expense Budget]]</f>
        <v>7.4999999999999997E-2</v>
      </c>
      <c r="S187" s="28">
        <f>Master_Table[[#This Row],[Net Profit Variance]]/Master_Table[[#This Row],[Budget Net Profit]]</f>
        <v>-1.2415</v>
      </c>
      <c r="T187" s="28">
        <f>Master_Table[[#This Row],[Actual Net Profit]]/Master_Table[[#This Row],[Actual Sales]]</f>
        <v>-0.35332845647403072</v>
      </c>
      <c r="U187" s="28" t="str">
        <f>_xlfn.TEXTJOIN(" - ", TRUE, Master_Table[[#This Row],[Product]], Master_Table[[#This Row],[Branch]])</f>
        <v>Melon - Lagos</v>
      </c>
    </row>
    <row r="188" spans="1:21" ht="14.4" x14ac:dyDescent="0.3">
      <c r="A188" s="2">
        <v>187</v>
      </c>
      <c r="B188" s="2">
        <f t="shared" si="17"/>
        <v>103</v>
      </c>
      <c r="C188" s="1" t="str">
        <f>VLOOKUP(B188,Products!A:C,2,FALSE)</f>
        <v>Melon</v>
      </c>
      <c r="D188" s="1" t="str">
        <f t="shared" si="18"/>
        <v>Lagos</v>
      </c>
      <c r="E188" s="4" t="str">
        <f>_xlfn.XLOOKUP(D188,'Sales Manager'!$A$2:$A$6,'Sales Manager'!$B$2:$B$6,"")</f>
        <v>Adaora Okafor</v>
      </c>
      <c r="F188" s="3">
        <f t="shared" si="26"/>
        <v>7</v>
      </c>
      <c r="G188" s="1" t="str">
        <f t="shared" si="26"/>
        <v>Jul</v>
      </c>
      <c r="H188" s="11">
        <v>6000</v>
      </c>
      <c r="I188" s="11">
        <v>6668</v>
      </c>
      <c r="J188" s="11" cm="1">
        <f t="array" ref="J188">_xlfn.XLOOKUP(C188&amp;D188&amp;F188,Expense!$C$2:$C$601&amp;Expense!$D$2:$D$601&amp;Expense!$E$2:$E$601,Expense!$G$2:$G$601,"")</f>
        <v>1500</v>
      </c>
      <c r="K188" s="11" cm="1">
        <f t="array" ref="K188">_xlfn.XLOOKUP(C188&amp;D188&amp;F188,Expense!$C$2:$C$601&amp;Expense!$D$2:$D$601&amp;Expense!$E$2:$E$601,Expense!$H$2:$H$601,"")</f>
        <v>1400</v>
      </c>
      <c r="L188" s="14">
        <f t="shared" si="22"/>
        <v>668</v>
      </c>
      <c r="M188" s="14">
        <f>Master_Table[[#This Row],[Expense Budget]]-Master_Table[[#This Row],[Actual Expense]]</f>
        <v>100</v>
      </c>
      <c r="N188" s="16">
        <f t="shared" si="23"/>
        <v>5268</v>
      </c>
      <c r="O188" s="29">
        <f t="shared" si="20"/>
        <v>4500</v>
      </c>
      <c r="P188" s="16">
        <f t="shared" si="21"/>
        <v>768</v>
      </c>
      <c r="Q188" s="28">
        <f>Master_Table[[#This Row],[△Sales Variance]]/Master_Table[[#This Row],[Sales Budget]]</f>
        <v>0.11133333333333334</v>
      </c>
      <c r="R188" s="28">
        <f>Master_Table[[#This Row],[△Expense  Variance]]/Master_Table[[#This Row],[Expense Budget]]</f>
        <v>6.6666666666666666E-2</v>
      </c>
      <c r="S188" s="28">
        <f>Master_Table[[#This Row],[Net Profit Variance]]/Master_Table[[#This Row],[Budget Net Profit]]</f>
        <v>0.17066666666666666</v>
      </c>
      <c r="T188" s="28">
        <f>Master_Table[[#This Row],[Actual Net Profit]]/Master_Table[[#This Row],[Actual Sales]]</f>
        <v>0.79004199160167965</v>
      </c>
      <c r="U188" s="28" t="str">
        <f>_xlfn.TEXTJOIN(" - ", TRUE, Master_Table[[#This Row],[Product]], Master_Table[[#This Row],[Branch]])</f>
        <v>Melon - Lagos</v>
      </c>
    </row>
    <row r="189" spans="1:21" ht="14.4" x14ac:dyDescent="0.3">
      <c r="A189" s="2">
        <v>188</v>
      </c>
      <c r="B189" s="2">
        <f t="shared" si="17"/>
        <v>103</v>
      </c>
      <c r="C189" s="1" t="str">
        <f>VLOOKUP(B189,Products!A:C,2,FALSE)</f>
        <v>Melon</v>
      </c>
      <c r="D189" s="1" t="str">
        <f t="shared" si="18"/>
        <v>Lagos</v>
      </c>
      <c r="E189" s="4" t="str">
        <f>_xlfn.XLOOKUP(D189,'Sales Manager'!$A$2:$A$6,'Sales Manager'!$B$2:$B$6,"")</f>
        <v>Adaora Okafor</v>
      </c>
      <c r="F189" s="3">
        <f t="shared" si="26"/>
        <v>8</v>
      </c>
      <c r="G189" s="1" t="str">
        <f t="shared" si="26"/>
        <v>Aug</v>
      </c>
      <c r="H189" s="11">
        <v>5000</v>
      </c>
      <c r="I189" s="11">
        <v>2425</v>
      </c>
      <c r="J189" s="11" cm="1">
        <f t="array" ref="J189">_xlfn.XLOOKUP(C189&amp;D189&amp;F189,Expense!$C$2:$C$601&amp;Expense!$D$2:$D$601&amp;Expense!$E$2:$E$601,Expense!$G$2:$G$601,"")</f>
        <v>1000</v>
      </c>
      <c r="K189" s="11" cm="1">
        <f t="array" ref="K189">_xlfn.XLOOKUP(C189&amp;D189&amp;F189,Expense!$C$2:$C$601&amp;Expense!$D$2:$D$601&amp;Expense!$E$2:$E$601,Expense!$H$2:$H$601,"")</f>
        <v>700</v>
      </c>
      <c r="L189" s="14">
        <f t="shared" si="22"/>
        <v>-2575</v>
      </c>
      <c r="M189" s="14">
        <f>Master_Table[[#This Row],[Expense Budget]]-Master_Table[[#This Row],[Actual Expense]]</f>
        <v>300</v>
      </c>
      <c r="N189" s="16">
        <f t="shared" si="23"/>
        <v>1725</v>
      </c>
      <c r="O189" s="29">
        <f t="shared" si="20"/>
        <v>4000</v>
      </c>
      <c r="P189" s="16">
        <f t="shared" si="21"/>
        <v>-2275</v>
      </c>
      <c r="Q189" s="28">
        <f>Master_Table[[#This Row],[△Sales Variance]]/Master_Table[[#This Row],[Sales Budget]]</f>
        <v>-0.51500000000000001</v>
      </c>
      <c r="R189" s="28">
        <f>Master_Table[[#This Row],[△Expense  Variance]]/Master_Table[[#This Row],[Expense Budget]]</f>
        <v>0.3</v>
      </c>
      <c r="S189" s="28">
        <f>Master_Table[[#This Row],[Net Profit Variance]]/Master_Table[[#This Row],[Budget Net Profit]]</f>
        <v>-0.56874999999999998</v>
      </c>
      <c r="T189" s="28">
        <f>Master_Table[[#This Row],[Actual Net Profit]]/Master_Table[[#This Row],[Actual Sales]]</f>
        <v>0.71134020618556704</v>
      </c>
      <c r="U189" s="28" t="str">
        <f>_xlfn.TEXTJOIN(" - ", TRUE, Master_Table[[#This Row],[Product]], Master_Table[[#This Row],[Branch]])</f>
        <v>Melon - Lagos</v>
      </c>
    </row>
    <row r="190" spans="1:21" ht="14.4" x14ac:dyDescent="0.3">
      <c r="A190" s="2">
        <v>189</v>
      </c>
      <c r="B190" s="2">
        <f t="shared" si="17"/>
        <v>103</v>
      </c>
      <c r="C190" s="1" t="str">
        <f>VLOOKUP(B190,Products!A:C,2,FALSE)</f>
        <v>Melon</v>
      </c>
      <c r="D190" s="1" t="str">
        <f t="shared" si="18"/>
        <v>Lagos</v>
      </c>
      <c r="E190" s="4" t="str">
        <f>_xlfn.XLOOKUP(D190,'Sales Manager'!$A$2:$A$6,'Sales Manager'!$B$2:$B$6,"")</f>
        <v>Adaora Okafor</v>
      </c>
      <c r="F190" s="3">
        <f t="shared" si="26"/>
        <v>9</v>
      </c>
      <c r="G190" s="1" t="str">
        <f t="shared" si="26"/>
        <v>Sept</v>
      </c>
      <c r="H190" s="11">
        <v>9000</v>
      </c>
      <c r="I190" s="11">
        <v>5611</v>
      </c>
      <c r="J190" s="11" cm="1">
        <f t="array" ref="J190">_xlfn.XLOOKUP(C190&amp;D190&amp;F190,Expense!$C$2:$C$601&amp;Expense!$D$2:$D$601&amp;Expense!$E$2:$E$601,Expense!$G$2:$G$601,"")</f>
        <v>2250</v>
      </c>
      <c r="K190" s="11" cm="1">
        <f t="array" ref="K190">_xlfn.XLOOKUP(C190&amp;D190&amp;F190,Expense!$C$2:$C$601&amp;Expense!$D$2:$D$601&amp;Expense!$E$2:$E$601,Expense!$H$2:$H$601,"")</f>
        <v>2050</v>
      </c>
      <c r="L190" s="14">
        <f t="shared" si="22"/>
        <v>-3389</v>
      </c>
      <c r="M190" s="14">
        <f>Master_Table[[#This Row],[Expense Budget]]-Master_Table[[#This Row],[Actual Expense]]</f>
        <v>200</v>
      </c>
      <c r="N190" s="16">
        <f t="shared" si="23"/>
        <v>3561</v>
      </c>
      <c r="O190" s="29">
        <f t="shared" si="20"/>
        <v>6750</v>
      </c>
      <c r="P190" s="16">
        <f t="shared" si="21"/>
        <v>-3189</v>
      </c>
      <c r="Q190" s="28">
        <f>Master_Table[[#This Row],[△Sales Variance]]/Master_Table[[#This Row],[Sales Budget]]</f>
        <v>-0.37655555555555553</v>
      </c>
      <c r="R190" s="28">
        <f>Master_Table[[#This Row],[△Expense  Variance]]/Master_Table[[#This Row],[Expense Budget]]</f>
        <v>8.8888888888888892E-2</v>
      </c>
      <c r="S190" s="28">
        <f>Master_Table[[#This Row],[Net Profit Variance]]/Master_Table[[#This Row],[Budget Net Profit]]</f>
        <v>-0.47244444444444444</v>
      </c>
      <c r="T190" s="28">
        <f>Master_Table[[#This Row],[Actual Net Profit]]/Master_Table[[#This Row],[Actual Sales]]</f>
        <v>0.63464623061842806</v>
      </c>
      <c r="U190" s="28" t="str">
        <f>_xlfn.TEXTJOIN(" - ", TRUE, Master_Table[[#This Row],[Product]], Master_Table[[#This Row],[Branch]])</f>
        <v>Melon - Lagos</v>
      </c>
    </row>
    <row r="191" spans="1:21" ht="14.4" x14ac:dyDescent="0.3">
      <c r="A191" s="2">
        <v>190</v>
      </c>
      <c r="B191" s="2">
        <f t="shared" ref="B191:B254" si="27">B131+1</f>
        <v>103</v>
      </c>
      <c r="C191" s="1" t="str">
        <f>VLOOKUP(B191,Products!A:C,2,FALSE)</f>
        <v>Melon</v>
      </c>
      <c r="D191" s="1" t="str">
        <f t="shared" ref="D191:D254" si="28">D131</f>
        <v>Lagos</v>
      </c>
      <c r="E191" s="4" t="str">
        <f>_xlfn.XLOOKUP(D191,'Sales Manager'!$A$2:$A$6,'Sales Manager'!$B$2:$B$6,"")</f>
        <v>Adaora Okafor</v>
      </c>
      <c r="F191" s="3">
        <f t="shared" ref="F191:G206" si="29">F179</f>
        <v>10</v>
      </c>
      <c r="G191" s="1" t="str">
        <f t="shared" si="29"/>
        <v>Oct</v>
      </c>
      <c r="H191" s="11">
        <v>1000</v>
      </c>
      <c r="I191" s="11">
        <v>4667</v>
      </c>
      <c r="J191" s="11" cm="1">
        <f t="array" ref="J191">_xlfn.XLOOKUP(C191&amp;D191&amp;F191,Expense!$C$2:$C$601&amp;Expense!$D$2:$D$601&amp;Expense!$E$2:$E$601,Expense!$G$2:$G$601,"")</f>
        <v>200</v>
      </c>
      <c r="K191" s="11" cm="1">
        <f t="array" ref="K191">_xlfn.XLOOKUP(C191&amp;D191&amp;F191,Expense!$C$2:$C$601&amp;Expense!$D$2:$D$601&amp;Expense!$E$2:$E$601,Expense!$H$2:$H$601,"")</f>
        <v>300</v>
      </c>
      <c r="L191" s="14">
        <f t="shared" si="22"/>
        <v>3667</v>
      </c>
      <c r="M191" s="14">
        <f>Master_Table[[#This Row],[Expense Budget]]-Master_Table[[#This Row],[Actual Expense]]</f>
        <v>-100</v>
      </c>
      <c r="N191" s="16">
        <f t="shared" si="23"/>
        <v>4367</v>
      </c>
      <c r="O191" s="29">
        <f t="shared" si="20"/>
        <v>800</v>
      </c>
      <c r="P191" s="16">
        <f t="shared" si="21"/>
        <v>3567</v>
      </c>
      <c r="Q191" s="28">
        <f>Master_Table[[#This Row],[△Sales Variance]]/Master_Table[[#This Row],[Sales Budget]]</f>
        <v>3.6669999999999998</v>
      </c>
      <c r="R191" s="28">
        <f>Master_Table[[#This Row],[△Expense  Variance]]/Master_Table[[#This Row],[Expense Budget]]</f>
        <v>-0.5</v>
      </c>
      <c r="S191" s="28">
        <f>Master_Table[[#This Row],[Net Profit Variance]]/Master_Table[[#This Row],[Budget Net Profit]]</f>
        <v>4.4587500000000002</v>
      </c>
      <c r="T191" s="28">
        <f>Master_Table[[#This Row],[Actual Net Profit]]/Master_Table[[#This Row],[Actual Sales]]</f>
        <v>0.93571887722305547</v>
      </c>
      <c r="U191" s="28" t="str">
        <f>_xlfn.TEXTJOIN(" - ", TRUE, Master_Table[[#This Row],[Product]], Master_Table[[#This Row],[Branch]])</f>
        <v>Melon - Lagos</v>
      </c>
    </row>
    <row r="192" spans="1:21" ht="14.4" x14ac:dyDescent="0.3">
      <c r="A192" s="2">
        <v>191</v>
      </c>
      <c r="B192" s="2">
        <f t="shared" si="27"/>
        <v>103</v>
      </c>
      <c r="C192" s="1" t="str">
        <f>VLOOKUP(B192,Products!A:C,2,FALSE)</f>
        <v>Melon</v>
      </c>
      <c r="D192" s="1" t="str">
        <f t="shared" si="28"/>
        <v>Lagos</v>
      </c>
      <c r="E192" s="4" t="str">
        <f>_xlfn.XLOOKUP(D192,'Sales Manager'!$A$2:$A$6,'Sales Manager'!$B$2:$B$6,"")</f>
        <v>Adaora Okafor</v>
      </c>
      <c r="F192" s="3">
        <f t="shared" si="29"/>
        <v>11</v>
      </c>
      <c r="G192" s="1" t="str">
        <f t="shared" si="29"/>
        <v>Nov</v>
      </c>
      <c r="H192" s="11">
        <v>5000</v>
      </c>
      <c r="I192" s="11">
        <v>2124</v>
      </c>
      <c r="J192" s="11" cm="1">
        <f t="array" ref="J192">_xlfn.XLOOKUP(C192&amp;D192&amp;F192,Expense!$C$2:$C$601&amp;Expense!$D$2:$D$601&amp;Expense!$E$2:$E$601,Expense!$G$2:$G$601,"")</f>
        <v>1000</v>
      </c>
      <c r="K192" s="11" cm="1">
        <f t="array" ref="K192">_xlfn.XLOOKUP(C192&amp;D192&amp;F192,Expense!$C$2:$C$601&amp;Expense!$D$2:$D$601&amp;Expense!$E$2:$E$601,Expense!$H$2:$H$601,"")</f>
        <v>1000</v>
      </c>
      <c r="L192" s="14">
        <f t="shared" si="22"/>
        <v>-2876</v>
      </c>
      <c r="M192" s="14">
        <f>Master_Table[[#This Row],[Expense Budget]]-Master_Table[[#This Row],[Actual Expense]]</f>
        <v>0</v>
      </c>
      <c r="N192" s="16">
        <f t="shared" si="23"/>
        <v>1124</v>
      </c>
      <c r="O192" s="29">
        <f t="shared" si="20"/>
        <v>4000</v>
      </c>
      <c r="P192" s="16">
        <f t="shared" si="21"/>
        <v>-2876</v>
      </c>
      <c r="Q192" s="28">
        <f>Master_Table[[#This Row],[△Sales Variance]]/Master_Table[[#This Row],[Sales Budget]]</f>
        <v>-0.57520000000000004</v>
      </c>
      <c r="R192" s="28">
        <f>Master_Table[[#This Row],[△Expense  Variance]]/Master_Table[[#This Row],[Expense Budget]]</f>
        <v>0</v>
      </c>
      <c r="S192" s="28">
        <f>Master_Table[[#This Row],[Net Profit Variance]]/Master_Table[[#This Row],[Budget Net Profit]]</f>
        <v>-0.71899999999999997</v>
      </c>
      <c r="T192" s="28">
        <f>Master_Table[[#This Row],[Actual Net Profit]]/Master_Table[[#This Row],[Actual Sales]]</f>
        <v>0.52919020715630882</v>
      </c>
      <c r="U192" s="28" t="str">
        <f>_xlfn.TEXTJOIN(" - ", TRUE, Master_Table[[#This Row],[Product]], Master_Table[[#This Row],[Branch]])</f>
        <v>Melon - Lagos</v>
      </c>
    </row>
    <row r="193" spans="1:21" ht="14.4" x14ac:dyDescent="0.3">
      <c r="A193" s="2">
        <v>192</v>
      </c>
      <c r="B193" s="2">
        <f t="shared" si="27"/>
        <v>103</v>
      </c>
      <c r="C193" s="1" t="str">
        <f>VLOOKUP(B193,Products!A:C,2,FALSE)</f>
        <v>Melon</v>
      </c>
      <c r="D193" s="1" t="str">
        <f t="shared" si="28"/>
        <v>Lagos</v>
      </c>
      <c r="E193" s="4" t="str">
        <f>_xlfn.XLOOKUP(D193,'Sales Manager'!$A$2:$A$6,'Sales Manager'!$B$2:$B$6,"")</f>
        <v>Adaora Okafor</v>
      </c>
      <c r="F193" s="3">
        <f t="shared" si="29"/>
        <v>12</v>
      </c>
      <c r="G193" s="1" t="str">
        <f t="shared" si="29"/>
        <v>Dec</v>
      </c>
      <c r="H193" s="11">
        <v>4000</v>
      </c>
      <c r="I193" s="11">
        <v>5133</v>
      </c>
      <c r="J193" s="11" cm="1">
        <f t="array" ref="J193">_xlfn.XLOOKUP(C193&amp;D193&amp;F193,Expense!$C$2:$C$601&amp;Expense!$D$2:$D$601&amp;Expense!$E$2:$E$601,Expense!$G$2:$G$601,"")</f>
        <v>800</v>
      </c>
      <c r="K193" s="11" cm="1">
        <f t="array" ref="K193">_xlfn.XLOOKUP(C193&amp;D193&amp;F193,Expense!$C$2:$C$601&amp;Expense!$D$2:$D$601&amp;Expense!$E$2:$E$601,Expense!$H$2:$H$601,"")</f>
        <v>800</v>
      </c>
      <c r="L193" s="14">
        <f t="shared" si="22"/>
        <v>1133</v>
      </c>
      <c r="M193" s="14">
        <f>Master_Table[[#This Row],[Expense Budget]]-Master_Table[[#This Row],[Actual Expense]]</f>
        <v>0</v>
      </c>
      <c r="N193" s="16">
        <f t="shared" si="23"/>
        <v>4333</v>
      </c>
      <c r="O193" s="29">
        <f t="shared" si="20"/>
        <v>3200</v>
      </c>
      <c r="P193" s="16">
        <f t="shared" si="21"/>
        <v>1133</v>
      </c>
      <c r="Q193" s="28">
        <f>Master_Table[[#This Row],[△Sales Variance]]/Master_Table[[#This Row],[Sales Budget]]</f>
        <v>0.28325</v>
      </c>
      <c r="R193" s="28">
        <f>Master_Table[[#This Row],[△Expense  Variance]]/Master_Table[[#This Row],[Expense Budget]]</f>
        <v>0</v>
      </c>
      <c r="S193" s="28">
        <f>Master_Table[[#This Row],[Net Profit Variance]]/Master_Table[[#This Row],[Budget Net Profit]]</f>
        <v>0.3540625</v>
      </c>
      <c r="T193" s="28">
        <f>Master_Table[[#This Row],[Actual Net Profit]]/Master_Table[[#This Row],[Actual Sales]]</f>
        <v>0.84414572374829533</v>
      </c>
      <c r="U193" s="28" t="str">
        <f>_xlfn.TEXTJOIN(" - ", TRUE, Master_Table[[#This Row],[Product]], Master_Table[[#This Row],[Branch]])</f>
        <v>Melon - Lagos</v>
      </c>
    </row>
    <row r="194" spans="1:21" ht="14.4" x14ac:dyDescent="0.3">
      <c r="A194" s="2">
        <v>193</v>
      </c>
      <c r="B194" s="2">
        <f t="shared" si="27"/>
        <v>103</v>
      </c>
      <c r="C194" s="1" t="str">
        <f>VLOOKUP(B194,Products!A:C,2,FALSE)</f>
        <v>Melon</v>
      </c>
      <c r="D194" s="1" t="str">
        <f t="shared" si="28"/>
        <v>Abuja</v>
      </c>
      <c r="E194" s="4" t="str">
        <f>_xlfn.XLOOKUP(D194,'Sales Manager'!$A$2:$A$6,'Sales Manager'!$B$2:$B$6,"")</f>
        <v>Emeka Nwosu</v>
      </c>
      <c r="F194" s="3">
        <f t="shared" si="29"/>
        <v>1</v>
      </c>
      <c r="G194" s="1" t="str">
        <f t="shared" si="29"/>
        <v>Jan</v>
      </c>
      <c r="H194" s="11">
        <v>1000</v>
      </c>
      <c r="I194" s="11">
        <v>6555</v>
      </c>
      <c r="J194" s="11" cm="1">
        <f t="array" ref="J194">_xlfn.XLOOKUP(C194&amp;D194&amp;F194,Expense!$C$2:$C$601&amp;Expense!$D$2:$D$601&amp;Expense!$E$2:$E$601,Expense!$G$2:$G$601,"")</f>
        <v>333.33333333333331</v>
      </c>
      <c r="K194" s="11" cm="1">
        <f t="array" ref="K194">_xlfn.XLOOKUP(C194&amp;D194&amp;F194,Expense!$C$2:$C$601&amp;Expense!$D$2:$D$601&amp;Expense!$E$2:$E$601,Expense!$H$2:$H$601,"")</f>
        <v>366.66666666666669</v>
      </c>
      <c r="L194" s="14">
        <f t="shared" si="22"/>
        <v>5555</v>
      </c>
      <c r="M194" s="14">
        <f>Master_Table[[#This Row],[Expense Budget]]-Master_Table[[#This Row],[Actual Expense]]</f>
        <v>-33.333333333333371</v>
      </c>
      <c r="N194" s="16">
        <f t="shared" si="23"/>
        <v>6188.333333333333</v>
      </c>
      <c r="O194" s="29">
        <f t="shared" ref="O194:O257" si="30">H194-J194</f>
        <v>666.66666666666674</v>
      </c>
      <c r="P194" s="16">
        <f t="shared" ref="P194:P257" si="31">N194-O194</f>
        <v>5521.6666666666661</v>
      </c>
      <c r="Q194" s="28">
        <f>Master_Table[[#This Row],[△Sales Variance]]/Master_Table[[#This Row],[Sales Budget]]</f>
        <v>5.5549999999999997</v>
      </c>
      <c r="R194" s="28">
        <f>Master_Table[[#This Row],[△Expense  Variance]]/Master_Table[[#This Row],[Expense Budget]]</f>
        <v>-0.10000000000000012</v>
      </c>
      <c r="S194" s="28">
        <f>Master_Table[[#This Row],[Net Profit Variance]]/Master_Table[[#This Row],[Budget Net Profit]]</f>
        <v>8.2824999999999989</v>
      </c>
      <c r="T194" s="28">
        <f>Master_Table[[#This Row],[Actual Net Profit]]/Master_Table[[#This Row],[Actual Sales]]</f>
        <v>0.94406305619120257</v>
      </c>
      <c r="U194" s="28" t="str">
        <f>_xlfn.TEXTJOIN(" - ", TRUE, Master_Table[[#This Row],[Product]], Master_Table[[#This Row],[Branch]])</f>
        <v>Melon - Abuja</v>
      </c>
    </row>
    <row r="195" spans="1:21" ht="14.4" x14ac:dyDescent="0.3">
      <c r="A195" s="2">
        <v>194</v>
      </c>
      <c r="B195" s="2">
        <f t="shared" si="27"/>
        <v>103</v>
      </c>
      <c r="C195" s="1" t="str">
        <f>VLOOKUP(B195,Products!A:C,2,FALSE)</f>
        <v>Melon</v>
      </c>
      <c r="D195" s="1" t="str">
        <f t="shared" si="28"/>
        <v>Abuja</v>
      </c>
      <c r="E195" s="4" t="str">
        <f>_xlfn.XLOOKUP(D195,'Sales Manager'!$A$2:$A$6,'Sales Manager'!$B$2:$B$6,"")</f>
        <v>Emeka Nwosu</v>
      </c>
      <c r="F195" s="3">
        <f t="shared" si="29"/>
        <v>2</v>
      </c>
      <c r="G195" s="1" t="str">
        <f t="shared" si="29"/>
        <v>Feb</v>
      </c>
      <c r="H195" s="11">
        <v>5000</v>
      </c>
      <c r="I195" s="11">
        <v>3451</v>
      </c>
      <c r="J195" s="11" cm="1">
        <f t="array" ref="J195">_xlfn.XLOOKUP(C195&amp;D195&amp;F195,Expense!$C$2:$C$601&amp;Expense!$D$2:$D$601&amp;Expense!$E$2:$E$601,Expense!$G$2:$G$601,"")</f>
        <v>1250</v>
      </c>
      <c r="K195" s="11" cm="1">
        <f t="array" ref="K195">_xlfn.XLOOKUP(C195&amp;D195&amp;F195,Expense!$C$2:$C$601&amp;Expense!$D$2:$D$601&amp;Expense!$E$2:$E$601,Expense!$H$2:$H$601,"")</f>
        <v>950</v>
      </c>
      <c r="L195" s="14">
        <f t="shared" ref="L195:L258" si="32">I195-H195</f>
        <v>-1549</v>
      </c>
      <c r="M195" s="14">
        <f>Master_Table[[#This Row],[Expense Budget]]-Master_Table[[#This Row],[Actual Expense]]</f>
        <v>300</v>
      </c>
      <c r="N195" s="16">
        <f t="shared" ref="N195:N258" si="33">I195-K195</f>
        <v>2501</v>
      </c>
      <c r="O195" s="29">
        <f t="shared" si="30"/>
        <v>3750</v>
      </c>
      <c r="P195" s="16">
        <f t="shared" si="31"/>
        <v>-1249</v>
      </c>
      <c r="Q195" s="28">
        <f>Master_Table[[#This Row],[△Sales Variance]]/Master_Table[[#This Row],[Sales Budget]]</f>
        <v>-0.30980000000000002</v>
      </c>
      <c r="R195" s="28">
        <f>Master_Table[[#This Row],[△Expense  Variance]]/Master_Table[[#This Row],[Expense Budget]]</f>
        <v>0.24</v>
      </c>
      <c r="S195" s="28">
        <f>Master_Table[[#This Row],[Net Profit Variance]]/Master_Table[[#This Row],[Budget Net Profit]]</f>
        <v>-0.33306666666666668</v>
      </c>
      <c r="T195" s="28">
        <f>Master_Table[[#This Row],[Actual Net Profit]]/Master_Table[[#This Row],[Actual Sales]]</f>
        <v>0.72471747319617508</v>
      </c>
      <c r="U195" s="28" t="str">
        <f>_xlfn.TEXTJOIN(" - ", TRUE, Master_Table[[#This Row],[Product]], Master_Table[[#This Row],[Branch]])</f>
        <v>Melon - Abuja</v>
      </c>
    </row>
    <row r="196" spans="1:21" ht="14.4" x14ac:dyDescent="0.3">
      <c r="A196" s="2">
        <v>195</v>
      </c>
      <c r="B196" s="2">
        <f t="shared" si="27"/>
        <v>103</v>
      </c>
      <c r="C196" s="1" t="str">
        <f>VLOOKUP(B196,Products!A:C,2,FALSE)</f>
        <v>Melon</v>
      </c>
      <c r="D196" s="1" t="str">
        <f t="shared" si="28"/>
        <v>Abuja</v>
      </c>
      <c r="E196" s="4" t="str">
        <f>_xlfn.XLOOKUP(D196,'Sales Manager'!$A$2:$A$6,'Sales Manager'!$B$2:$B$6,"")</f>
        <v>Emeka Nwosu</v>
      </c>
      <c r="F196" s="3">
        <f t="shared" si="29"/>
        <v>3</v>
      </c>
      <c r="G196" s="1" t="str">
        <f t="shared" si="29"/>
        <v>Mar</v>
      </c>
      <c r="H196" s="11">
        <v>8000</v>
      </c>
      <c r="I196" s="11">
        <v>3978</v>
      </c>
      <c r="J196" s="11" cm="1">
        <f t="array" ref="J196">_xlfn.XLOOKUP(C196&amp;D196&amp;F196,Expense!$C$2:$C$601&amp;Expense!$D$2:$D$601&amp;Expense!$E$2:$E$601,Expense!$G$2:$G$601,"")</f>
        <v>4000</v>
      </c>
      <c r="K196" s="11" cm="1">
        <f t="array" ref="K196">_xlfn.XLOOKUP(C196&amp;D196&amp;F196,Expense!$C$2:$C$601&amp;Expense!$D$2:$D$601&amp;Expense!$E$2:$E$601,Expense!$H$2:$H$601,"")</f>
        <v>3500</v>
      </c>
      <c r="L196" s="14">
        <f t="shared" si="32"/>
        <v>-4022</v>
      </c>
      <c r="M196" s="14">
        <f>Master_Table[[#This Row],[Expense Budget]]-Master_Table[[#This Row],[Actual Expense]]</f>
        <v>500</v>
      </c>
      <c r="N196" s="16">
        <f t="shared" si="33"/>
        <v>478</v>
      </c>
      <c r="O196" s="29">
        <f t="shared" si="30"/>
        <v>4000</v>
      </c>
      <c r="P196" s="16">
        <f t="shared" si="31"/>
        <v>-3522</v>
      </c>
      <c r="Q196" s="28">
        <f>Master_Table[[#This Row],[△Sales Variance]]/Master_Table[[#This Row],[Sales Budget]]</f>
        <v>-0.50275000000000003</v>
      </c>
      <c r="R196" s="28">
        <f>Master_Table[[#This Row],[△Expense  Variance]]/Master_Table[[#This Row],[Expense Budget]]</f>
        <v>0.125</v>
      </c>
      <c r="S196" s="28">
        <f>Master_Table[[#This Row],[Net Profit Variance]]/Master_Table[[#This Row],[Budget Net Profit]]</f>
        <v>-0.88049999999999995</v>
      </c>
      <c r="T196" s="28">
        <f>Master_Table[[#This Row],[Actual Net Profit]]/Master_Table[[#This Row],[Actual Sales]]</f>
        <v>0.12016088486676722</v>
      </c>
      <c r="U196" s="28" t="str">
        <f>_xlfn.TEXTJOIN(" - ", TRUE, Master_Table[[#This Row],[Product]], Master_Table[[#This Row],[Branch]])</f>
        <v>Melon - Abuja</v>
      </c>
    </row>
    <row r="197" spans="1:21" ht="14.4" x14ac:dyDescent="0.3">
      <c r="A197" s="2">
        <v>196</v>
      </c>
      <c r="B197" s="2">
        <f t="shared" si="27"/>
        <v>103</v>
      </c>
      <c r="C197" s="1" t="str">
        <f>VLOOKUP(B197,Products!A:C,2,FALSE)</f>
        <v>Melon</v>
      </c>
      <c r="D197" s="1" t="str">
        <f t="shared" si="28"/>
        <v>Abuja</v>
      </c>
      <c r="E197" s="4" t="str">
        <f>_xlfn.XLOOKUP(D197,'Sales Manager'!$A$2:$A$6,'Sales Manager'!$B$2:$B$6,"")</f>
        <v>Emeka Nwosu</v>
      </c>
      <c r="F197" s="3">
        <f t="shared" si="29"/>
        <v>4</v>
      </c>
      <c r="G197" s="1" t="str">
        <f t="shared" si="29"/>
        <v>Apr</v>
      </c>
      <c r="H197" s="11">
        <v>5000</v>
      </c>
      <c r="I197" s="11">
        <v>3520</v>
      </c>
      <c r="J197" s="11" cm="1">
        <f t="array" ref="J197">_xlfn.XLOOKUP(C197&amp;D197&amp;F197,Expense!$C$2:$C$601&amp;Expense!$D$2:$D$601&amp;Expense!$E$2:$E$601,Expense!$G$2:$G$601,"")</f>
        <v>1250</v>
      </c>
      <c r="K197" s="11" cm="1">
        <f t="array" ref="K197">_xlfn.XLOOKUP(C197&amp;D197&amp;F197,Expense!$C$2:$C$601&amp;Expense!$D$2:$D$601&amp;Expense!$E$2:$E$601,Expense!$H$2:$H$601,"")</f>
        <v>1250</v>
      </c>
      <c r="L197" s="14">
        <f t="shared" si="32"/>
        <v>-1480</v>
      </c>
      <c r="M197" s="14">
        <f>Master_Table[[#This Row],[Expense Budget]]-Master_Table[[#This Row],[Actual Expense]]</f>
        <v>0</v>
      </c>
      <c r="N197" s="16">
        <f t="shared" si="33"/>
        <v>2270</v>
      </c>
      <c r="O197" s="29">
        <f t="shared" si="30"/>
        <v>3750</v>
      </c>
      <c r="P197" s="16">
        <f t="shared" si="31"/>
        <v>-1480</v>
      </c>
      <c r="Q197" s="28">
        <f>Master_Table[[#This Row],[△Sales Variance]]/Master_Table[[#This Row],[Sales Budget]]</f>
        <v>-0.29599999999999999</v>
      </c>
      <c r="R197" s="28">
        <f>Master_Table[[#This Row],[△Expense  Variance]]/Master_Table[[#This Row],[Expense Budget]]</f>
        <v>0</v>
      </c>
      <c r="S197" s="28">
        <f>Master_Table[[#This Row],[Net Profit Variance]]/Master_Table[[#This Row],[Budget Net Profit]]</f>
        <v>-0.39466666666666667</v>
      </c>
      <c r="T197" s="28">
        <f>Master_Table[[#This Row],[Actual Net Profit]]/Master_Table[[#This Row],[Actual Sales]]</f>
        <v>0.64488636363636365</v>
      </c>
      <c r="U197" s="28" t="str">
        <f>_xlfn.TEXTJOIN(" - ", TRUE, Master_Table[[#This Row],[Product]], Master_Table[[#This Row],[Branch]])</f>
        <v>Melon - Abuja</v>
      </c>
    </row>
    <row r="198" spans="1:21" ht="14.4" x14ac:dyDescent="0.3">
      <c r="A198" s="2">
        <v>197</v>
      </c>
      <c r="B198" s="2">
        <f t="shared" si="27"/>
        <v>103</v>
      </c>
      <c r="C198" s="1" t="str">
        <f>VLOOKUP(B198,Products!A:C,2,FALSE)</f>
        <v>Melon</v>
      </c>
      <c r="D198" s="1" t="str">
        <f t="shared" si="28"/>
        <v>Abuja</v>
      </c>
      <c r="E198" s="4" t="str">
        <f>_xlfn.XLOOKUP(D198,'Sales Manager'!$A$2:$A$6,'Sales Manager'!$B$2:$B$6,"")</f>
        <v>Emeka Nwosu</v>
      </c>
      <c r="F198" s="3">
        <f t="shared" si="29"/>
        <v>5</v>
      </c>
      <c r="G198" s="1" t="str">
        <f t="shared" si="29"/>
        <v>May</v>
      </c>
      <c r="H198" s="11">
        <v>1000</v>
      </c>
      <c r="I198" s="11">
        <v>6315</v>
      </c>
      <c r="J198" s="11" cm="1">
        <f t="array" ref="J198">_xlfn.XLOOKUP(C198&amp;D198&amp;F198,Expense!$C$2:$C$601&amp;Expense!$D$2:$D$601&amp;Expense!$E$2:$E$601,Expense!$G$2:$G$601,"")</f>
        <v>250</v>
      </c>
      <c r="K198" s="11" cm="1">
        <f t="array" ref="K198">_xlfn.XLOOKUP(C198&amp;D198&amp;F198,Expense!$C$2:$C$601&amp;Expense!$D$2:$D$601&amp;Expense!$E$2:$E$601,Expense!$H$2:$H$601,"")</f>
        <v>150</v>
      </c>
      <c r="L198" s="14">
        <f t="shared" si="32"/>
        <v>5315</v>
      </c>
      <c r="M198" s="14">
        <f>Master_Table[[#This Row],[Expense Budget]]-Master_Table[[#This Row],[Actual Expense]]</f>
        <v>100</v>
      </c>
      <c r="N198" s="16">
        <f t="shared" si="33"/>
        <v>6165</v>
      </c>
      <c r="O198" s="29">
        <f t="shared" si="30"/>
        <v>750</v>
      </c>
      <c r="P198" s="16">
        <f t="shared" si="31"/>
        <v>5415</v>
      </c>
      <c r="Q198" s="28">
        <f>Master_Table[[#This Row],[△Sales Variance]]/Master_Table[[#This Row],[Sales Budget]]</f>
        <v>5.3150000000000004</v>
      </c>
      <c r="R198" s="28">
        <f>Master_Table[[#This Row],[△Expense  Variance]]/Master_Table[[#This Row],[Expense Budget]]</f>
        <v>0.4</v>
      </c>
      <c r="S198" s="28">
        <f>Master_Table[[#This Row],[Net Profit Variance]]/Master_Table[[#This Row],[Budget Net Profit]]</f>
        <v>7.22</v>
      </c>
      <c r="T198" s="28">
        <f>Master_Table[[#This Row],[Actual Net Profit]]/Master_Table[[#This Row],[Actual Sales]]</f>
        <v>0.97624703087885989</v>
      </c>
      <c r="U198" s="28" t="str">
        <f>_xlfn.TEXTJOIN(" - ", TRUE, Master_Table[[#This Row],[Product]], Master_Table[[#This Row],[Branch]])</f>
        <v>Melon - Abuja</v>
      </c>
    </row>
    <row r="199" spans="1:21" ht="14.4" x14ac:dyDescent="0.3">
      <c r="A199" s="2">
        <v>198</v>
      </c>
      <c r="B199" s="2">
        <f t="shared" si="27"/>
        <v>103</v>
      </c>
      <c r="C199" s="1" t="str">
        <f>VLOOKUP(B199,Products!A:C,2,FALSE)</f>
        <v>Melon</v>
      </c>
      <c r="D199" s="1" t="str">
        <f t="shared" si="28"/>
        <v>Abuja</v>
      </c>
      <c r="E199" s="4" t="str">
        <f>_xlfn.XLOOKUP(D199,'Sales Manager'!$A$2:$A$6,'Sales Manager'!$B$2:$B$6,"")</f>
        <v>Emeka Nwosu</v>
      </c>
      <c r="F199" s="3">
        <f t="shared" si="29"/>
        <v>6</v>
      </c>
      <c r="G199" s="1" t="str">
        <f t="shared" si="29"/>
        <v>Jun</v>
      </c>
      <c r="H199" s="11">
        <v>1000</v>
      </c>
      <c r="I199" s="11">
        <v>2434</v>
      </c>
      <c r="J199" s="11" cm="1">
        <f t="array" ref="J199">_xlfn.XLOOKUP(C199&amp;D199&amp;F199,Expense!$C$2:$C$601&amp;Expense!$D$2:$D$601&amp;Expense!$E$2:$E$601,Expense!$G$2:$G$601,"")</f>
        <v>250</v>
      </c>
      <c r="K199" s="11" cm="1">
        <f t="array" ref="K199">_xlfn.XLOOKUP(C199&amp;D199&amp;F199,Expense!$C$2:$C$601&amp;Expense!$D$2:$D$601&amp;Expense!$E$2:$E$601,Expense!$H$2:$H$601,"")</f>
        <v>250</v>
      </c>
      <c r="L199" s="14">
        <f t="shared" si="32"/>
        <v>1434</v>
      </c>
      <c r="M199" s="14">
        <f>Master_Table[[#This Row],[Expense Budget]]-Master_Table[[#This Row],[Actual Expense]]</f>
        <v>0</v>
      </c>
      <c r="N199" s="16">
        <f t="shared" si="33"/>
        <v>2184</v>
      </c>
      <c r="O199" s="29">
        <f t="shared" si="30"/>
        <v>750</v>
      </c>
      <c r="P199" s="16">
        <f t="shared" si="31"/>
        <v>1434</v>
      </c>
      <c r="Q199" s="28">
        <f>Master_Table[[#This Row],[△Sales Variance]]/Master_Table[[#This Row],[Sales Budget]]</f>
        <v>1.4339999999999999</v>
      </c>
      <c r="R199" s="28">
        <f>Master_Table[[#This Row],[△Expense  Variance]]/Master_Table[[#This Row],[Expense Budget]]</f>
        <v>0</v>
      </c>
      <c r="S199" s="28">
        <f>Master_Table[[#This Row],[Net Profit Variance]]/Master_Table[[#This Row],[Budget Net Profit]]</f>
        <v>1.9119999999999999</v>
      </c>
      <c r="T199" s="28">
        <f>Master_Table[[#This Row],[Actual Net Profit]]/Master_Table[[#This Row],[Actual Sales]]</f>
        <v>0.89728841413311422</v>
      </c>
      <c r="U199" s="28" t="str">
        <f>_xlfn.TEXTJOIN(" - ", TRUE, Master_Table[[#This Row],[Product]], Master_Table[[#This Row],[Branch]])</f>
        <v>Melon - Abuja</v>
      </c>
    </row>
    <row r="200" spans="1:21" ht="14.4" x14ac:dyDescent="0.3">
      <c r="A200" s="2">
        <v>199</v>
      </c>
      <c r="B200" s="2">
        <f t="shared" si="27"/>
        <v>103</v>
      </c>
      <c r="C200" s="1" t="str">
        <f>VLOOKUP(B200,Products!A:C,2,FALSE)</f>
        <v>Melon</v>
      </c>
      <c r="D200" s="1" t="str">
        <f t="shared" si="28"/>
        <v>Abuja</v>
      </c>
      <c r="E200" s="4" t="str">
        <f>_xlfn.XLOOKUP(D200,'Sales Manager'!$A$2:$A$6,'Sales Manager'!$B$2:$B$6,"")</f>
        <v>Emeka Nwosu</v>
      </c>
      <c r="F200" s="3">
        <f t="shared" si="29"/>
        <v>7</v>
      </c>
      <c r="G200" s="1" t="str">
        <f t="shared" si="29"/>
        <v>Jul</v>
      </c>
      <c r="H200" s="11">
        <v>2000</v>
      </c>
      <c r="I200" s="11">
        <v>3243</v>
      </c>
      <c r="J200" s="11" cm="1">
        <f t="array" ref="J200">_xlfn.XLOOKUP(C200&amp;D200&amp;F200,Expense!$C$2:$C$601&amp;Expense!$D$2:$D$601&amp;Expense!$E$2:$E$601,Expense!$G$2:$G$601,"")</f>
        <v>500</v>
      </c>
      <c r="K200" s="11" cm="1">
        <f t="array" ref="K200">_xlfn.XLOOKUP(C200&amp;D200&amp;F200,Expense!$C$2:$C$601&amp;Expense!$D$2:$D$601&amp;Expense!$E$2:$E$601,Expense!$H$2:$H$601,"")</f>
        <v>200</v>
      </c>
      <c r="L200" s="14">
        <f t="shared" si="32"/>
        <v>1243</v>
      </c>
      <c r="M200" s="14">
        <f>Master_Table[[#This Row],[Expense Budget]]-Master_Table[[#This Row],[Actual Expense]]</f>
        <v>300</v>
      </c>
      <c r="N200" s="16">
        <f t="shared" si="33"/>
        <v>3043</v>
      </c>
      <c r="O200" s="29">
        <f t="shared" si="30"/>
        <v>1500</v>
      </c>
      <c r="P200" s="16">
        <f t="shared" si="31"/>
        <v>1543</v>
      </c>
      <c r="Q200" s="28">
        <f>Master_Table[[#This Row],[△Sales Variance]]/Master_Table[[#This Row],[Sales Budget]]</f>
        <v>0.62150000000000005</v>
      </c>
      <c r="R200" s="28">
        <f>Master_Table[[#This Row],[△Expense  Variance]]/Master_Table[[#This Row],[Expense Budget]]</f>
        <v>0.6</v>
      </c>
      <c r="S200" s="28">
        <f>Master_Table[[#This Row],[Net Profit Variance]]/Master_Table[[#This Row],[Budget Net Profit]]</f>
        <v>1.0286666666666666</v>
      </c>
      <c r="T200" s="28">
        <f>Master_Table[[#This Row],[Actual Net Profit]]/Master_Table[[#This Row],[Actual Sales]]</f>
        <v>0.93832870798643231</v>
      </c>
      <c r="U200" s="28" t="str">
        <f>_xlfn.TEXTJOIN(" - ", TRUE, Master_Table[[#This Row],[Product]], Master_Table[[#This Row],[Branch]])</f>
        <v>Melon - Abuja</v>
      </c>
    </row>
    <row r="201" spans="1:21" ht="14.4" x14ac:dyDescent="0.3">
      <c r="A201" s="2">
        <v>200</v>
      </c>
      <c r="B201" s="2">
        <f t="shared" si="27"/>
        <v>103</v>
      </c>
      <c r="C201" s="1" t="str">
        <f>VLOOKUP(B201,Products!A:C,2,FALSE)</f>
        <v>Melon</v>
      </c>
      <c r="D201" s="1" t="str">
        <f t="shared" si="28"/>
        <v>Abuja</v>
      </c>
      <c r="E201" s="4" t="str">
        <f>_xlfn.XLOOKUP(D201,'Sales Manager'!$A$2:$A$6,'Sales Manager'!$B$2:$B$6,"")</f>
        <v>Emeka Nwosu</v>
      </c>
      <c r="F201" s="3">
        <f t="shared" si="29"/>
        <v>8</v>
      </c>
      <c r="G201" s="1" t="str">
        <f t="shared" si="29"/>
        <v>Aug</v>
      </c>
      <c r="H201" s="11">
        <v>5000</v>
      </c>
      <c r="I201" s="11">
        <v>4337</v>
      </c>
      <c r="J201" s="11" cm="1">
        <f t="array" ref="J201">_xlfn.XLOOKUP(C201&amp;D201&amp;F201,Expense!$C$2:$C$601&amp;Expense!$D$2:$D$601&amp;Expense!$E$2:$E$601,Expense!$G$2:$G$601,"")</f>
        <v>2500</v>
      </c>
      <c r="K201" s="11" cm="1">
        <f t="array" ref="K201">_xlfn.XLOOKUP(C201&amp;D201&amp;F201,Expense!$C$2:$C$601&amp;Expense!$D$2:$D$601&amp;Expense!$E$2:$E$601,Expense!$H$2:$H$601,"")</f>
        <v>2300</v>
      </c>
      <c r="L201" s="14">
        <f t="shared" si="32"/>
        <v>-663</v>
      </c>
      <c r="M201" s="14">
        <f>Master_Table[[#This Row],[Expense Budget]]-Master_Table[[#This Row],[Actual Expense]]</f>
        <v>200</v>
      </c>
      <c r="N201" s="16">
        <f t="shared" si="33"/>
        <v>2037</v>
      </c>
      <c r="O201" s="29">
        <f t="shared" si="30"/>
        <v>2500</v>
      </c>
      <c r="P201" s="16">
        <f t="shared" si="31"/>
        <v>-463</v>
      </c>
      <c r="Q201" s="28">
        <f>Master_Table[[#This Row],[△Sales Variance]]/Master_Table[[#This Row],[Sales Budget]]</f>
        <v>-0.1326</v>
      </c>
      <c r="R201" s="28">
        <f>Master_Table[[#This Row],[△Expense  Variance]]/Master_Table[[#This Row],[Expense Budget]]</f>
        <v>0.08</v>
      </c>
      <c r="S201" s="28">
        <f>Master_Table[[#This Row],[Net Profit Variance]]/Master_Table[[#This Row],[Budget Net Profit]]</f>
        <v>-0.1852</v>
      </c>
      <c r="T201" s="28">
        <f>Master_Table[[#This Row],[Actual Net Profit]]/Master_Table[[#This Row],[Actual Sales]]</f>
        <v>0.46967950195988012</v>
      </c>
      <c r="U201" s="28" t="str">
        <f>_xlfn.TEXTJOIN(" - ", TRUE, Master_Table[[#This Row],[Product]], Master_Table[[#This Row],[Branch]])</f>
        <v>Melon - Abuja</v>
      </c>
    </row>
    <row r="202" spans="1:21" ht="14.4" x14ac:dyDescent="0.3">
      <c r="A202" s="2">
        <v>201</v>
      </c>
      <c r="B202" s="2">
        <f t="shared" si="27"/>
        <v>103</v>
      </c>
      <c r="C202" s="1" t="str">
        <f>VLOOKUP(B202,Products!A:C,2,FALSE)</f>
        <v>Melon</v>
      </c>
      <c r="D202" s="1" t="str">
        <f t="shared" si="28"/>
        <v>Abuja</v>
      </c>
      <c r="E202" s="4" t="str">
        <f>_xlfn.XLOOKUP(D202,'Sales Manager'!$A$2:$A$6,'Sales Manager'!$B$2:$B$6,"")</f>
        <v>Emeka Nwosu</v>
      </c>
      <c r="F202" s="3">
        <f t="shared" si="29"/>
        <v>9</v>
      </c>
      <c r="G202" s="1" t="str">
        <f t="shared" si="29"/>
        <v>Sept</v>
      </c>
      <c r="H202" s="11">
        <v>3000</v>
      </c>
      <c r="I202" s="11">
        <v>6904</v>
      </c>
      <c r="J202" s="11" cm="1">
        <f t="array" ref="J202">_xlfn.XLOOKUP(C202&amp;D202&amp;F202,Expense!$C$2:$C$601&amp;Expense!$D$2:$D$601&amp;Expense!$E$2:$E$601,Expense!$G$2:$G$601,"")</f>
        <v>1000</v>
      </c>
      <c r="K202" s="11" cm="1">
        <f t="array" ref="K202">_xlfn.XLOOKUP(C202&amp;D202&amp;F202,Expense!$C$2:$C$601&amp;Expense!$D$2:$D$601&amp;Expense!$E$2:$E$601,Expense!$H$2:$H$601,"")</f>
        <v>1000</v>
      </c>
      <c r="L202" s="14">
        <f t="shared" si="32"/>
        <v>3904</v>
      </c>
      <c r="M202" s="14">
        <f>Master_Table[[#This Row],[Expense Budget]]-Master_Table[[#This Row],[Actual Expense]]</f>
        <v>0</v>
      </c>
      <c r="N202" s="16">
        <f t="shared" si="33"/>
        <v>5904</v>
      </c>
      <c r="O202" s="29">
        <f t="shared" si="30"/>
        <v>2000</v>
      </c>
      <c r="P202" s="16">
        <f t="shared" si="31"/>
        <v>3904</v>
      </c>
      <c r="Q202" s="28">
        <f>Master_Table[[#This Row],[△Sales Variance]]/Master_Table[[#This Row],[Sales Budget]]</f>
        <v>1.3013333333333332</v>
      </c>
      <c r="R202" s="28">
        <f>Master_Table[[#This Row],[△Expense  Variance]]/Master_Table[[#This Row],[Expense Budget]]</f>
        <v>0</v>
      </c>
      <c r="S202" s="28">
        <f>Master_Table[[#This Row],[Net Profit Variance]]/Master_Table[[#This Row],[Budget Net Profit]]</f>
        <v>1.952</v>
      </c>
      <c r="T202" s="28">
        <f>Master_Table[[#This Row],[Actual Net Profit]]/Master_Table[[#This Row],[Actual Sales]]</f>
        <v>0.85515643105446115</v>
      </c>
      <c r="U202" s="28" t="str">
        <f>_xlfn.TEXTJOIN(" - ", TRUE, Master_Table[[#This Row],[Product]], Master_Table[[#This Row],[Branch]])</f>
        <v>Melon - Abuja</v>
      </c>
    </row>
    <row r="203" spans="1:21" ht="14.4" x14ac:dyDescent="0.3">
      <c r="A203" s="2">
        <v>202</v>
      </c>
      <c r="B203" s="2">
        <f t="shared" si="27"/>
        <v>103</v>
      </c>
      <c r="C203" s="1" t="str">
        <f>VLOOKUP(B203,Products!A:C,2,FALSE)</f>
        <v>Melon</v>
      </c>
      <c r="D203" s="1" t="str">
        <f t="shared" si="28"/>
        <v>Abuja</v>
      </c>
      <c r="E203" s="4" t="str">
        <f>_xlfn.XLOOKUP(D203,'Sales Manager'!$A$2:$A$6,'Sales Manager'!$B$2:$B$6,"")</f>
        <v>Emeka Nwosu</v>
      </c>
      <c r="F203" s="3">
        <f t="shared" si="29"/>
        <v>10</v>
      </c>
      <c r="G203" s="1" t="str">
        <f t="shared" si="29"/>
        <v>Oct</v>
      </c>
      <c r="H203" s="11">
        <v>5000</v>
      </c>
      <c r="I203" s="11">
        <v>5411</v>
      </c>
      <c r="J203" s="11" cm="1">
        <f t="array" ref="J203">_xlfn.XLOOKUP(C203&amp;D203&amp;F203,Expense!$C$2:$C$601&amp;Expense!$D$2:$D$601&amp;Expense!$E$2:$E$601,Expense!$G$2:$G$601,"")</f>
        <v>2500</v>
      </c>
      <c r="K203" s="11" cm="1">
        <f t="array" ref="K203">_xlfn.XLOOKUP(C203&amp;D203&amp;F203,Expense!$C$2:$C$601&amp;Expense!$D$2:$D$601&amp;Expense!$E$2:$E$601,Expense!$H$2:$H$601,"")</f>
        <v>2100</v>
      </c>
      <c r="L203" s="14">
        <f t="shared" si="32"/>
        <v>411</v>
      </c>
      <c r="M203" s="14">
        <f>Master_Table[[#This Row],[Expense Budget]]-Master_Table[[#This Row],[Actual Expense]]</f>
        <v>400</v>
      </c>
      <c r="N203" s="16">
        <f t="shared" si="33"/>
        <v>3311</v>
      </c>
      <c r="O203" s="29">
        <f t="shared" si="30"/>
        <v>2500</v>
      </c>
      <c r="P203" s="16">
        <f t="shared" si="31"/>
        <v>811</v>
      </c>
      <c r="Q203" s="28">
        <f>Master_Table[[#This Row],[△Sales Variance]]/Master_Table[[#This Row],[Sales Budget]]</f>
        <v>8.2199999999999995E-2</v>
      </c>
      <c r="R203" s="28">
        <f>Master_Table[[#This Row],[△Expense  Variance]]/Master_Table[[#This Row],[Expense Budget]]</f>
        <v>0.16</v>
      </c>
      <c r="S203" s="28">
        <f>Master_Table[[#This Row],[Net Profit Variance]]/Master_Table[[#This Row],[Budget Net Profit]]</f>
        <v>0.32440000000000002</v>
      </c>
      <c r="T203" s="28">
        <f>Master_Table[[#This Row],[Actual Net Profit]]/Master_Table[[#This Row],[Actual Sales]]</f>
        <v>0.61190168175937909</v>
      </c>
      <c r="U203" s="28" t="str">
        <f>_xlfn.TEXTJOIN(" - ", TRUE, Master_Table[[#This Row],[Product]], Master_Table[[#This Row],[Branch]])</f>
        <v>Melon - Abuja</v>
      </c>
    </row>
    <row r="204" spans="1:21" ht="14.4" x14ac:dyDescent="0.3">
      <c r="A204" s="2">
        <v>203</v>
      </c>
      <c r="B204" s="2">
        <f t="shared" si="27"/>
        <v>103</v>
      </c>
      <c r="C204" s="1" t="str">
        <f>VLOOKUP(B204,Products!A:C,2,FALSE)</f>
        <v>Melon</v>
      </c>
      <c r="D204" s="1" t="str">
        <f t="shared" si="28"/>
        <v>Abuja</v>
      </c>
      <c r="E204" s="4" t="str">
        <f>_xlfn.XLOOKUP(D204,'Sales Manager'!$A$2:$A$6,'Sales Manager'!$B$2:$B$6,"")</f>
        <v>Emeka Nwosu</v>
      </c>
      <c r="F204" s="3">
        <f t="shared" si="29"/>
        <v>11</v>
      </c>
      <c r="G204" s="1" t="str">
        <f t="shared" si="29"/>
        <v>Nov</v>
      </c>
      <c r="H204" s="11">
        <v>1000</v>
      </c>
      <c r="I204" s="11">
        <v>4315</v>
      </c>
      <c r="J204" s="11" cm="1">
        <f t="array" ref="J204">_xlfn.XLOOKUP(C204&amp;D204&amp;F204,Expense!$C$2:$C$601&amp;Expense!$D$2:$D$601&amp;Expense!$E$2:$E$601,Expense!$G$2:$G$601,"")</f>
        <v>333.33333333333331</v>
      </c>
      <c r="K204" s="11" cm="1">
        <f t="array" ref="K204">_xlfn.XLOOKUP(C204&amp;D204&amp;F204,Expense!$C$2:$C$601&amp;Expense!$D$2:$D$601&amp;Expense!$E$2:$E$601,Expense!$H$2:$H$601,"")</f>
        <v>133.33333333333331</v>
      </c>
      <c r="L204" s="14">
        <f t="shared" si="32"/>
        <v>3315</v>
      </c>
      <c r="M204" s="14">
        <f>Master_Table[[#This Row],[Expense Budget]]-Master_Table[[#This Row],[Actual Expense]]</f>
        <v>200</v>
      </c>
      <c r="N204" s="16">
        <f t="shared" si="33"/>
        <v>4181.666666666667</v>
      </c>
      <c r="O204" s="29">
        <f t="shared" si="30"/>
        <v>666.66666666666674</v>
      </c>
      <c r="P204" s="16">
        <f t="shared" si="31"/>
        <v>3515</v>
      </c>
      <c r="Q204" s="28">
        <f>Master_Table[[#This Row],[△Sales Variance]]/Master_Table[[#This Row],[Sales Budget]]</f>
        <v>3.3149999999999999</v>
      </c>
      <c r="R204" s="28">
        <f>Master_Table[[#This Row],[△Expense  Variance]]/Master_Table[[#This Row],[Expense Budget]]</f>
        <v>0.60000000000000009</v>
      </c>
      <c r="S204" s="28">
        <f>Master_Table[[#This Row],[Net Profit Variance]]/Master_Table[[#This Row],[Budget Net Profit]]</f>
        <v>5.2724999999999991</v>
      </c>
      <c r="T204" s="28">
        <f>Master_Table[[#This Row],[Actual Net Profit]]/Master_Table[[#This Row],[Actual Sales]]</f>
        <v>0.96910003862495175</v>
      </c>
      <c r="U204" s="28" t="str">
        <f>_xlfn.TEXTJOIN(" - ", TRUE, Master_Table[[#This Row],[Product]], Master_Table[[#This Row],[Branch]])</f>
        <v>Melon - Abuja</v>
      </c>
    </row>
    <row r="205" spans="1:21" ht="14.4" x14ac:dyDescent="0.3">
      <c r="A205" s="2">
        <v>204</v>
      </c>
      <c r="B205" s="2">
        <f t="shared" si="27"/>
        <v>103</v>
      </c>
      <c r="C205" s="1" t="str">
        <f>VLOOKUP(B205,Products!A:C,2,FALSE)</f>
        <v>Melon</v>
      </c>
      <c r="D205" s="1" t="str">
        <f t="shared" si="28"/>
        <v>Abuja</v>
      </c>
      <c r="E205" s="4" t="str">
        <f>_xlfn.XLOOKUP(D205,'Sales Manager'!$A$2:$A$6,'Sales Manager'!$B$2:$B$6,"")</f>
        <v>Emeka Nwosu</v>
      </c>
      <c r="F205" s="3">
        <f t="shared" si="29"/>
        <v>12</v>
      </c>
      <c r="G205" s="1" t="str">
        <f t="shared" si="29"/>
        <v>Dec</v>
      </c>
      <c r="H205" s="11">
        <v>1000</v>
      </c>
      <c r="I205" s="11">
        <v>5231</v>
      </c>
      <c r="J205" s="11" cm="1">
        <f t="array" ref="J205">_xlfn.XLOOKUP(C205&amp;D205&amp;F205,Expense!$C$2:$C$601&amp;Expense!$D$2:$D$601&amp;Expense!$E$2:$E$601,Expense!$G$2:$G$601,"")</f>
        <v>200</v>
      </c>
      <c r="K205" s="11" cm="1">
        <f t="array" ref="K205">_xlfn.XLOOKUP(C205&amp;D205&amp;F205,Expense!$C$2:$C$601&amp;Expense!$D$2:$D$601&amp;Expense!$E$2:$E$601,Expense!$H$2:$H$601,"")</f>
        <v>300</v>
      </c>
      <c r="L205" s="14">
        <f t="shared" si="32"/>
        <v>4231</v>
      </c>
      <c r="M205" s="14">
        <f>Master_Table[[#This Row],[Expense Budget]]-Master_Table[[#This Row],[Actual Expense]]</f>
        <v>-100</v>
      </c>
      <c r="N205" s="16">
        <f t="shared" si="33"/>
        <v>4931</v>
      </c>
      <c r="O205" s="29">
        <f t="shared" si="30"/>
        <v>800</v>
      </c>
      <c r="P205" s="16">
        <f t="shared" si="31"/>
        <v>4131</v>
      </c>
      <c r="Q205" s="28">
        <f>Master_Table[[#This Row],[△Sales Variance]]/Master_Table[[#This Row],[Sales Budget]]</f>
        <v>4.2309999999999999</v>
      </c>
      <c r="R205" s="28">
        <f>Master_Table[[#This Row],[△Expense  Variance]]/Master_Table[[#This Row],[Expense Budget]]</f>
        <v>-0.5</v>
      </c>
      <c r="S205" s="28">
        <f>Master_Table[[#This Row],[Net Profit Variance]]/Master_Table[[#This Row],[Budget Net Profit]]</f>
        <v>5.1637500000000003</v>
      </c>
      <c r="T205" s="28">
        <f>Master_Table[[#This Row],[Actual Net Profit]]/Master_Table[[#This Row],[Actual Sales]]</f>
        <v>0.94264958898872109</v>
      </c>
      <c r="U205" s="28" t="str">
        <f>_xlfn.TEXTJOIN(" - ", TRUE, Master_Table[[#This Row],[Product]], Master_Table[[#This Row],[Branch]])</f>
        <v>Melon - Abuja</v>
      </c>
    </row>
    <row r="206" spans="1:21" ht="14.4" x14ac:dyDescent="0.3">
      <c r="A206" s="2">
        <v>205</v>
      </c>
      <c r="B206" s="2">
        <f t="shared" si="27"/>
        <v>103</v>
      </c>
      <c r="C206" s="1" t="str">
        <f>VLOOKUP(B206,Products!A:C,2,FALSE)</f>
        <v>Melon</v>
      </c>
      <c r="D206" s="1" t="str">
        <f t="shared" si="28"/>
        <v>Warri</v>
      </c>
      <c r="E206" s="4" t="str">
        <f>_xlfn.XLOOKUP(D206,'Sales Manager'!$A$2:$A$6,'Sales Manager'!$B$2:$B$6,"")</f>
        <v>Gbenga Adesanya</v>
      </c>
      <c r="F206" s="3">
        <f t="shared" si="29"/>
        <v>1</v>
      </c>
      <c r="G206" s="1" t="str">
        <f t="shared" si="29"/>
        <v>Jan</v>
      </c>
      <c r="H206" s="11">
        <v>6000</v>
      </c>
      <c r="I206" s="11">
        <v>3450</v>
      </c>
      <c r="J206" s="11" cm="1">
        <f t="array" ref="J206">_xlfn.XLOOKUP(C206&amp;D206&amp;F206,Expense!$C$2:$C$601&amp;Expense!$D$2:$D$601&amp;Expense!$E$2:$E$601,Expense!$G$2:$G$601,"")</f>
        <v>1200</v>
      </c>
      <c r="K206" s="11" cm="1">
        <f t="array" ref="K206">_xlfn.XLOOKUP(C206&amp;D206&amp;F206,Expense!$C$2:$C$601&amp;Expense!$D$2:$D$601&amp;Expense!$E$2:$E$601,Expense!$H$2:$H$601,"")</f>
        <v>600</v>
      </c>
      <c r="L206" s="14">
        <f t="shared" si="32"/>
        <v>-2550</v>
      </c>
      <c r="M206" s="14">
        <f>Master_Table[[#This Row],[Expense Budget]]-Master_Table[[#This Row],[Actual Expense]]</f>
        <v>600</v>
      </c>
      <c r="N206" s="16">
        <f t="shared" si="33"/>
        <v>2850</v>
      </c>
      <c r="O206" s="29">
        <f t="shared" si="30"/>
        <v>4800</v>
      </c>
      <c r="P206" s="16">
        <f t="shared" si="31"/>
        <v>-1950</v>
      </c>
      <c r="Q206" s="28">
        <f>Master_Table[[#This Row],[△Sales Variance]]/Master_Table[[#This Row],[Sales Budget]]</f>
        <v>-0.42499999999999999</v>
      </c>
      <c r="R206" s="28">
        <f>Master_Table[[#This Row],[△Expense  Variance]]/Master_Table[[#This Row],[Expense Budget]]</f>
        <v>0.5</v>
      </c>
      <c r="S206" s="28">
        <f>Master_Table[[#This Row],[Net Profit Variance]]/Master_Table[[#This Row],[Budget Net Profit]]</f>
        <v>-0.40625</v>
      </c>
      <c r="T206" s="28">
        <f>Master_Table[[#This Row],[Actual Net Profit]]/Master_Table[[#This Row],[Actual Sales]]</f>
        <v>0.82608695652173914</v>
      </c>
      <c r="U206" s="28" t="str">
        <f>_xlfn.TEXTJOIN(" - ", TRUE, Master_Table[[#This Row],[Product]], Master_Table[[#This Row],[Branch]])</f>
        <v>Melon - Warri</v>
      </c>
    </row>
    <row r="207" spans="1:21" ht="14.4" x14ac:dyDescent="0.3">
      <c r="A207" s="2">
        <v>206</v>
      </c>
      <c r="B207" s="2">
        <f t="shared" si="27"/>
        <v>103</v>
      </c>
      <c r="C207" s="1" t="str">
        <f>VLOOKUP(B207,Products!A:C,2,FALSE)</f>
        <v>Melon</v>
      </c>
      <c r="D207" s="1" t="str">
        <f t="shared" si="28"/>
        <v>Warri</v>
      </c>
      <c r="E207" s="4" t="str">
        <f>_xlfn.XLOOKUP(D207,'Sales Manager'!$A$2:$A$6,'Sales Manager'!$B$2:$B$6,"")</f>
        <v>Gbenga Adesanya</v>
      </c>
      <c r="F207" s="3">
        <f t="shared" ref="F207:G222" si="34">F195</f>
        <v>2</v>
      </c>
      <c r="G207" s="1" t="str">
        <f t="shared" si="34"/>
        <v>Feb</v>
      </c>
      <c r="H207" s="11">
        <v>6000</v>
      </c>
      <c r="I207" s="11">
        <v>3763</v>
      </c>
      <c r="J207" s="11" cm="1">
        <f t="array" ref="J207">_xlfn.XLOOKUP(C207&amp;D207&amp;F207,Expense!$C$2:$C$601&amp;Expense!$D$2:$D$601&amp;Expense!$E$2:$E$601,Expense!$G$2:$G$601,"")</f>
        <v>2000</v>
      </c>
      <c r="K207" s="11" cm="1">
        <f t="array" ref="K207">_xlfn.XLOOKUP(C207&amp;D207&amp;F207,Expense!$C$2:$C$601&amp;Expense!$D$2:$D$601&amp;Expense!$E$2:$E$601,Expense!$H$2:$H$601,"")</f>
        <v>1700</v>
      </c>
      <c r="L207" s="14">
        <f t="shared" si="32"/>
        <v>-2237</v>
      </c>
      <c r="M207" s="14">
        <f>Master_Table[[#This Row],[Expense Budget]]-Master_Table[[#This Row],[Actual Expense]]</f>
        <v>300</v>
      </c>
      <c r="N207" s="16">
        <f t="shared" si="33"/>
        <v>2063</v>
      </c>
      <c r="O207" s="29">
        <f t="shared" si="30"/>
        <v>4000</v>
      </c>
      <c r="P207" s="16">
        <f t="shared" si="31"/>
        <v>-1937</v>
      </c>
      <c r="Q207" s="28">
        <f>Master_Table[[#This Row],[△Sales Variance]]/Master_Table[[#This Row],[Sales Budget]]</f>
        <v>-0.37283333333333335</v>
      </c>
      <c r="R207" s="28">
        <f>Master_Table[[#This Row],[△Expense  Variance]]/Master_Table[[#This Row],[Expense Budget]]</f>
        <v>0.15</v>
      </c>
      <c r="S207" s="28">
        <f>Master_Table[[#This Row],[Net Profit Variance]]/Master_Table[[#This Row],[Budget Net Profit]]</f>
        <v>-0.48425000000000001</v>
      </c>
      <c r="T207" s="28">
        <f>Master_Table[[#This Row],[Actual Net Profit]]/Master_Table[[#This Row],[Actual Sales]]</f>
        <v>0.54823279298432104</v>
      </c>
      <c r="U207" s="28" t="str">
        <f>_xlfn.TEXTJOIN(" - ", TRUE, Master_Table[[#This Row],[Product]], Master_Table[[#This Row],[Branch]])</f>
        <v>Melon - Warri</v>
      </c>
    </row>
    <row r="208" spans="1:21" ht="14.4" x14ac:dyDescent="0.3">
      <c r="A208" s="2">
        <v>207</v>
      </c>
      <c r="B208" s="2">
        <f t="shared" si="27"/>
        <v>103</v>
      </c>
      <c r="C208" s="1" t="str">
        <f>VLOOKUP(B208,Products!A:C,2,FALSE)</f>
        <v>Melon</v>
      </c>
      <c r="D208" s="1" t="str">
        <f t="shared" si="28"/>
        <v>Warri</v>
      </c>
      <c r="E208" s="4" t="str">
        <f>_xlfn.XLOOKUP(D208,'Sales Manager'!$A$2:$A$6,'Sales Manager'!$B$2:$B$6,"")</f>
        <v>Gbenga Adesanya</v>
      </c>
      <c r="F208" s="3">
        <f t="shared" si="34"/>
        <v>3</v>
      </c>
      <c r="G208" s="1" t="str">
        <f t="shared" si="34"/>
        <v>Mar</v>
      </c>
      <c r="H208" s="11">
        <v>3000</v>
      </c>
      <c r="I208" s="11">
        <v>5771</v>
      </c>
      <c r="J208" s="11" cm="1">
        <f t="array" ref="J208">_xlfn.XLOOKUP(C208&amp;D208&amp;F208,Expense!$C$2:$C$601&amp;Expense!$D$2:$D$601&amp;Expense!$E$2:$E$601,Expense!$G$2:$G$601,"")</f>
        <v>750</v>
      </c>
      <c r="K208" s="11" cm="1">
        <f t="array" ref="K208">_xlfn.XLOOKUP(C208&amp;D208&amp;F208,Expense!$C$2:$C$601&amp;Expense!$D$2:$D$601&amp;Expense!$E$2:$E$601,Expense!$H$2:$H$601,"")</f>
        <v>650</v>
      </c>
      <c r="L208" s="14">
        <f t="shared" si="32"/>
        <v>2771</v>
      </c>
      <c r="M208" s="14">
        <f>Master_Table[[#This Row],[Expense Budget]]-Master_Table[[#This Row],[Actual Expense]]</f>
        <v>100</v>
      </c>
      <c r="N208" s="16">
        <f t="shared" si="33"/>
        <v>5121</v>
      </c>
      <c r="O208" s="29">
        <f t="shared" si="30"/>
        <v>2250</v>
      </c>
      <c r="P208" s="16">
        <f t="shared" si="31"/>
        <v>2871</v>
      </c>
      <c r="Q208" s="28">
        <f>Master_Table[[#This Row],[△Sales Variance]]/Master_Table[[#This Row],[Sales Budget]]</f>
        <v>0.92366666666666664</v>
      </c>
      <c r="R208" s="28">
        <f>Master_Table[[#This Row],[△Expense  Variance]]/Master_Table[[#This Row],[Expense Budget]]</f>
        <v>0.13333333333333333</v>
      </c>
      <c r="S208" s="28">
        <f>Master_Table[[#This Row],[Net Profit Variance]]/Master_Table[[#This Row],[Budget Net Profit]]</f>
        <v>1.276</v>
      </c>
      <c r="T208" s="28">
        <f>Master_Table[[#This Row],[Actual Net Profit]]/Master_Table[[#This Row],[Actual Sales]]</f>
        <v>0.88736787385201876</v>
      </c>
      <c r="U208" s="28" t="str">
        <f>_xlfn.TEXTJOIN(" - ", TRUE, Master_Table[[#This Row],[Product]], Master_Table[[#This Row],[Branch]])</f>
        <v>Melon - Warri</v>
      </c>
    </row>
    <row r="209" spans="1:21" ht="14.4" x14ac:dyDescent="0.3">
      <c r="A209" s="2">
        <v>208</v>
      </c>
      <c r="B209" s="2">
        <f t="shared" si="27"/>
        <v>103</v>
      </c>
      <c r="C209" s="1" t="str">
        <f>VLOOKUP(B209,Products!A:C,2,FALSE)</f>
        <v>Melon</v>
      </c>
      <c r="D209" s="1" t="str">
        <f t="shared" si="28"/>
        <v>Warri</v>
      </c>
      <c r="E209" s="4" t="str">
        <f>_xlfn.XLOOKUP(D209,'Sales Manager'!$A$2:$A$6,'Sales Manager'!$B$2:$B$6,"")</f>
        <v>Gbenga Adesanya</v>
      </c>
      <c r="F209" s="3">
        <f t="shared" si="34"/>
        <v>4</v>
      </c>
      <c r="G209" s="1" t="str">
        <f t="shared" si="34"/>
        <v>Apr</v>
      </c>
      <c r="H209" s="11">
        <v>9000</v>
      </c>
      <c r="I209" s="11">
        <v>4413</v>
      </c>
      <c r="J209" s="11" cm="1">
        <f t="array" ref="J209">_xlfn.XLOOKUP(C209&amp;D209&amp;F209,Expense!$C$2:$C$601&amp;Expense!$D$2:$D$601&amp;Expense!$E$2:$E$601,Expense!$G$2:$G$601,"")</f>
        <v>1800</v>
      </c>
      <c r="K209" s="11" cm="1">
        <f t="array" ref="K209">_xlfn.XLOOKUP(C209&amp;D209&amp;F209,Expense!$C$2:$C$601&amp;Expense!$D$2:$D$601&amp;Expense!$E$2:$E$601,Expense!$H$2:$H$601,"")</f>
        <v>1600</v>
      </c>
      <c r="L209" s="14">
        <f t="shared" si="32"/>
        <v>-4587</v>
      </c>
      <c r="M209" s="14">
        <f>Master_Table[[#This Row],[Expense Budget]]-Master_Table[[#This Row],[Actual Expense]]</f>
        <v>200</v>
      </c>
      <c r="N209" s="16">
        <f t="shared" si="33"/>
        <v>2813</v>
      </c>
      <c r="O209" s="29">
        <f t="shared" si="30"/>
        <v>7200</v>
      </c>
      <c r="P209" s="16">
        <f t="shared" si="31"/>
        <v>-4387</v>
      </c>
      <c r="Q209" s="28">
        <f>Master_Table[[#This Row],[△Sales Variance]]/Master_Table[[#This Row],[Sales Budget]]</f>
        <v>-0.50966666666666671</v>
      </c>
      <c r="R209" s="28">
        <f>Master_Table[[#This Row],[△Expense  Variance]]/Master_Table[[#This Row],[Expense Budget]]</f>
        <v>0.1111111111111111</v>
      </c>
      <c r="S209" s="28">
        <f>Master_Table[[#This Row],[Net Profit Variance]]/Master_Table[[#This Row],[Budget Net Profit]]</f>
        <v>-0.60930555555555554</v>
      </c>
      <c r="T209" s="28">
        <f>Master_Table[[#This Row],[Actual Net Profit]]/Master_Table[[#This Row],[Actual Sales]]</f>
        <v>0.63743485157489232</v>
      </c>
      <c r="U209" s="28" t="str">
        <f>_xlfn.TEXTJOIN(" - ", TRUE, Master_Table[[#This Row],[Product]], Master_Table[[#This Row],[Branch]])</f>
        <v>Melon - Warri</v>
      </c>
    </row>
    <row r="210" spans="1:21" ht="14.4" x14ac:dyDescent="0.3">
      <c r="A210" s="2">
        <v>209</v>
      </c>
      <c r="B210" s="2">
        <f t="shared" si="27"/>
        <v>103</v>
      </c>
      <c r="C210" s="1" t="str">
        <f>VLOOKUP(B210,Products!A:C,2,FALSE)</f>
        <v>Melon</v>
      </c>
      <c r="D210" s="1" t="str">
        <f t="shared" si="28"/>
        <v>Warri</v>
      </c>
      <c r="E210" s="4" t="str">
        <f>_xlfn.XLOOKUP(D210,'Sales Manager'!$A$2:$A$6,'Sales Manager'!$B$2:$B$6,"")</f>
        <v>Gbenga Adesanya</v>
      </c>
      <c r="F210" s="3">
        <f t="shared" si="34"/>
        <v>5</v>
      </c>
      <c r="G210" s="1" t="str">
        <f t="shared" si="34"/>
        <v>May</v>
      </c>
      <c r="H210" s="11">
        <v>2000</v>
      </c>
      <c r="I210" s="11">
        <v>2252</v>
      </c>
      <c r="J210" s="11" cm="1">
        <f t="array" ref="J210">_xlfn.XLOOKUP(C210&amp;D210&amp;F210,Expense!$C$2:$C$601&amp;Expense!$D$2:$D$601&amp;Expense!$E$2:$E$601,Expense!$G$2:$G$601,"")</f>
        <v>666.66666666666663</v>
      </c>
      <c r="K210" s="11" cm="1">
        <f t="array" ref="K210">_xlfn.XLOOKUP(C210&amp;D210&amp;F210,Expense!$C$2:$C$601&amp;Expense!$D$2:$D$601&amp;Expense!$E$2:$E$601,Expense!$H$2:$H$601,"")</f>
        <v>466.66666666666663</v>
      </c>
      <c r="L210" s="14">
        <f t="shared" si="32"/>
        <v>252</v>
      </c>
      <c r="M210" s="14">
        <f>Master_Table[[#This Row],[Expense Budget]]-Master_Table[[#This Row],[Actual Expense]]</f>
        <v>200</v>
      </c>
      <c r="N210" s="16">
        <f t="shared" si="33"/>
        <v>1785.3333333333335</v>
      </c>
      <c r="O210" s="29">
        <f t="shared" si="30"/>
        <v>1333.3333333333335</v>
      </c>
      <c r="P210" s="16">
        <f t="shared" si="31"/>
        <v>452</v>
      </c>
      <c r="Q210" s="28">
        <f>Master_Table[[#This Row],[△Sales Variance]]/Master_Table[[#This Row],[Sales Budget]]</f>
        <v>0.126</v>
      </c>
      <c r="R210" s="28">
        <f>Master_Table[[#This Row],[△Expense  Variance]]/Master_Table[[#This Row],[Expense Budget]]</f>
        <v>0.30000000000000004</v>
      </c>
      <c r="S210" s="28">
        <f>Master_Table[[#This Row],[Net Profit Variance]]/Master_Table[[#This Row],[Budget Net Profit]]</f>
        <v>0.33899999999999997</v>
      </c>
      <c r="T210" s="28">
        <f>Master_Table[[#This Row],[Actual Net Profit]]/Master_Table[[#This Row],[Actual Sales]]</f>
        <v>0.79277679100059217</v>
      </c>
      <c r="U210" s="28" t="str">
        <f>_xlfn.TEXTJOIN(" - ", TRUE, Master_Table[[#This Row],[Product]], Master_Table[[#This Row],[Branch]])</f>
        <v>Melon - Warri</v>
      </c>
    </row>
    <row r="211" spans="1:21" ht="14.4" x14ac:dyDescent="0.3">
      <c r="A211" s="2">
        <v>210</v>
      </c>
      <c r="B211" s="2">
        <f t="shared" si="27"/>
        <v>103</v>
      </c>
      <c r="C211" s="1" t="str">
        <f>VLOOKUP(B211,Products!A:C,2,FALSE)</f>
        <v>Melon</v>
      </c>
      <c r="D211" s="1" t="str">
        <f t="shared" si="28"/>
        <v>Warri</v>
      </c>
      <c r="E211" s="4" t="str">
        <f>_xlfn.XLOOKUP(D211,'Sales Manager'!$A$2:$A$6,'Sales Manager'!$B$2:$B$6,"")</f>
        <v>Gbenga Adesanya</v>
      </c>
      <c r="F211" s="3">
        <f t="shared" si="34"/>
        <v>6</v>
      </c>
      <c r="G211" s="1" t="str">
        <f t="shared" si="34"/>
        <v>Jun</v>
      </c>
      <c r="H211" s="11">
        <v>6000</v>
      </c>
      <c r="I211" s="11">
        <v>2158</v>
      </c>
      <c r="J211" s="11" cm="1">
        <f t="array" ref="J211">_xlfn.XLOOKUP(C211&amp;D211&amp;F211,Expense!$C$2:$C$601&amp;Expense!$D$2:$D$601&amp;Expense!$E$2:$E$601,Expense!$G$2:$G$601,"")</f>
        <v>2000</v>
      </c>
      <c r="K211" s="11" cm="1">
        <f t="array" ref="K211">_xlfn.XLOOKUP(C211&amp;D211&amp;F211,Expense!$C$2:$C$601&amp;Expense!$D$2:$D$601&amp;Expense!$E$2:$E$601,Expense!$H$2:$H$601,"")</f>
        <v>1700</v>
      </c>
      <c r="L211" s="14">
        <f t="shared" si="32"/>
        <v>-3842</v>
      </c>
      <c r="M211" s="14">
        <f>Master_Table[[#This Row],[Expense Budget]]-Master_Table[[#This Row],[Actual Expense]]</f>
        <v>300</v>
      </c>
      <c r="N211" s="16">
        <f t="shared" si="33"/>
        <v>458</v>
      </c>
      <c r="O211" s="29">
        <f t="shared" si="30"/>
        <v>4000</v>
      </c>
      <c r="P211" s="16">
        <f t="shared" si="31"/>
        <v>-3542</v>
      </c>
      <c r="Q211" s="28">
        <f>Master_Table[[#This Row],[△Sales Variance]]/Master_Table[[#This Row],[Sales Budget]]</f>
        <v>-0.64033333333333331</v>
      </c>
      <c r="R211" s="28">
        <f>Master_Table[[#This Row],[△Expense  Variance]]/Master_Table[[#This Row],[Expense Budget]]</f>
        <v>0.15</v>
      </c>
      <c r="S211" s="28">
        <f>Master_Table[[#This Row],[Net Profit Variance]]/Master_Table[[#This Row],[Budget Net Profit]]</f>
        <v>-0.88549999999999995</v>
      </c>
      <c r="T211" s="28">
        <f>Master_Table[[#This Row],[Actual Net Profit]]/Master_Table[[#This Row],[Actual Sales]]</f>
        <v>0.21223354958294718</v>
      </c>
      <c r="U211" s="28" t="str">
        <f>_xlfn.TEXTJOIN(" - ", TRUE, Master_Table[[#This Row],[Product]], Master_Table[[#This Row],[Branch]])</f>
        <v>Melon - Warri</v>
      </c>
    </row>
    <row r="212" spans="1:21" ht="14.4" x14ac:dyDescent="0.3">
      <c r="A212" s="2">
        <v>211</v>
      </c>
      <c r="B212" s="2">
        <f t="shared" si="27"/>
        <v>103</v>
      </c>
      <c r="C212" s="1" t="str">
        <f>VLOOKUP(B212,Products!A:C,2,FALSE)</f>
        <v>Melon</v>
      </c>
      <c r="D212" s="1" t="str">
        <f t="shared" si="28"/>
        <v>Warri</v>
      </c>
      <c r="E212" s="4" t="str">
        <f>_xlfn.XLOOKUP(D212,'Sales Manager'!$A$2:$A$6,'Sales Manager'!$B$2:$B$6,"")</f>
        <v>Gbenga Adesanya</v>
      </c>
      <c r="F212" s="3">
        <f t="shared" si="34"/>
        <v>7</v>
      </c>
      <c r="G212" s="1" t="str">
        <f t="shared" si="34"/>
        <v>Jul</v>
      </c>
      <c r="H212" s="11">
        <v>1000</v>
      </c>
      <c r="I212" s="11">
        <v>4461</v>
      </c>
      <c r="J212" s="11" cm="1">
        <f t="array" ref="J212">_xlfn.XLOOKUP(C212&amp;D212&amp;F212,Expense!$C$2:$C$601&amp;Expense!$D$2:$D$601&amp;Expense!$E$2:$E$601,Expense!$G$2:$G$601,"")</f>
        <v>333.33333333333331</v>
      </c>
      <c r="K212" s="11" cm="1">
        <f t="array" ref="K212">_xlfn.XLOOKUP(C212&amp;D212&amp;F212,Expense!$C$2:$C$601&amp;Expense!$D$2:$D$601&amp;Expense!$E$2:$E$601,Expense!$H$2:$H$601,"")</f>
        <v>466.66666666666669</v>
      </c>
      <c r="L212" s="14">
        <f t="shared" si="32"/>
        <v>3461</v>
      </c>
      <c r="M212" s="14">
        <f>Master_Table[[#This Row],[Expense Budget]]-Master_Table[[#This Row],[Actual Expense]]</f>
        <v>-133.33333333333337</v>
      </c>
      <c r="N212" s="16">
        <f t="shared" si="33"/>
        <v>3994.3333333333335</v>
      </c>
      <c r="O212" s="29">
        <f t="shared" si="30"/>
        <v>666.66666666666674</v>
      </c>
      <c r="P212" s="16">
        <f t="shared" si="31"/>
        <v>3327.666666666667</v>
      </c>
      <c r="Q212" s="28">
        <f>Master_Table[[#This Row],[△Sales Variance]]/Master_Table[[#This Row],[Sales Budget]]</f>
        <v>3.4609999999999999</v>
      </c>
      <c r="R212" s="28">
        <f>Master_Table[[#This Row],[△Expense  Variance]]/Master_Table[[#This Row],[Expense Budget]]</f>
        <v>-0.40000000000000013</v>
      </c>
      <c r="S212" s="28">
        <f>Master_Table[[#This Row],[Net Profit Variance]]/Master_Table[[#This Row],[Budget Net Profit]]</f>
        <v>4.9915000000000003</v>
      </c>
      <c r="T212" s="28">
        <f>Master_Table[[#This Row],[Actual Net Profit]]/Master_Table[[#This Row],[Actual Sales]]</f>
        <v>0.89538967346633791</v>
      </c>
      <c r="U212" s="28" t="str">
        <f>_xlfn.TEXTJOIN(" - ", TRUE, Master_Table[[#This Row],[Product]], Master_Table[[#This Row],[Branch]])</f>
        <v>Melon - Warri</v>
      </c>
    </row>
    <row r="213" spans="1:21" ht="14.4" x14ac:dyDescent="0.3">
      <c r="A213" s="2">
        <v>212</v>
      </c>
      <c r="B213" s="2">
        <f t="shared" si="27"/>
        <v>103</v>
      </c>
      <c r="C213" s="1" t="str">
        <f>VLOOKUP(B213,Products!A:C,2,FALSE)</f>
        <v>Melon</v>
      </c>
      <c r="D213" s="1" t="str">
        <f t="shared" si="28"/>
        <v>Warri</v>
      </c>
      <c r="E213" s="4" t="str">
        <f>_xlfn.XLOOKUP(D213,'Sales Manager'!$A$2:$A$6,'Sales Manager'!$B$2:$B$6,"")</f>
        <v>Gbenga Adesanya</v>
      </c>
      <c r="F213" s="3">
        <f t="shared" si="34"/>
        <v>8</v>
      </c>
      <c r="G213" s="1" t="str">
        <f t="shared" si="34"/>
        <v>Aug</v>
      </c>
      <c r="H213" s="11">
        <v>5000</v>
      </c>
      <c r="I213" s="11">
        <v>8015</v>
      </c>
      <c r="J213" s="11" cm="1">
        <f t="array" ref="J213">_xlfn.XLOOKUP(C213&amp;D213&amp;F213,Expense!$C$2:$C$601&amp;Expense!$D$2:$D$601&amp;Expense!$E$2:$E$601,Expense!$G$2:$G$601,"")</f>
        <v>1000</v>
      </c>
      <c r="K213" s="11" cm="1">
        <f t="array" ref="K213">_xlfn.XLOOKUP(C213&amp;D213&amp;F213,Expense!$C$2:$C$601&amp;Expense!$D$2:$D$601&amp;Expense!$E$2:$E$601,Expense!$H$2:$H$601,"")</f>
        <v>700</v>
      </c>
      <c r="L213" s="14">
        <f t="shared" si="32"/>
        <v>3015</v>
      </c>
      <c r="M213" s="14">
        <f>Master_Table[[#This Row],[Expense Budget]]-Master_Table[[#This Row],[Actual Expense]]</f>
        <v>300</v>
      </c>
      <c r="N213" s="16">
        <f t="shared" si="33"/>
        <v>7315</v>
      </c>
      <c r="O213" s="29">
        <f t="shared" si="30"/>
        <v>4000</v>
      </c>
      <c r="P213" s="16">
        <f t="shared" si="31"/>
        <v>3315</v>
      </c>
      <c r="Q213" s="28">
        <f>Master_Table[[#This Row],[△Sales Variance]]/Master_Table[[#This Row],[Sales Budget]]</f>
        <v>0.60299999999999998</v>
      </c>
      <c r="R213" s="28">
        <f>Master_Table[[#This Row],[△Expense  Variance]]/Master_Table[[#This Row],[Expense Budget]]</f>
        <v>0.3</v>
      </c>
      <c r="S213" s="28">
        <f>Master_Table[[#This Row],[Net Profit Variance]]/Master_Table[[#This Row],[Budget Net Profit]]</f>
        <v>0.82874999999999999</v>
      </c>
      <c r="T213" s="28">
        <f>Master_Table[[#This Row],[Actual Net Profit]]/Master_Table[[#This Row],[Actual Sales]]</f>
        <v>0.9126637554585153</v>
      </c>
      <c r="U213" s="28" t="str">
        <f>_xlfn.TEXTJOIN(" - ", TRUE, Master_Table[[#This Row],[Product]], Master_Table[[#This Row],[Branch]])</f>
        <v>Melon - Warri</v>
      </c>
    </row>
    <row r="214" spans="1:21" ht="14.4" x14ac:dyDescent="0.3">
      <c r="A214" s="2">
        <v>213</v>
      </c>
      <c r="B214" s="2">
        <f t="shared" si="27"/>
        <v>103</v>
      </c>
      <c r="C214" s="1" t="str">
        <f>VLOOKUP(B214,Products!A:C,2,FALSE)</f>
        <v>Melon</v>
      </c>
      <c r="D214" s="1" t="str">
        <f t="shared" si="28"/>
        <v>Warri</v>
      </c>
      <c r="E214" s="4" t="str">
        <f>_xlfn.XLOOKUP(D214,'Sales Manager'!$A$2:$A$6,'Sales Manager'!$B$2:$B$6,"")</f>
        <v>Gbenga Adesanya</v>
      </c>
      <c r="F214" s="3">
        <f t="shared" si="34"/>
        <v>9</v>
      </c>
      <c r="G214" s="1" t="str">
        <f t="shared" si="34"/>
        <v>Sept</v>
      </c>
      <c r="H214" s="11">
        <v>1000</v>
      </c>
      <c r="I214" s="11">
        <v>4466</v>
      </c>
      <c r="J214" s="11" cm="1">
        <f t="array" ref="J214">_xlfn.XLOOKUP(C214&amp;D214&amp;F214,Expense!$C$2:$C$601&amp;Expense!$D$2:$D$601&amp;Expense!$E$2:$E$601,Expense!$G$2:$G$601,"")</f>
        <v>500</v>
      </c>
      <c r="K214" s="11" cm="1">
        <f t="array" ref="K214">_xlfn.XLOOKUP(C214&amp;D214&amp;F214,Expense!$C$2:$C$601&amp;Expense!$D$2:$D$601&amp;Expense!$E$2:$E$601,Expense!$H$2:$H$601,"")</f>
        <v>100</v>
      </c>
      <c r="L214" s="14">
        <f t="shared" si="32"/>
        <v>3466</v>
      </c>
      <c r="M214" s="14">
        <f>Master_Table[[#This Row],[Expense Budget]]-Master_Table[[#This Row],[Actual Expense]]</f>
        <v>400</v>
      </c>
      <c r="N214" s="16">
        <f t="shared" si="33"/>
        <v>4366</v>
      </c>
      <c r="O214" s="29">
        <f t="shared" si="30"/>
        <v>500</v>
      </c>
      <c r="P214" s="16">
        <f t="shared" si="31"/>
        <v>3866</v>
      </c>
      <c r="Q214" s="28">
        <f>Master_Table[[#This Row],[△Sales Variance]]/Master_Table[[#This Row],[Sales Budget]]</f>
        <v>3.4660000000000002</v>
      </c>
      <c r="R214" s="28">
        <f>Master_Table[[#This Row],[△Expense  Variance]]/Master_Table[[#This Row],[Expense Budget]]</f>
        <v>0.8</v>
      </c>
      <c r="S214" s="28">
        <f>Master_Table[[#This Row],[Net Profit Variance]]/Master_Table[[#This Row],[Budget Net Profit]]</f>
        <v>7.7320000000000002</v>
      </c>
      <c r="T214" s="28">
        <f>Master_Table[[#This Row],[Actual Net Profit]]/Master_Table[[#This Row],[Actual Sales]]</f>
        <v>0.97760859829825342</v>
      </c>
      <c r="U214" s="28" t="str">
        <f>_xlfn.TEXTJOIN(" - ", TRUE, Master_Table[[#This Row],[Product]], Master_Table[[#This Row],[Branch]])</f>
        <v>Melon - Warri</v>
      </c>
    </row>
    <row r="215" spans="1:21" ht="14.4" x14ac:dyDescent="0.3">
      <c r="A215" s="2">
        <v>214</v>
      </c>
      <c r="B215" s="2">
        <f t="shared" si="27"/>
        <v>103</v>
      </c>
      <c r="C215" s="1" t="str">
        <f>VLOOKUP(B215,Products!A:C,2,FALSE)</f>
        <v>Melon</v>
      </c>
      <c r="D215" s="1" t="str">
        <f t="shared" si="28"/>
        <v>Warri</v>
      </c>
      <c r="E215" s="4" t="str">
        <f>_xlfn.XLOOKUP(D215,'Sales Manager'!$A$2:$A$6,'Sales Manager'!$B$2:$B$6,"")</f>
        <v>Gbenga Adesanya</v>
      </c>
      <c r="F215" s="3">
        <f t="shared" si="34"/>
        <v>10</v>
      </c>
      <c r="G215" s="1" t="str">
        <f t="shared" si="34"/>
        <v>Oct</v>
      </c>
      <c r="H215" s="11">
        <v>5000</v>
      </c>
      <c r="I215" s="11">
        <v>4394</v>
      </c>
      <c r="J215" s="11" cm="1">
        <f t="array" ref="J215">_xlfn.XLOOKUP(C215&amp;D215&amp;F215,Expense!$C$2:$C$601&amp;Expense!$D$2:$D$601&amp;Expense!$E$2:$E$601,Expense!$G$2:$G$601,"")</f>
        <v>1000</v>
      </c>
      <c r="K215" s="11" cm="1">
        <f t="array" ref="K215">_xlfn.XLOOKUP(C215&amp;D215&amp;F215,Expense!$C$2:$C$601&amp;Expense!$D$2:$D$601&amp;Expense!$E$2:$E$601,Expense!$H$2:$H$601,"")</f>
        <v>400</v>
      </c>
      <c r="L215" s="14">
        <f t="shared" si="32"/>
        <v>-606</v>
      </c>
      <c r="M215" s="14">
        <f>Master_Table[[#This Row],[Expense Budget]]-Master_Table[[#This Row],[Actual Expense]]</f>
        <v>600</v>
      </c>
      <c r="N215" s="16">
        <f t="shared" si="33"/>
        <v>3994</v>
      </c>
      <c r="O215" s="29">
        <f t="shared" si="30"/>
        <v>4000</v>
      </c>
      <c r="P215" s="16">
        <f t="shared" si="31"/>
        <v>-6</v>
      </c>
      <c r="Q215" s="28">
        <f>Master_Table[[#This Row],[△Sales Variance]]/Master_Table[[#This Row],[Sales Budget]]</f>
        <v>-0.1212</v>
      </c>
      <c r="R215" s="28">
        <f>Master_Table[[#This Row],[△Expense  Variance]]/Master_Table[[#This Row],[Expense Budget]]</f>
        <v>0.6</v>
      </c>
      <c r="S215" s="28">
        <f>Master_Table[[#This Row],[Net Profit Variance]]/Master_Table[[#This Row],[Budget Net Profit]]</f>
        <v>-1.5E-3</v>
      </c>
      <c r="T215" s="28">
        <f>Master_Table[[#This Row],[Actual Net Profit]]/Master_Table[[#This Row],[Actual Sales]]</f>
        <v>0.90896677287209826</v>
      </c>
      <c r="U215" s="28" t="str">
        <f>_xlfn.TEXTJOIN(" - ", TRUE, Master_Table[[#This Row],[Product]], Master_Table[[#This Row],[Branch]])</f>
        <v>Melon - Warri</v>
      </c>
    </row>
    <row r="216" spans="1:21" ht="14.4" x14ac:dyDescent="0.3">
      <c r="A216" s="2">
        <v>215</v>
      </c>
      <c r="B216" s="2">
        <f t="shared" si="27"/>
        <v>103</v>
      </c>
      <c r="C216" s="1" t="str">
        <f>VLOOKUP(B216,Products!A:C,2,FALSE)</f>
        <v>Melon</v>
      </c>
      <c r="D216" s="1" t="str">
        <f t="shared" si="28"/>
        <v>Warri</v>
      </c>
      <c r="E216" s="4" t="str">
        <f>_xlfn.XLOOKUP(D216,'Sales Manager'!$A$2:$A$6,'Sales Manager'!$B$2:$B$6,"")</f>
        <v>Gbenga Adesanya</v>
      </c>
      <c r="F216" s="3">
        <f t="shared" si="34"/>
        <v>11</v>
      </c>
      <c r="G216" s="1" t="str">
        <f t="shared" si="34"/>
        <v>Nov</v>
      </c>
      <c r="H216" s="11">
        <v>5000</v>
      </c>
      <c r="I216" s="11">
        <v>6142</v>
      </c>
      <c r="J216" s="11" cm="1">
        <f t="array" ref="J216">_xlfn.XLOOKUP(C216&amp;D216&amp;F216,Expense!$C$2:$C$601&amp;Expense!$D$2:$D$601&amp;Expense!$E$2:$E$601,Expense!$G$2:$G$601,"")</f>
        <v>1250</v>
      </c>
      <c r="K216" s="11" cm="1">
        <f t="array" ref="K216">_xlfn.XLOOKUP(C216&amp;D216&amp;F216,Expense!$C$2:$C$601&amp;Expense!$D$2:$D$601&amp;Expense!$E$2:$E$601,Expense!$H$2:$H$601,"")</f>
        <v>850</v>
      </c>
      <c r="L216" s="14">
        <f t="shared" si="32"/>
        <v>1142</v>
      </c>
      <c r="M216" s="14">
        <f>Master_Table[[#This Row],[Expense Budget]]-Master_Table[[#This Row],[Actual Expense]]</f>
        <v>400</v>
      </c>
      <c r="N216" s="16">
        <f t="shared" si="33"/>
        <v>5292</v>
      </c>
      <c r="O216" s="29">
        <f t="shared" si="30"/>
        <v>3750</v>
      </c>
      <c r="P216" s="16">
        <f t="shared" si="31"/>
        <v>1542</v>
      </c>
      <c r="Q216" s="28">
        <f>Master_Table[[#This Row],[△Sales Variance]]/Master_Table[[#This Row],[Sales Budget]]</f>
        <v>0.22839999999999999</v>
      </c>
      <c r="R216" s="28">
        <f>Master_Table[[#This Row],[△Expense  Variance]]/Master_Table[[#This Row],[Expense Budget]]</f>
        <v>0.32</v>
      </c>
      <c r="S216" s="28">
        <f>Master_Table[[#This Row],[Net Profit Variance]]/Master_Table[[#This Row],[Budget Net Profit]]</f>
        <v>0.41120000000000001</v>
      </c>
      <c r="T216" s="28">
        <f>Master_Table[[#This Row],[Actual Net Profit]]/Master_Table[[#This Row],[Actual Sales]]</f>
        <v>0.86160859654835553</v>
      </c>
      <c r="U216" s="28" t="str">
        <f>_xlfn.TEXTJOIN(" - ", TRUE, Master_Table[[#This Row],[Product]], Master_Table[[#This Row],[Branch]])</f>
        <v>Melon - Warri</v>
      </c>
    </row>
    <row r="217" spans="1:21" ht="14.4" x14ac:dyDescent="0.3">
      <c r="A217" s="2">
        <v>216</v>
      </c>
      <c r="B217" s="2">
        <f t="shared" si="27"/>
        <v>103</v>
      </c>
      <c r="C217" s="1" t="str">
        <f>VLOOKUP(B217,Products!A:C,2,FALSE)</f>
        <v>Melon</v>
      </c>
      <c r="D217" s="1" t="str">
        <f t="shared" si="28"/>
        <v>Warri</v>
      </c>
      <c r="E217" s="4" t="str">
        <f>_xlfn.XLOOKUP(D217,'Sales Manager'!$A$2:$A$6,'Sales Manager'!$B$2:$B$6,"")</f>
        <v>Gbenga Adesanya</v>
      </c>
      <c r="F217" s="3">
        <f t="shared" si="34"/>
        <v>12</v>
      </c>
      <c r="G217" s="1" t="str">
        <f t="shared" si="34"/>
        <v>Dec</v>
      </c>
      <c r="H217" s="11">
        <v>6000</v>
      </c>
      <c r="I217" s="11">
        <v>5231</v>
      </c>
      <c r="J217" s="11" cm="1">
        <f t="array" ref="J217">_xlfn.XLOOKUP(C217&amp;D217&amp;F217,Expense!$C$2:$C$601&amp;Expense!$D$2:$D$601&amp;Expense!$E$2:$E$601,Expense!$G$2:$G$601,"")</f>
        <v>1200</v>
      </c>
      <c r="K217" s="11" cm="1">
        <f t="array" ref="K217">_xlfn.XLOOKUP(C217&amp;D217&amp;F217,Expense!$C$2:$C$601&amp;Expense!$D$2:$D$601&amp;Expense!$E$2:$E$601,Expense!$H$2:$H$601,"")</f>
        <v>700</v>
      </c>
      <c r="L217" s="14">
        <f t="shared" si="32"/>
        <v>-769</v>
      </c>
      <c r="M217" s="14">
        <f>Master_Table[[#This Row],[Expense Budget]]-Master_Table[[#This Row],[Actual Expense]]</f>
        <v>500</v>
      </c>
      <c r="N217" s="16">
        <f t="shared" si="33"/>
        <v>4531</v>
      </c>
      <c r="O217" s="29">
        <f t="shared" si="30"/>
        <v>4800</v>
      </c>
      <c r="P217" s="16">
        <f t="shared" si="31"/>
        <v>-269</v>
      </c>
      <c r="Q217" s="28">
        <f>Master_Table[[#This Row],[△Sales Variance]]/Master_Table[[#This Row],[Sales Budget]]</f>
        <v>-0.12816666666666668</v>
      </c>
      <c r="R217" s="28">
        <f>Master_Table[[#This Row],[△Expense  Variance]]/Master_Table[[#This Row],[Expense Budget]]</f>
        <v>0.41666666666666669</v>
      </c>
      <c r="S217" s="28">
        <f>Master_Table[[#This Row],[Net Profit Variance]]/Master_Table[[#This Row],[Budget Net Profit]]</f>
        <v>-5.6041666666666663E-2</v>
      </c>
      <c r="T217" s="28">
        <f>Master_Table[[#This Row],[Actual Net Profit]]/Master_Table[[#This Row],[Actual Sales]]</f>
        <v>0.86618237430701583</v>
      </c>
      <c r="U217" s="28" t="str">
        <f>_xlfn.TEXTJOIN(" - ", TRUE, Master_Table[[#This Row],[Product]], Master_Table[[#This Row],[Branch]])</f>
        <v>Melon - Warri</v>
      </c>
    </row>
    <row r="218" spans="1:21" ht="14.4" x14ac:dyDescent="0.3">
      <c r="A218" s="2">
        <v>217</v>
      </c>
      <c r="B218" s="2">
        <f t="shared" si="27"/>
        <v>103</v>
      </c>
      <c r="C218" s="1" t="str">
        <f>VLOOKUP(B218,Products!A:C,2,FALSE)</f>
        <v>Melon</v>
      </c>
      <c r="D218" s="1" t="str">
        <f t="shared" si="28"/>
        <v>Kaduna</v>
      </c>
      <c r="E218" s="4" t="str">
        <f>_xlfn.XLOOKUP(D218,'Sales Manager'!$A$2:$A$6,'Sales Manager'!$B$2:$B$6,"")</f>
        <v>Musa Garba</v>
      </c>
      <c r="F218" s="3">
        <f t="shared" si="34"/>
        <v>1</v>
      </c>
      <c r="G218" s="1" t="str">
        <f t="shared" si="34"/>
        <v>Jan</v>
      </c>
      <c r="H218" s="11">
        <v>2000</v>
      </c>
      <c r="I218" s="11">
        <v>3135</v>
      </c>
      <c r="J218" s="11" cm="1">
        <f t="array" ref="J218">_xlfn.XLOOKUP(C218&amp;D218&amp;F218,Expense!$C$2:$C$601&amp;Expense!$D$2:$D$601&amp;Expense!$E$2:$E$601,Expense!$G$2:$G$601,"")</f>
        <v>400</v>
      </c>
      <c r="K218" s="11" cm="1">
        <f t="array" ref="K218">_xlfn.XLOOKUP(C218&amp;D218&amp;F218,Expense!$C$2:$C$601&amp;Expense!$D$2:$D$601&amp;Expense!$E$2:$E$601,Expense!$H$2:$H$601,"")</f>
        <v>300</v>
      </c>
      <c r="L218" s="14">
        <f t="shared" si="32"/>
        <v>1135</v>
      </c>
      <c r="M218" s="14">
        <f>Master_Table[[#This Row],[Expense Budget]]-Master_Table[[#This Row],[Actual Expense]]</f>
        <v>100</v>
      </c>
      <c r="N218" s="16">
        <f t="shared" si="33"/>
        <v>2835</v>
      </c>
      <c r="O218" s="29">
        <f t="shared" si="30"/>
        <v>1600</v>
      </c>
      <c r="P218" s="16">
        <f t="shared" si="31"/>
        <v>1235</v>
      </c>
      <c r="Q218" s="28">
        <f>Master_Table[[#This Row],[△Sales Variance]]/Master_Table[[#This Row],[Sales Budget]]</f>
        <v>0.5675</v>
      </c>
      <c r="R218" s="28">
        <f>Master_Table[[#This Row],[△Expense  Variance]]/Master_Table[[#This Row],[Expense Budget]]</f>
        <v>0.25</v>
      </c>
      <c r="S218" s="28">
        <f>Master_Table[[#This Row],[Net Profit Variance]]/Master_Table[[#This Row],[Budget Net Profit]]</f>
        <v>0.77187499999999998</v>
      </c>
      <c r="T218" s="28">
        <f>Master_Table[[#This Row],[Actual Net Profit]]/Master_Table[[#This Row],[Actual Sales]]</f>
        <v>0.90430622009569372</v>
      </c>
      <c r="U218" s="28" t="str">
        <f>_xlfn.TEXTJOIN(" - ", TRUE, Master_Table[[#This Row],[Product]], Master_Table[[#This Row],[Branch]])</f>
        <v>Melon - Kaduna</v>
      </c>
    </row>
    <row r="219" spans="1:21" ht="14.4" x14ac:dyDescent="0.3">
      <c r="A219" s="2">
        <v>218</v>
      </c>
      <c r="B219" s="2">
        <f t="shared" si="27"/>
        <v>103</v>
      </c>
      <c r="C219" s="1" t="str">
        <f>VLOOKUP(B219,Products!A:C,2,FALSE)</f>
        <v>Melon</v>
      </c>
      <c r="D219" s="1" t="str">
        <f t="shared" si="28"/>
        <v>Kaduna</v>
      </c>
      <c r="E219" s="4" t="str">
        <f>_xlfn.XLOOKUP(D219,'Sales Manager'!$A$2:$A$6,'Sales Manager'!$B$2:$B$6,"")</f>
        <v>Musa Garba</v>
      </c>
      <c r="F219" s="3">
        <f t="shared" si="34"/>
        <v>2</v>
      </c>
      <c r="G219" s="1" t="str">
        <f t="shared" si="34"/>
        <v>Feb</v>
      </c>
      <c r="H219" s="11">
        <v>7000</v>
      </c>
      <c r="I219" s="11">
        <v>2241</v>
      </c>
      <c r="J219" s="11" cm="1">
        <f t="array" ref="J219">_xlfn.XLOOKUP(C219&amp;D219&amp;F219,Expense!$C$2:$C$601&amp;Expense!$D$2:$D$601&amp;Expense!$E$2:$E$601,Expense!$G$2:$G$601,"")</f>
        <v>1400</v>
      </c>
      <c r="K219" s="11" cm="1">
        <f t="array" ref="K219">_xlfn.XLOOKUP(C219&amp;D219&amp;F219,Expense!$C$2:$C$601&amp;Expense!$D$2:$D$601&amp;Expense!$E$2:$E$601,Expense!$H$2:$H$601,"")</f>
        <v>1200</v>
      </c>
      <c r="L219" s="14">
        <f t="shared" si="32"/>
        <v>-4759</v>
      </c>
      <c r="M219" s="14">
        <f>Master_Table[[#This Row],[Expense Budget]]-Master_Table[[#This Row],[Actual Expense]]</f>
        <v>200</v>
      </c>
      <c r="N219" s="16">
        <f t="shared" si="33"/>
        <v>1041</v>
      </c>
      <c r="O219" s="29">
        <f t="shared" si="30"/>
        <v>5600</v>
      </c>
      <c r="P219" s="16">
        <f t="shared" si="31"/>
        <v>-4559</v>
      </c>
      <c r="Q219" s="28">
        <f>Master_Table[[#This Row],[△Sales Variance]]/Master_Table[[#This Row],[Sales Budget]]</f>
        <v>-0.67985714285714283</v>
      </c>
      <c r="R219" s="28">
        <f>Master_Table[[#This Row],[△Expense  Variance]]/Master_Table[[#This Row],[Expense Budget]]</f>
        <v>0.14285714285714285</v>
      </c>
      <c r="S219" s="28">
        <f>Master_Table[[#This Row],[Net Profit Variance]]/Master_Table[[#This Row],[Budget Net Profit]]</f>
        <v>-0.81410714285714281</v>
      </c>
      <c r="T219" s="28">
        <f>Master_Table[[#This Row],[Actual Net Profit]]/Master_Table[[#This Row],[Actual Sales]]</f>
        <v>0.46452476572958501</v>
      </c>
      <c r="U219" s="28" t="str">
        <f>_xlfn.TEXTJOIN(" - ", TRUE, Master_Table[[#This Row],[Product]], Master_Table[[#This Row],[Branch]])</f>
        <v>Melon - Kaduna</v>
      </c>
    </row>
    <row r="220" spans="1:21" ht="14.4" x14ac:dyDescent="0.3">
      <c r="A220" s="2">
        <v>219</v>
      </c>
      <c r="B220" s="2">
        <f t="shared" si="27"/>
        <v>103</v>
      </c>
      <c r="C220" s="1" t="str">
        <f>VLOOKUP(B220,Products!A:C,2,FALSE)</f>
        <v>Melon</v>
      </c>
      <c r="D220" s="1" t="str">
        <f t="shared" si="28"/>
        <v>Kaduna</v>
      </c>
      <c r="E220" s="4" t="str">
        <f>_xlfn.XLOOKUP(D220,'Sales Manager'!$A$2:$A$6,'Sales Manager'!$B$2:$B$6,"")</f>
        <v>Musa Garba</v>
      </c>
      <c r="F220" s="3">
        <f t="shared" si="34"/>
        <v>3</v>
      </c>
      <c r="G220" s="1" t="str">
        <f t="shared" si="34"/>
        <v>Mar</v>
      </c>
      <c r="H220" s="11">
        <v>2000</v>
      </c>
      <c r="I220" s="11">
        <v>6554</v>
      </c>
      <c r="J220" s="11" cm="1">
        <f t="array" ref="J220">_xlfn.XLOOKUP(C220&amp;D220&amp;F220,Expense!$C$2:$C$601&amp;Expense!$D$2:$D$601&amp;Expense!$E$2:$E$601,Expense!$G$2:$G$601,"")</f>
        <v>1000</v>
      </c>
      <c r="K220" s="11" cm="1">
        <f t="array" ref="K220">_xlfn.XLOOKUP(C220&amp;D220&amp;F220,Expense!$C$2:$C$601&amp;Expense!$D$2:$D$601&amp;Expense!$E$2:$E$601,Expense!$H$2:$H$601,"")</f>
        <v>900</v>
      </c>
      <c r="L220" s="14">
        <f t="shared" si="32"/>
        <v>4554</v>
      </c>
      <c r="M220" s="14">
        <f>Master_Table[[#This Row],[Expense Budget]]-Master_Table[[#This Row],[Actual Expense]]</f>
        <v>100</v>
      </c>
      <c r="N220" s="16">
        <f t="shared" si="33"/>
        <v>5654</v>
      </c>
      <c r="O220" s="29">
        <f t="shared" si="30"/>
        <v>1000</v>
      </c>
      <c r="P220" s="16">
        <f t="shared" si="31"/>
        <v>4654</v>
      </c>
      <c r="Q220" s="28">
        <f>Master_Table[[#This Row],[△Sales Variance]]/Master_Table[[#This Row],[Sales Budget]]</f>
        <v>2.2770000000000001</v>
      </c>
      <c r="R220" s="28">
        <f>Master_Table[[#This Row],[△Expense  Variance]]/Master_Table[[#This Row],[Expense Budget]]</f>
        <v>0.1</v>
      </c>
      <c r="S220" s="28">
        <f>Master_Table[[#This Row],[Net Profit Variance]]/Master_Table[[#This Row],[Budget Net Profit]]</f>
        <v>4.6539999999999999</v>
      </c>
      <c r="T220" s="28">
        <f>Master_Table[[#This Row],[Actual Net Profit]]/Master_Table[[#This Row],[Actual Sales]]</f>
        <v>0.86267927982911197</v>
      </c>
      <c r="U220" s="28" t="str">
        <f>_xlfn.TEXTJOIN(" - ", TRUE, Master_Table[[#This Row],[Product]], Master_Table[[#This Row],[Branch]])</f>
        <v>Melon - Kaduna</v>
      </c>
    </row>
    <row r="221" spans="1:21" ht="14.4" x14ac:dyDescent="0.3">
      <c r="A221" s="2">
        <v>220</v>
      </c>
      <c r="B221" s="2">
        <f t="shared" si="27"/>
        <v>103</v>
      </c>
      <c r="C221" s="1" t="str">
        <f>VLOOKUP(B221,Products!A:C,2,FALSE)</f>
        <v>Melon</v>
      </c>
      <c r="D221" s="1" t="str">
        <f t="shared" si="28"/>
        <v>Kaduna</v>
      </c>
      <c r="E221" s="4" t="str">
        <f>_xlfn.XLOOKUP(D221,'Sales Manager'!$A$2:$A$6,'Sales Manager'!$B$2:$B$6,"")</f>
        <v>Musa Garba</v>
      </c>
      <c r="F221" s="3">
        <f t="shared" si="34"/>
        <v>4</v>
      </c>
      <c r="G221" s="1" t="str">
        <f t="shared" si="34"/>
        <v>Apr</v>
      </c>
      <c r="H221" s="11">
        <v>4000</v>
      </c>
      <c r="I221" s="11">
        <v>7565</v>
      </c>
      <c r="J221" s="11" cm="1">
        <f t="array" ref="J221">_xlfn.XLOOKUP(C221&amp;D221&amp;F221,Expense!$C$2:$C$601&amp;Expense!$D$2:$D$601&amp;Expense!$E$2:$E$601,Expense!$G$2:$G$601,"")</f>
        <v>2000</v>
      </c>
      <c r="K221" s="11" cm="1">
        <f t="array" ref="K221">_xlfn.XLOOKUP(C221&amp;D221&amp;F221,Expense!$C$2:$C$601&amp;Expense!$D$2:$D$601&amp;Expense!$E$2:$E$601,Expense!$H$2:$H$601,"")</f>
        <v>1600</v>
      </c>
      <c r="L221" s="14">
        <f t="shared" si="32"/>
        <v>3565</v>
      </c>
      <c r="M221" s="14">
        <f>Master_Table[[#This Row],[Expense Budget]]-Master_Table[[#This Row],[Actual Expense]]</f>
        <v>400</v>
      </c>
      <c r="N221" s="16">
        <f t="shared" si="33"/>
        <v>5965</v>
      </c>
      <c r="O221" s="29">
        <f t="shared" si="30"/>
        <v>2000</v>
      </c>
      <c r="P221" s="16">
        <f t="shared" si="31"/>
        <v>3965</v>
      </c>
      <c r="Q221" s="28">
        <f>Master_Table[[#This Row],[△Sales Variance]]/Master_Table[[#This Row],[Sales Budget]]</f>
        <v>0.89124999999999999</v>
      </c>
      <c r="R221" s="28">
        <f>Master_Table[[#This Row],[△Expense  Variance]]/Master_Table[[#This Row],[Expense Budget]]</f>
        <v>0.2</v>
      </c>
      <c r="S221" s="28">
        <f>Master_Table[[#This Row],[Net Profit Variance]]/Master_Table[[#This Row],[Budget Net Profit]]</f>
        <v>1.9824999999999999</v>
      </c>
      <c r="T221" s="28">
        <f>Master_Table[[#This Row],[Actual Net Profit]]/Master_Table[[#This Row],[Actual Sales]]</f>
        <v>0.78849966953073369</v>
      </c>
      <c r="U221" s="28" t="str">
        <f>_xlfn.TEXTJOIN(" - ", TRUE, Master_Table[[#This Row],[Product]], Master_Table[[#This Row],[Branch]])</f>
        <v>Melon - Kaduna</v>
      </c>
    </row>
    <row r="222" spans="1:21" ht="14.4" x14ac:dyDescent="0.3">
      <c r="A222" s="2">
        <v>221</v>
      </c>
      <c r="B222" s="2">
        <f t="shared" si="27"/>
        <v>103</v>
      </c>
      <c r="C222" s="1" t="str">
        <f>VLOOKUP(B222,Products!A:C,2,FALSE)</f>
        <v>Melon</v>
      </c>
      <c r="D222" s="1" t="str">
        <f t="shared" si="28"/>
        <v>Kaduna</v>
      </c>
      <c r="E222" s="4" t="str">
        <f>_xlfn.XLOOKUP(D222,'Sales Manager'!$A$2:$A$6,'Sales Manager'!$B$2:$B$6,"")</f>
        <v>Musa Garba</v>
      </c>
      <c r="F222" s="3">
        <f t="shared" si="34"/>
        <v>5</v>
      </c>
      <c r="G222" s="1" t="str">
        <f t="shared" si="34"/>
        <v>May</v>
      </c>
      <c r="H222" s="11">
        <v>7000</v>
      </c>
      <c r="I222" s="11">
        <v>7732</v>
      </c>
      <c r="J222" s="11" cm="1">
        <f t="array" ref="J222">_xlfn.XLOOKUP(C222&amp;D222&amp;F222,Expense!$C$2:$C$601&amp;Expense!$D$2:$D$601&amp;Expense!$E$2:$E$601,Expense!$G$2:$G$601,"")</f>
        <v>2333.3333333333335</v>
      </c>
      <c r="K222" s="11" cm="1">
        <f t="array" ref="K222">_xlfn.XLOOKUP(C222&amp;D222&amp;F222,Expense!$C$2:$C$601&amp;Expense!$D$2:$D$601&amp;Expense!$E$2:$E$601,Expense!$H$2:$H$601,"")</f>
        <v>2333.3333333333335</v>
      </c>
      <c r="L222" s="14">
        <f t="shared" si="32"/>
        <v>732</v>
      </c>
      <c r="M222" s="14">
        <f>Master_Table[[#This Row],[Expense Budget]]-Master_Table[[#This Row],[Actual Expense]]</f>
        <v>0</v>
      </c>
      <c r="N222" s="16">
        <f t="shared" si="33"/>
        <v>5398.6666666666661</v>
      </c>
      <c r="O222" s="29">
        <f t="shared" si="30"/>
        <v>4666.6666666666661</v>
      </c>
      <c r="P222" s="16">
        <f t="shared" si="31"/>
        <v>732</v>
      </c>
      <c r="Q222" s="28">
        <f>Master_Table[[#This Row],[△Sales Variance]]/Master_Table[[#This Row],[Sales Budget]]</f>
        <v>0.10457142857142857</v>
      </c>
      <c r="R222" s="28">
        <f>Master_Table[[#This Row],[△Expense  Variance]]/Master_Table[[#This Row],[Expense Budget]]</f>
        <v>0</v>
      </c>
      <c r="S222" s="28">
        <f>Master_Table[[#This Row],[Net Profit Variance]]/Master_Table[[#This Row],[Budget Net Profit]]</f>
        <v>0.15685714285714289</v>
      </c>
      <c r="T222" s="28">
        <f>Master_Table[[#This Row],[Actual Net Profit]]/Master_Table[[#This Row],[Actual Sales]]</f>
        <v>0.69822383169511981</v>
      </c>
      <c r="U222" s="28" t="str">
        <f>_xlfn.TEXTJOIN(" - ", TRUE, Master_Table[[#This Row],[Product]], Master_Table[[#This Row],[Branch]])</f>
        <v>Melon - Kaduna</v>
      </c>
    </row>
    <row r="223" spans="1:21" ht="14.4" x14ac:dyDescent="0.3">
      <c r="A223" s="2">
        <v>222</v>
      </c>
      <c r="B223" s="2">
        <f t="shared" si="27"/>
        <v>103</v>
      </c>
      <c r="C223" s="1" t="str">
        <f>VLOOKUP(B223,Products!A:C,2,FALSE)</f>
        <v>Melon</v>
      </c>
      <c r="D223" s="1" t="str">
        <f t="shared" si="28"/>
        <v>Kaduna</v>
      </c>
      <c r="E223" s="4" t="str">
        <f>_xlfn.XLOOKUP(D223,'Sales Manager'!$A$2:$A$6,'Sales Manager'!$B$2:$B$6,"")</f>
        <v>Musa Garba</v>
      </c>
      <c r="F223" s="3">
        <f t="shared" ref="F223:G238" si="35">F211</f>
        <v>6</v>
      </c>
      <c r="G223" s="1" t="str">
        <f t="shared" si="35"/>
        <v>Jun</v>
      </c>
      <c r="H223" s="11">
        <v>1000</v>
      </c>
      <c r="I223" s="11">
        <v>3511</v>
      </c>
      <c r="J223" s="11" cm="1">
        <f t="array" ref="J223">_xlfn.XLOOKUP(C223&amp;D223&amp;F223,Expense!$C$2:$C$601&amp;Expense!$D$2:$D$601&amp;Expense!$E$2:$E$601,Expense!$G$2:$G$601,"")</f>
        <v>500</v>
      </c>
      <c r="K223" s="11" cm="1">
        <f t="array" ref="K223">_xlfn.XLOOKUP(C223&amp;D223&amp;F223,Expense!$C$2:$C$601&amp;Expense!$D$2:$D$601&amp;Expense!$E$2:$E$601,Expense!$H$2:$H$601,"")</f>
        <v>300</v>
      </c>
      <c r="L223" s="14">
        <f t="shared" si="32"/>
        <v>2511</v>
      </c>
      <c r="M223" s="14">
        <f>Master_Table[[#This Row],[Expense Budget]]-Master_Table[[#This Row],[Actual Expense]]</f>
        <v>200</v>
      </c>
      <c r="N223" s="16">
        <f t="shared" si="33"/>
        <v>3211</v>
      </c>
      <c r="O223" s="29">
        <f t="shared" si="30"/>
        <v>500</v>
      </c>
      <c r="P223" s="16">
        <f t="shared" si="31"/>
        <v>2711</v>
      </c>
      <c r="Q223" s="28">
        <f>Master_Table[[#This Row],[△Sales Variance]]/Master_Table[[#This Row],[Sales Budget]]</f>
        <v>2.5110000000000001</v>
      </c>
      <c r="R223" s="28">
        <f>Master_Table[[#This Row],[△Expense  Variance]]/Master_Table[[#This Row],[Expense Budget]]</f>
        <v>0.4</v>
      </c>
      <c r="S223" s="28">
        <f>Master_Table[[#This Row],[Net Profit Variance]]/Master_Table[[#This Row],[Budget Net Profit]]</f>
        <v>5.4219999999999997</v>
      </c>
      <c r="T223" s="28">
        <f>Master_Table[[#This Row],[Actual Net Profit]]/Master_Table[[#This Row],[Actual Sales]]</f>
        <v>0.91455425804614066</v>
      </c>
      <c r="U223" s="28" t="str">
        <f>_xlfn.TEXTJOIN(" - ", TRUE, Master_Table[[#This Row],[Product]], Master_Table[[#This Row],[Branch]])</f>
        <v>Melon - Kaduna</v>
      </c>
    </row>
    <row r="224" spans="1:21" ht="14.4" x14ac:dyDescent="0.3">
      <c r="A224" s="2">
        <v>223</v>
      </c>
      <c r="B224" s="2">
        <f t="shared" si="27"/>
        <v>103</v>
      </c>
      <c r="C224" s="1" t="str">
        <f>VLOOKUP(B224,Products!A:C,2,FALSE)</f>
        <v>Melon</v>
      </c>
      <c r="D224" s="1" t="str">
        <f t="shared" si="28"/>
        <v>Kaduna</v>
      </c>
      <c r="E224" s="4" t="str">
        <f>_xlfn.XLOOKUP(D224,'Sales Manager'!$A$2:$A$6,'Sales Manager'!$B$2:$B$6,"")</f>
        <v>Musa Garba</v>
      </c>
      <c r="F224" s="3">
        <f t="shared" si="35"/>
        <v>7</v>
      </c>
      <c r="G224" s="1" t="str">
        <f t="shared" si="35"/>
        <v>Jul</v>
      </c>
      <c r="H224" s="11">
        <v>7000</v>
      </c>
      <c r="I224" s="11">
        <v>10257</v>
      </c>
      <c r="J224" s="11" cm="1">
        <f t="array" ref="J224">_xlfn.XLOOKUP(C224&amp;D224&amp;F224,Expense!$C$2:$C$601&amp;Expense!$D$2:$D$601&amp;Expense!$E$2:$E$601,Expense!$G$2:$G$601,"")</f>
        <v>2333.3333333333335</v>
      </c>
      <c r="K224" s="11" cm="1">
        <f t="array" ref="K224">_xlfn.XLOOKUP(C224&amp;D224&amp;F224,Expense!$C$2:$C$601&amp;Expense!$D$2:$D$601&amp;Expense!$E$2:$E$601,Expense!$H$2:$H$601,"")</f>
        <v>2233.3333333333335</v>
      </c>
      <c r="L224" s="14">
        <f t="shared" si="32"/>
        <v>3257</v>
      </c>
      <c r="M224" s="14">
        <f>Master_Table[[#This Row],[Expense Budget]]-Master_Table[[#This Row],[Actual Expense]]</f>
        <v>100</v>
      </c>
      <c r="N224" s="16">
        <f t="shared" si="33"/>
        <v>8023.6666666666661</v>
      </c>
      <c r="O224" s="29">
        <f t="shared" si="30"/>
        <v>4666.6666666666661</v>
      </c>
      <c r="P224" s="16">
        <f t="shared" si="31"/>
        <v>3357</v>
      </c>
      <c r="Q224" s="28">
        <f>Master_Table[[#This Row],[△Sales Variance]]/Master_Table[[#This Row],[Sales Budget]]</f>
        <v>0.4652857142857143</v>
      </c>
      <c r="R224" s="28">
        <f>Master_Table[[#This Row],[△Expense  Variance]]/Master_Table[[#This Row],[Expense Budget]]</f>
        <v>4.2857142857142858E-2</v>
      </c>
      <c r="S224" s="28">
        <f>Master_Table[[#This Row],[Net Profit Variance]]/Master_Table[[#This Row],[Budget Net Profit]]</f>
        <v>0.71935714285714292</v>
      </c>
      <c r="T224" s="28">
        <f>Master_Table[[#This Row],[Actual Net Profit]]/Master_Table[[#This Row],[Actual Sales]]</f>
        <v>0.78226251990510542</v>
      </c>
      <c r="U224" s="28" t="str">
        <f>_xlfn.TEXTJOIN(" - ", TRUE, Master_Table[[#This Row],[Product]], Master_Table[[#This Row],[Branch]])</f>
        <v>Melon - Kaduna</v>
      </c>
    </row>
    <row r="225" spans="1:21" ht="14.4" x14ac:dyDescent="0.3">
      <c r="A225" s="2">
        <v>224</v>
      </c>
      <c r="B225" s="2">
        <f t="shared" si="27"/>
        <v>103</v>
      </c>
      <c r="C225" s="1" t="str">
        <f>VLOOKUP(B225,Products!A:C,2,FALSE)</f>
        <v>Melon</v>
      </c>
      <c r="D225" s="1" t="str">
        <f t="shared" si="28"/>
        <v>Kaduna</v>
      </c>
      <c r="E225" s="4" t="str">
        <f>_xlfn.XLOOKUP(D225,'Sales Manager'!$A$2:$A$6,'Sales Manager'!$B$2:$B$6,"")</f>
        <v>Musa Garba</v>
      </c>
      <c r="F225" s="3">
        <f t="shared" si="35"/>
        <v>8</v>
      </c>
      <c r="G225" s="1" t="str">
        <f t="shared" si="35"/>
        <v>Aug</v>
      </c>
      <c r="H225" s="11">
        <v>4000</v>
      </c>
      <c r="I225" s="11">
        <v>8143</v>
      </c>
      <c r="J225" s="11" cm="1">
        <f t="array" ref="J225">_xlfn.XLOOKUP(C225&amp;D225&amp;F225,Expense!$C$2:$C$601&amp;Expense!$D$2:$D$601&amp;Expense!$E$2:$E$601,Expense!$G$2:$G$601,"")</f>
        <v>1333.3333333333333</v>
      </c>
      <c r="K225" s="11" cm="1">
        <f t="array" ref="K225">_xlfn.XLOOKUP(C225&amp;D225&amp;F225,Expense!$C$2:$C$601&amp;Expense!$D$2:$D$601&amp;Expense!$E$2:$E$601,Expense!$H$2:$H$601,"")</f>
        <v>833.33333333333326</v>
      </c>
      <c r="L225" s="14">
        <f t="shared" si="32"/>
        <v>4143</v>
      </c>
      <c r="M225" s="14">
        <f>Master_Table[[#This Row],[Expense Budget]]-Master_Table[[#This Row],[Actual Expense]]</f>
        <v>500</v>
      </c>
      <c r="N225" s="16">
        <f t="shared" si="33"/>
        <v>7309.666666666667</v>
      </c>
      <c r="O225" s="29">
        <f t="shared" si="30"/>
        <v>2666.666666666667</v>
      </c>
      <c r="P225" s="16">
        <f t="shared" si="31"/>
        <v>4643</v>
      </c>
      <c r="Q225" s="28">
        <f>Master_Table[[#This Row],[△Sales Variance]]/Master_Table[[#This Row],[Sales Budget]]</f>
        <v>1.0357499999999999</v>
      </c>
      <c r="R225" s="28">
        <f>Master_Table[[#This Row],[△Expense  Variance]]/Master_Table[[#This Row],[Expense Budget]]</f>
        <v>0.375</v>
      </c>
      <c r="S225" s="28">
        <f>Master_Table[[#This Row],[Net Profit Variance]]/Master_Table[[#This Row],[Budget Net Profit]]</f>
        <v>1.7411249999999998</v>
      </c>
      <c r="T225" s="28">
        <f>Master_Table[[#This Row],[Actual Net Profit]]/Master_Table[[#This Row],[Actual Sales]]</f>
        <v>0.89766261410618531</v>
      </c>
      <c r="U225" s="28" t="str">
        <f>_xlfn.TEXTJOIN(" - ", TRUE, Master_Table[[#This Row],[Product]], Master_Table[[#This Row],[Branch]])</f>
        <v>Melon - Kaduna</v>
      </c>
    </row>
    <row r="226" spans="1:21" ht="14.4" x14ac:dyDescent="0.3">
      <c r="A226" s="2">
        <v>225</v>
      </c>
      <c r="B226" s="2">
        <f t="shared" si="27"/>
        <v>103</v>
      </c>
      <c r="C226" s="1" t="str">
        <f>VLOOKUP(B226,Products!A:C,2,FALSE)</f>
        <v>Melon</v>
      </c>
      <c r="D226" s="1" t="str">
        <f t="shared" si="28"/>
        <v>Kaduna</v>
      </c>
      <c r="E226" s="4" t="str">
        <f>_xlfn.XLOOKUP(D226,'Sales Manager'!$A$2:$A$6,'Sales Manager'!$B$2:$B$6,"")</f>
        <v>Musa Garba</v>
      </c>
      <c r="F226" s="3">
        <f t="shared" si="35"/>
        <v>9</v>
      </c>
      <c r="G226" s="1" t="str">
        <f t="shared" si="35"/>
        <v>Sept</v>
      </c>
      <c r="H226" s="11">
        <v>3000</v>
      </c>
      <c r="I226" s="11">
        <v>5541</v>
      </c>
      <c r="J226" s="11" cm="1">
        <f t="array" ref="J226">_xlfn.XLOOKUP(C226&amp;D226&amp;F226,Expense!$C$2:$C$601&amp;Expense!$D$2:$D$601&amp;Expense!$E$2:$E$601,Expense!$G$2:$G$601,"")</f>
        <v>1000</v>
      </c>
      <c r="K226" s="11" cm="1">
        <f t="array" ref="K226">_xlfn.XLOOKUP(C226&amp;D226&amp;F226,Expense!$C$2:$C$601&amp;Expense!$D$2:$D$601&amp;Expense!$E$2:$E$601,Expense!$H$2:$H$601,"")</f>
        <v>700</v>
      </c>
      <c r="L226" s="14">
        <f t="shared" si="32"/>
        <v>2541</v>
      </c>
      <c r="M226" s="14">
        <f>Master_Table[[#This Row],[Expense Budget]]-Master_Table[[#This Row],[Actual Expense]]</f>
        <v>300</v>
      </c>
      <c r="N226" s="16">
        <f t="shared" si="33"/>
        <v>4841</v>
      </c>
      <c r="O226" s="29">
        <f t="shared" si="30"/>
        <v>2000</v>
      </c>
      <c r="P226" s="16">
        <f t="shared" si="31"/>
        <v>2841</v>
      </c>
      <c r="Q226" s="28">
        <f>Master_Table[[#This Row],[△Sales Variance]]/Master_Table[[#This Row],[Sales Budget]]</f>
        <v>0.84699999999999998</v>
      </c>
      <c r="R226" s="28">
        <f>Master_Table[[#This Row],[△Expense  Variance]]/Master_Table[[#This Row],[Expense Budget]]</f>
        <v>0.3</v>
      </c>
      <c r="S226" s="28">
        <f>Master_Table[[#This Row],[Net Profit Variance]]/Master_Table[[#This Row],[Budget Net Profit]]</f>
        <v>1.4205000000000001</v>
      </c>
      <c r="T226" s="28">
        <f>Master_Table[[#This Row],[Actual Net Profit]]/Master_Table[[#This Row],[Actual Sales]]</f>
        <v>0.87366901281357157</v>
      </c>
      <c r="U226" s="28" t="str">
        <f>_xlfn.TEXTJOIN(" - ", TRUE, Master_Table[[#This Row],[Product]], Master_Table[[#This Row],[Branch]])</f>
        <v>Melon - Kaduna</v>
      </c>
    </row>
    <row r="227" spans="1:21" ht="14.4" x14ac:dyDescent="0.3">
      <c r="A227" s="2">
        <v>226</v>
      </c>
      <c r="B227" s="2">
        <f t="shared" si="27"/>
        <v>103</v>
      </c>
      <c r="C227" s="1" t="str">
        <f>VLOOKUP(B227,Products!A:C,2,FALSE)</f>
        <v>Melon</v>
      </c>
      <c r="D227" s="1" t="str">
        <f t="shared" si="28"/>
        <v>Kaduna</v>
      </c>
      <c r="E227" s="4" t="str">
        <f>_xlfn.XLOOKUP(D227,'Sales Manager'!$A$2:$A$6,'Sales Manager'!$B$2:$B$6,"")</f>
        <v>Musa Garba</v>
      </c>
      <c r="F227" s="3">
        <f t="shared" si="35"/>
        <v>10</v>
      </c>
      <c r="G227" s="1" t="str">
        <f t="shared" si="35"/>
        <v>Oct</v>
      </c>
      <c r="H227" s="11">
        <v>1000</v>
      </c>
      <c r="I227" s="11">
        <v>3386</v>
      </c>
      <c r="J227" s="11" cm="1">
        <f t="array" ref="J227">_xlfn.XLOOKUP(C227&amp;D227&amp;F227,Expense!$C$2:$C$601&amp;Expense!$D$2:$D$601&amp;Expense!$E$2:$E$601,Expense!$G$2:$G$601,"")</f>
        <v>200</v>
      </c>
      <c r="K227" s="11" cm="1">
        <f t="array" ref="K227">_xlfn.XLOOKUP(C227&amp;D227&amp;F227,Expense!$C$2:$C$601&amp;Expense!$D$2:$D$601&amp;Expense!$E$2:$E$601,Expense!$H$2:$H$601,"")</f>
        <v>300</v>
      </c>
      <c r="L227" s="14">
        <f t="shared" si="32"/>
        <v>2386</v>
      </c>
      <c r="M227" s="14">
        <f>Master_Table[[#This Row],[Expense Budget]]-Master_Table[[#This Row],[Actual Expense]]</f>
        <v>-100</v>
      </c>
      <c r="N227" s="16">
        <f t="shared" si="33"/>
        <v>3086</v>
      </c>
      <c r="O227" s="29">
        <f t="shared" si="30"/>
        <v>800</v>
      </c>
      <c r="P227" s="16">
        <f t="shared" si="31"/>
        <v>2286</v>
      </c>
      <c r="Q227" s="28">
        <f>Master_Table[[#This Row],[△Sales Variance]]/Master_Table[[#This Row],[Sales Budget]]</f>
        <v>2.3860000000000001</v>
      </c>
      <c r="R227" s="28">
        <f>Master_Table[[#This Row],[△Expense  Variance]]/Master_Table[[#This Row],[Expense Budget]]</f>
        <v>-0.5</v>
      </c>
      <c r="S227" s="28">
        <f>Master_Table[[#This Row],[Net Profit Variance]]/Master_Table[[#This Row],[Budget Net Profit]]</f>
        <v>2.8574999999999999</v>
      </c>
      <c r="T227" s="28">
        <f>Master_Table[[#This Row],[Actual Net Profit]]/Master_Table[[#This Row],[Actual Sales]]</f>
        <v>0.91139988186650911</v>
      </c>
      <c r="U227" s="28" t="str">
        <f>_xlfn.TEXTJOIN(" - ", TRUE, Master_Table[[#This Row],[Product]], Master_Table[[#This Row],[Branch]])</f>
        <v>Melon - Kaduna</v>
      </c>
    </row>
    <row r="228" spans="1:21" ht="14.4" x14ac:dyDescent="0.3">
      <c r="A228" s="2">
        <v>227</v>
      </c>
      <c r="B228" s="2">
        <f t="shared" si="27"/>
        <v>103</v>
      </c>
      <c r="C228" s="1" t="str">
        <f>VLOOKUP(B228,Products!A:C,2,FALSE)</f>
        <v>Melon</v>
      </c>
      <c r="D228" s="1" t="str">
        <f t="shared" si="28"/>
        <v>Kaduna</v>
      </c>
      <c r="E228" s="4" t="str">
        <f>_xlfn.XLOOKUP(D228,'Sales Manager'!$A$2:$A$6,'Sales Manager'!$B$2:$B$6,"")</f>
        <v>Musa Garba</v>
      </c>
      <c r="F228" s="3">
        <f t="shared" si="35"/>
        <v>11</v>
      </c>
      <c r="G228" s="1" t="str">
        <f t="shared" si="35"/>
        <v>Nov</v>
      </c>
      <c r="H228" s="11">
        <v>7000</v>
      </c>
      <c r="I228" s="11">
        <v>8915</v>
      </c>
      <c r="J228" s="11" cm="1">
        <f t="array" ref="J228">_xlfn.XLOOKUP(C228&amp;D228&amp;F228,Expense!$C$2:$C$601&amp;Expense!$D$2:$D$601&amp;Expense!$E$2:$E$601,Expense!$G$2:$G$601,"")</f>
        <v>1750</v>
      </c>
      <c r="K228" s="11" cm="1">
        <f t="array" ref="K228">_xlfn.XLOOKUP(C228&amp;D228&amp;F228,Expense!$C$2:$C$601&amp;Expense!$D$2:$D$601&amp;Expense!$E$2:$E$601,Expense!$H$2:$H$601,"")</f>
        <v>1150</v>
      </c>
      <c r="L228" s="14">
        <f t="shared" si="32"/>
        <v>1915</v>
      </c>
      <c r="M228" s="14">
        <f>Master_Table[[#This Row],[Expense Budget]]-Master_Table[[#This Row],[Actual Expense]]</f>
        <v>600</v>
      </c>
      <c r="N228" s="16">
        <f t="shared" si="33"/>
        <v>7765</v>
      </c>
      <c r="O228" s="29">
        <f t="shared" si="30"/>
        <v>5250</v>
      </c>
      <c r="P228" s="16">
        <f t="shared" si="31"/>
        <v>2515</v>
      </c>
      <c r="Q228" s="28">
        <f>Master_Table[[#This Row],[△Sales Variance]]/Master_Table[[#This Row],[Sales Budget]]</f>
        <v>0.27357142857142858</v>
      </c>
      <c r="R228" s="28">
        <f>Master_Table[[#This Row],[△Expense  Variance]]/Master_Table[[#This Row],[Expense Budget]]</f>
        <v>0.34285714285714286</v>
      </c>
      <c r="S228" s="28">
        <f>Master_Table[[#This Row],[Net Profit Variance]]/Master_Table[[#This Row],[Budget Net Profit]]</f>
        <v>0.47904761904761906</v>
      </c>
      <c r="T228" s="28">
        <f>Master_Table[[#This Row],[Actual Net Profit]]/Master_Table[[#This Row],[Actual Sales]]</f>
        <v>0.87100392596747056</v>
      </c>
      <c r="U228" s="28" t="str">
        <f>_xlfn.TEXTJOIN(" - ", TRUE, Master_Table[[#This Row],[Product]], Master_Table[[#This Row],[Branch]])</f>
        <v>Melon - Kaduna</v>
      </c>
    </row>
    <row r="229" spans="1:21" ht="14.4" x14ac:dyDescent="0.3">
      <c r="A229" s="2">
        <v>228</v>
      </c>
      <c r="B229" s="2">
        <f t="shared" si="27"/>
        <v>103</v>
      </c>
      <c r="C229" s="1" t="str">
        <f>VLOOKUP(B229,Products!A:C,2,FALSE)</f>
        <v>Melon</v>
      </c>
      <c r="D229" s="1" t="str">
        <f t="shared" si="28"/>
        <v>Kaduna</v>
      </c>
      <c r="E229" s="4" t="str">
        <f>_xlfn.XLOOKUP(D229,'Sales Manager'!$A$2:$A$6,'Sales Manager'!$B$2:$B$6,"")</f>
        <v>Musa Garba</v>
      </c>
      <c r="F229" s="3">
        <f t="shared" si="35"/>
        <v>12</v>
      </c>
      <c r="G229" s="1" t="str">
        <f t="shared" si="35"/>
        <v>Dec</v>
      </c>
      <c r="H229" s="11">
        <v>6000</v>
      </c>
      <c r="I229" s="11">
        <v>6061</v>
      </c>
      <c r="J229" s="11" cm="1">
        <f t="array" ref="J229">_xlfn.XLOOKUP(C229&amp;D229&amp;F229,Expense!$C$2:$C$601&amp;Expense!$D$2:$D$601&amp;Expense!$E$2:$E$601,Expense!$G$2:$G$601,"")</f>
        <v>3000</v>
      </c>
      <c r="K229" s="11" cm="1">
        <f t="array" ref="K229">_xlfn.XLOOKUP(C229&amp;D229&amp;F229,Expense!$C$2:$C$601&amp;Expense!$D$2:$D$601&amp;Expense!$E$2:$E$601,Expense!$H$2:$H$601,"")</f>
        <v>2700</v>
      </c>
      <c r="L229" s="14">
        <f t="shared" si="32"/>
        <v>61</v>
      </c>
      <c r="M229" s="14">
        <f>Master_Table[[#This Row],[Expense Budget]]-Master_Table[[#This Row],[Actual Expense]]</f>
        <v>300</v>
      </c>
      <c r="N229" s="16">
        <f t="shared" si="33"/>
        <v>3361</v>
      </c>
      <c r="O229" s="29">
        <f t="shared" si="30"/>
        <v>3000</v>
      </c>
      <c r="P229" s="16">
        <f t="shared" si="31"/>
        <v>361</v>
      </c>
      <c r="Q229" s="28">
        <f>Master_Table[[#This Row],[△Sales Variance]]/Master_Table[[#This Row],[Sales Budget]]</f>
        <v>1.0166666666666666E-2</v>
      </c>
      <c r="R229" s="28">
        <f>Master_Table[[#This Row],[△Expense  Variance]]/Master_Table[[#This Row],[Expense Budget]]</f>
        <v>0.1</v>
      </c>
      <c r="S229" s="28">
        <f>Master_Table[[#This Row],[Net Profit Variance]]/Master_Table[[#This Row],[Budget Net Profit]]</f>
        <v>0.12033333333333333</v>
      </c>
      <c r="T229" s="28">
        <f>Master_Table[[#This Row],[Actual Net Profit]]/Master_Table[[#This Row],[Actual Sales]]</f>
        <v>0.55452895561788484</v>
      </c>
      <c r="U229" s="28" t="str">
        <f>_xlfn.TEXTJOIN(" - ", TRUE, Master_Table[[#This Row],[Product]], Master_Table[[#This Row],[Branch]])</f>
        <v>Melon - Kaduna</v>
      </c>
    </row>
    <row r="230" spans="1:21" ht="14.4" x14ac:dyDescent="0.3">
      <c r="A230" s="2">
        <v>229</v>
      </c>
      <c r="B230" s="2">
        <f t="shared" si="27"/>
        <v>103</v>
      </c>
      <c r="C230" s="1" t="str">
        <f>VLOOKUP(B230,Products!A:C,2,FALSE)</f>
        <v>Melon</v>
      </c>
      <c r="D230" s="1" t="str">
        <f t="shared" si="28"/>
        <v>Ibadan</v>
      </c>
      <c r="E230" s="4" t="str">
        <f>_xlfn.XLOOKUP(D230,'Sales Manager'!$A$2:$A$6,'Sales Manager'!$B$2:$B$6,"")</f>
        <v>Funmi Adeyemi</v>
      </c>
      <c r="F230" s="3">
        <f t="shared" si="35"/>
        <v>1</v>
      </c>
      <c r="G230" s="1" t="str">
        <f t="shared" si="35"/>
        <v>Jan</v>
      </c>
      <c r="H230" s="11">
        <v>5000</v>
      </c>
      <c r="I230" s="11">
        <v>5131</v>
      </c>
      <c r="J230" s="11" cm="1">
        <f t="array" ref="J230">_xlfn.XLOOKUP(C230&amp;D230&amp;F230,Expense!$C$2:$C$601&amp;Expense!$D$2:$D$601&amp;Expense!$E$2:$E$601,Expense!$G$2:$G$601,"")</f>
        <v>1250</v>
      </c>
      <c r="K230" s="11" cm="1">
        <f t="array" ref="K230">_xlfn.XLOOKUP(C230&amp;D230&amp;F230,Expense!$C$2:$C$601&amp;Expense!$D$2:$D$601&amp;Expense!$E$2:$E$601,Expense!$H$2:$H$601,"")</f>
        <v>1250</v>
      </c>
      <c r="L230" s="14">
        <f t="shared" si="32"/>
        <v>131</v>
      </c>
      <c r="M230" s="14">
        <f>Master_Table[[#This Row],[Expense Budget]]-Master_Table[[#This Row],[Actual Expense]]</f>
        <v>0</v>
      </c>
      <c r="N230" s="16">
        <f t="shared" si="33"/>
        <v>3881</v>
      </c>
      <c r="O230" s="29">
        <f t="shared" si="30"/>
        <v>3750</v>
      </c>
      <c r="P230" s="16">
        <f t="shared" si="31"/>
        <v>131</v>
      </c>
      <c r="Q230" s="28">
        <f>Master_Table[[#This Row],[△Sales Variance]]/Master_Table[[#This Row],[Sales Budget]]</f>
        <v>2.6200000000000001E-2</v>
      </c>
      <c r="R230" s="28">
        <f>Master_Table[[#This Row],[△Expense  Variance]]/Master_Table[[#This Row],[Expense Budget]]</f>
        <v>0</v>
      </c>
      <c r="S230" s="28">
        <f>Master_Table[[#This Row],[Net Profit Variance]]/Master_Table[[#This Row],[Budget Net Profit]]</f>
        <v>3.493333333333333E-2</v>
      </c>
      <c r="T230" s="28">
        <f>Master_Table[[#This Row],[Actual Net Profit]]/Master_Table[[#This Row],[Actual Sales]]</f>
        <v>0.75638277138959265</v>
      </c>
      <c r="U230" s="28" t="str">
        <f>_xlfn.TEXTJOIN(" - ", TRUE, Master_Table[[#This Row],[Product]], Master_Table[[#This Row],[Branch]])</f>
        <v>Melon - Ibadan</v>
      </c>
    </row>
    <row r="231" spans="1:21" ht="14.4" x14ac:dyDescent="0.3">
      <c r="A231" s="2">
        <v>230</v>
      </c>
      <c r="B231" s="2">
        <f t="shared" si="27"/>
        <v>103</v>
      </c>
      <c r="C231" s="1" t="str">
        <f>VLOOKUP(B231,Products!A:C,2,FALSE)</f>
        <v>Melon</v>
      </c>
      <c r="D231" s="1" t="str">
        <f t="shared" si="28"/>
        <v>Ibadan</v>
      </c>
      <c r="E231" s="4" t="str">
        <f>_xlfn.XLOOKUP(D231,'Sales Manager'!$A$2:$A$6,'Sales Manager'!$B$2:$B$6,"")</f>
        <v>Funmi Adeyemi</v>
      </c>
      <c r="F231" s="3">
        <f t="shared" si="35"/>
        <v>2</v>
      </c>
      <c r="G231" s="1" t="str">
        <f t="shared" si="35"/>
        <v>Feb</v>
      </c>
      <c r="H231" s="11">
        <v>2000</v>
      </c>
      <c r="I231" s="11">
        <v>2154</v>
      </c>
      <c r="J231" s="11" cm="1">
        <f t="array" ref="J231">_xlfn.XLOOKUP(C231&amp;D231&amp;F231,Expense!$C$2:$C$601&amp;Expense!$D$2:$D$601&amp;Expense!$E$2:$E$601,Expense!$G$2:$G$601,"")</f>
        <v>400</v>
      </c>
      <c r="K231" s="11" cm="1">
        <f t="array" ref="K231">_xlfn.XLOOKUP(C231&amp;D231&amp;F231,Expense!$C$2:$C$601&amp;Expense!$D$2:$D$601&amp;Expense!$E$2:$E$601,Expense!$H$2:$H$601,"")</f>
        <v>200</v>
      </c>
      <c r="L231" s="14">
        <f t="shared" si="32"/>
        <v>154</v>
      </c>
      <c r="M231" s="14">
        <f>Master_Table[[#This Row],[Expense Budget]]-Master_Table[[#This Row],[Actual Expense]]</f>
        <v>200</v>
      </c>
      <c r="N231" s="16">
        <f t="shared" si="33"/>
        <v>1954</v>
      </c>
      <c r="O231" s="29">
        <f t="shared" si="30"/>
        <v>1600</v>
      </c>
      <c r="P231" s="16">
        <f t="shared" si="31"/>
        <v>354</v>
      </c>
      <c r="Q231" s="28">
        <f>Master_Table[[#This Row],[△Sales Variance]]/Master_Table[[#This Row],[Sales Budget]]</f>
        <v>7.6999999999999999E-2</v>
      </c>
      <c r="R231" s="28">
        <f>Master_Table[[#This Row],[△Expense  Variance]]/Master_Table[[#This Row],[Expense Budget]]</f>
        <v>0.5</v>
      </c>
      <c r="S231" s="28">
        <f>Master_Table[[#This Row],[Net Profit Variance]]/Master_Table[[#This Row],[Budget Net Profit]]</f>
        <v>0.22125</v>
      </c>
      <c r="T231" s="28">
        <f>Master_Table[[#This Row],[Actual Net Profit]]/Master_Table[[#This Row],[Actual Sales]]</f>
        <v>0.9071494893221913</v>
      </c>
      <c r="U231" s="28" t="str">
        <f>_xlfn.TEXTJOIN(" - ", TRUE, Master_Table[[#This Row],[Product]], Master_Table[[#This Row],[Branch]])</f>
        <v>Melon - Ibadan</v>
      </c>
    </row>
    <row r="232" spans="1:21" ht="14.4" x14ac:dyDescent="0.3">
      <c r="A232" s="2">
        <v>231</v>
      </c>
      <c r="B232" s="2">
        <f t="shared" si="27"/>
        <v>103</v>
      </c>
      <c r="C232" s="1" t="str">
        <f>VLOOKUP(B232,Products!A:C,2,FALSE)</f>
        <v>Melon</v>
      </c>
      <c r="D232" s="1" t="str">
        <f t="shared" si="28"/>
        <v>Ibadan</v>
      </c>
      <c r="E232" s="4" t="str">
        <f>_xlfn.XLOOKUP(D232,'Sales Manager'!$A$2:$A$6,'Sales Manager'!$B$2:$B$6,"")</f>
        <v>Funmi Adeyemi</v>
      </c>
      <c r="F232" s="3">
        <f t="shared" si="35"/>
        <v>3</v>
      </c>
      <c r="G232" s="1" t="str">
        <f t="shared" si="35"/>
        <v>Mar</v>
      </c>
      <c r="H232" s="11">
        <v>4000</v>
      </c>
      <c r="I232" s="11">
        <v>6254</v>
      </c>
      <c r="J232" s="11" cm="1">
        <f t="array" ref="J232">_xlfn.XLOOKUP(C232&amp;D232&amp;F232,Expense!$C$2:$C$601&amp;Expense!$D$2:$D$601&amp;Expense!$E$2:$E$601,Expense!$G$2:$G$601,"")</f>
        <v>800</v>
      </c>
      <c r="K232" s="11" cm="1">
        <f t="array" ref="K232">_xlfn.XLOOKUP(C232&amp;D232&amp;F232,Expense!$C$2:$C$601&amp;Expense!$D$2:$D$601&amp;Expense!$E$2:$E$601,Expense!$H$2:$H$601,"")</f>
        <v>200</v>
      </c>
      <c r="L232" s="14">
        <f t="shared" si="32"/>
        <v>2254</v>
      </c>
      <c r="M232" s="14">
        <f>Master_Table[[#This Row],[Expense Budget]]-Master_Table[[#This Row],[Actual Expense]]</f>
        <v>600</v>
      </c>
      <c r="N232" s="16">
        <f t="shared" si="33"/>
        <v>6054</v>
      </c>
      <c r="O232" s="29">
        <f t="shared" si="30"/>
        <v>3200</v>
      </c>
      <c r="P232" s="16">
        <f t="shared" si="31"/>
        <v>2854</v>
      </c>
      <c r="Q232" s="28">
        <f>Master_Table[[#This Row],[△Sales Variance]]/Master_Table[[#This Row],[Sales Budget]]</f>
        <v>0.5635</v>
      </c>
      <c r="R232" s="28">
        <f>Master_Table[[#This Row],[△Expense  Variance]]/Master_Table[[#This Row],[Expense Budget]]</f>
        <v>0.75</v>
      </c>
      <c r="S232" s="28">
        <f>Master_Table[[#This Row],[Net Profit Variance]]/Master_Table[[#This Row],[Budget Net Profit]]</f>
        <v>0.89187499999999997</v>
      </c>
      <c r="T232" s="28">
        <f>Master_Table[[#This Row],[Actual Net Profit]]/Master_Table[[#This Row],[Actual Sales]]</f>
        <v>0.96802046690118326</v>
      </c>
      <c r="U232" s="28" t="str">
        <f>_xlfn.TEXTJOIN(" - ", TRUE, Master_Table[[#This Row],[Product]], Master_Table[[#This Row],[Branch]])</f>
        <v>Melon - Ibadan</v>
      </c>
    </row>
    <row r="233" spans="1:21" ht="14.4" x14ac:dyDescent="0.3">
      <c r="A233" s="2">
        <v>232</v>
      </c>
      <c r="B233" s="2">
        <f t="shared" si="27"/>
        <v>103</v>
      </c>
      <c r="C233" s="1" t="str">
        <f>VLOOKUP(B233,Products!A:C,2,FALSE)</f>
        <v>Melon</v>
      </c>
      <c r="D233" s="1" t="str">
        <f t="shared" si="28"/>
        <v>Ibadan</v>
      </c>
      <c r="E233" s="4" t="str">
        <f>_xlfn.XLOOKUP(D233,'Sales Manager'!$A$2:$A$6,'Sales Manager'!$B$2:$B$6,"")</f>
        <v>Funmi Adeyemi</v>
      </c>
      <c r="F233" s="3">
        <f t="shared" si="35"/>
        <v>4</v>
      </c>
      <c r="G233" s="1" t="str">
        <f t="shared" si="35"/>
        <v>Apr</v>
      </c>
      <c r="H233" s="11">
        <v>1000</v>
      </c>
      <c r="I233" s="11">
        <v>5151</v>
      </c>
      <c r="J233" s="11" cm="1">
        <f t="array" ref="J233">_xlfn.XLOOKUP(C233&amp;D233&amp;F233,Expense!$C$2:$C$601&amp;Expense!$D$2:$D$601&amp;Expense!$E$2:$E$601,Expense!$G$2:$G$601,"")</f>
        <v>333.33333333333331</v>
      </c>
      <c r="K233" s="11" cm="1">
        <f t="array" ref="K233">_xlfn.XLOOKUP(C233&amp;D233&amp;F233,Expense!$C$2:$C$601&amp;Expense!$D$2:$D$601&amp;Expense!$E$2:$E$601,Expense!$H$2:$H$601,"")</f>
        <v>133.33333333333331</v>
      </c>
      <c r="L233" s="14">
        <f t="shared" si="32"/>
        <v>4151</v>
      </c>
      <c r="M233" s="14">
        <f>Master_Table[[#This Row],[Expense Budget]]-Master_Table[[#This Row],[Actual Expense]]</f>
        <v>200</v>
      </c>
      <c r="N233" s="16">
        <f t="shared" si="33"/>
        <v>5017.666666666667</v>
      </c>
      <c r="O233" s="29">
        <f t="shared" si="30"/>
        <v>666.66666666666674</v>
      </c>
      <c r="P233" s="16">
        <f t="shared" si="31"/>
        <v>4351</v>
      </c>
      <c r="Q233" s="28">
        <f>Master_Table[[#This Row],[△Sales Variance]]/Master_Table[[#This Row],[Sales Budget]]</f>
        <v>4.1509999999999998</v>
      </c>
      <c r="R233" s="28">
        <f>Master_Table[[#This Row],[△Expense  Variance]]/Master_Table[[#This Row],[Expense Budget]]</f>
        <v>0.60000000000000009</v>
      </c>
      <c r="S233" s="28">
        <f>Master_Table[[#This Row],[Net Profit Variance]]/Master_Table[[#This Row],[Budget Net Profit]]</f>
        <v>6.5264999999999995</v>
      </c>
      <c r="T233" s="28">
        <f>Master_Table[[#This Row],[Actual Net Profit]]/Master_Table[[#This Row],[Actual Sales]]</f>
        <v>0.97411505856468006</v>
      </c>
      <c r="U233" s="28" t="str">
        <f>_xlfn.TEXTJOIN(" - ", TRUE, Master_Table[[#This Row],[Product]], Master_Table[[#This Row],[Branch]])</f>
        <v>Melon - Ibadan</v>
      </c>
    </row>
    <row r="234" spans="1:21" ht="14.4" x14ac:dyDescent="0.3">
      <c r="A234" s="2">
        <v>233</v>
      </c>
      <c r="B234" s="2">
        <f t="shared" si="27"/>
        <v>103</v>
      </c>
      <c r="C234" s="1" t="str">
        <f>VLOOKUP(B234,Products!A:C,2,FALSE)</f>
        <v>Melon</v>
      </c>
      <c r="D234" s="1" t="str">
        <f t="shared" si="28"/>
        <v>Ibadan</v>
      </c>
      <c r="E234" s="4" t="str">
        <f>_xlfn.XLOOKUP(D234,'Sales Manager'!$A$2:$A$6,'Sales Manager'!$B$2:$B$6,"")</f>
        <v>Funmi Adeyemi</v>
      </c>
      <c r="F234" s="3">
        <f t="shared" si="35"/>
        <v>5</v>
      </c>
      <c r="G234" s="1" t="str">
        <f t="shared" si="35"/>
        <v>May</v>
      </c>
      <c r="H234" s="11">
        <v>5000</v>
      </c>
      <c r="I234" s="11">
        <v>2441</v>
      </c>
      <c r="J234" s="11" cm="1">
        <f t="array" ref="J234">_xlfn.XLOOKUP(C234&amp;D234&amp;F234,Expense!$C$2:$C$601&amp;Expense!$D$2:$D$601&amp;Expense!$E$2:$E$601,Expense!$G$2:$G$601,"")</f>
        <v>1000</v>
      </c>
      <c r="K234" s="11" cm="1">
        <f t="array" ref="K234">_xlfn.XLOOKUP(C234&amp;D234&amp;F234,Expense!$C$2:$C$601&amp;Expense!$D$2:$D$601&amp;Expense!$E$2:$E$601,Expense!$H$2:$H$601,"")</f>
        <v>1000</v>
      </c>
      <c r="L234" s="14">
        <f t="shared" si="32"/>
        <v>-2559</v>
      </c>
      <c r="M234" s="14">
        <f>Master_Table[[#This Row],[Expense Budget]]-Master_Table[[#This Row],[Actual Expense]]</f>
        <v>0</v>
      </c>
      <c r="N234" s="16">
        <f t="shared" si="33"/>
        <v>1441</v>
      </c>
      <c r="O234" s="29">
        <f t="shared" si="30"/>
        <v>4000</v>
      </c>
      <c r="P234" s="16">
        <f t="shared" si="31"/>
        <v>-2559</v>
      </c>
      <c r="Q234" s="28">
        <f>Master_Table[[#This Row],[△Sales Variance]]/Master_Table[[#This Row],[Sales Budget]]</f>
        <v>-0.51180000000000003</v>
      </c>
      <c r="R234" s="28">
        <f>Master_Table[[#This Row],[△Expense  Variance]]/Master_Table[[#This Row],[Expense Budget]]</f>
        <v>0</v>
      </c>
      <c r="S234" s="28">
        <f>Master_Table[[#This Row],[Net Profit Variance]]/Master_Table[[#This Row],[Budget Net Profit]]</f>
        <v>-0.63975000000000004</v>
      </c>
      <c r="T234" s="28">
        <f>Master_Table[[#This Row],[Actual Net Profit]]/Master_Table[[#This Row],[Actual Sales]]</f>
        <v>0.59033183121671451</v>
      </c>
      <c r="U234" s="28" t="str">
        <f>_xlfn.TEXTJOIN(" - ", TRUE, Master_Table[[#This Row],[Product]], Master_Table[[#This Row],[Branch]])</f>
        <v>Melon - Ibadan</v>
      </c>
    </row>
    <row r="235" spans="1:21" ht="14.4" x14ac:dyDescent="0.3">
      <c r="A235" s="2">
        <v>234</v>
      </c>
      <c r="B235" s="2">
        <f t="shared" si="27"/>
        <v>103</v>
      </c>
      <c r="C235" s="1" t="str">
        <f>VLOOKUP(B235,Products!A:C,2,FALSE)</f>
        <v>Melon</v>
      </c>
      <c r="D235" s="1" t="str">
        <f t="shared" si="28"/>
        <v>Ibadan</v>
      </c>
      <c r="E235" s="4" t="str">
        <f>_xlfn.XLOOKUP(D235,'Sales Manager'!$A$2:$A$6,'Sales Manager'!$B$2:$B$6,"")</f>
        <v>Funmi Adeyemi</v>
      </c>
      <c r="F235" s="3">
        <f t="shared" si="35"/>
        <v>6</v>
      </c>
      <c r="G235" s="1" t="str">
        <f t="shared" si="35"/>
        <v>Jun</v>
      </c>
      <c r="H235" s="11">
        <v>7000</v>
      </c>
      <c r="I235" s="11">
        <v>2131</v>
      </c>
      <c r="J235" s="11" cm="1">
        <f t="array" ref="J235">_xlfn.XLOOKUP(C235&amp;D235&amp;F235,Expense!$C$2:$C$601&amp;Expense!$D$2:$D$601&amp;Expense!$E$2:$E$601,Expense!$G$2:$G$601,"")</f>
        <v>2333.3333333333335</v>
      </c>
      <c r="K235" s="11" cm="1">
        <f t="array" ref="K235">_xlfn.XLOOKUP(C235&amp;D235&amp;F235,Expense!$C$2:$C$601&amp;Expense!$D$2:$D$601&amp;Expense!$E$2:$E$601,Expense!$H$2:$H$601,"")</f>
        <v>2333.3333333333335</v>
      </c>
      <c r="L235" s="14">
        <f t="shared" si="32"/>
        <v>-4869</v>
      </c>
      <c r="M235" s="14">
        <f>Master_Table[[#This Row],[Expense Budget]]-Master_Table[[#This Row],[Actual Expense]]</f>
        <v>0</v>
      </c>
      <c r="N235" s="16">
        <f t="shared" si="33"/>
        <v>-202.33333333333348</v>
      </c>
      <c r="O235" s="29">
        <f t="shared" si="30"/>
        <v>4666.6666666666661</v>
      </c>
      <c r="P235" s="16">
        <f t="shared" si="31"/>
        <v>-4869</v>
      </c>
      <c r="Q235" s="28">
        <f>Master_Table[[#This Row],[△Sales Variance]]/Master_Table[[#This Row],[Sales Budget]]</f>
        <v>-0.69557142857142862</v>
      </c>
      <c r="R235" s="28">
        <f>Master_Table[[#This Row],[△Expense  Variance]]/Master_Table[[#This Row],[Expense Budget]]</f>
        <v>0</v>
      </c>
      <c r="S235" s="28">
        <f>Master_Table[[#This Row],[Net Profit Variance]]/Master_Table[[#This Row],[Budget Net Profit]]</f>
        <v>-1.0433571428571431</v>
      </c>
      <c r="T235" s="28">
        <f>Master_Table[[#This Row],[Actual Net Profit]]/Master_Table[[#This Row],[Actual Sales]]</f>
        <v>-9.4947598936336683E-2</v>
      </c>
      <c r="U235" s="28" t="str">
        <f>_xlfn.TEXTJOIN(" - ", TRUE, Master_Table[[#This Row],[Product]], Master_Table[[#This Row],[Branch]])</f>
        <v>Melon - Ibadan</v>
      </c>
    </row>
    <row r="236" spans="1:21" ht="14.4" x14ac:dyDescent="0.3">
      <c r="A236" s="2">
        <v>235</v>
      </c>
      <c r="B236" s="2">
        <f t="shared" si="27"/>
        <v>103</v>
      </c>
      <c r="C236" s="1" t="str">
        <f>VLOOKUP(B236,Products!A:C,2,FALSE)</f>
        <v>Melon</v>
      </c>
      <c r="D236" s="1" t="str">
        <f t="shared" si="28"/>
        <v>Ibadan</v>
      </c>
      <c r="E236" s="4" t="str">
        <f>_xlfn.XLOOKUP(D236,'Sales Manager'!$A$2:$A$6,'Sales Manager'!$B$2:$B$6,"")</f>
        <v>Funmi Adeyemi</v>
      </c>
      <c r="F236" s="3">
        <f t="shared" si="35"/>
        <v>7</v>
      </c>
      <c r="G236" s="1" t="str">
        <f t="shared" si="35"/>
        <v>Jul</v>
      </c>
      <c r="H236" s="11">
        <v>9000</v>
      </c>
      <c r="I236" s="11">
        <v>2522</v>
      </c>
      <c r="J236" s="11" cm="1">
        <f t="array" ref="J236">_xlfn.XLOOKUP(C236&amp;D236&amp;F236,Expense!$C$2:$C$601&amp;Expense!$D$2:$D$601&amp;Expense!$E$2:$E$601,Expense!$G$2:$G$601,"")</f>
        <v>3000</v>
      </c>
      <c r="K236" s="11" cm="1">
        <f t="array" ref="K236">_xlfn.XLOOKUP(C236&amp;D236&amp;F236,Expense!$C$2:$C$601&amp;Expense!$D$2:$D$601&amp;Expense!$E$2:$E$601,Expense!$H$2:$H$601,"")</f>
        <v>2900</v>
      </c>
      <c r="L236" s="14">
        <f t="shared" si="32"/>
        <v>-6478</v>
      </c>
      <c r="M236" s="14">
        <f>Master_Table[[#This Row],[Expense Budget]]-Master_Table[[#This Row],[Actual Expense]]</f>
        <v>100</v>
      </c>
      <c r="N236" s="16">
        <f t="shared" si="33"/>
        <v>-378</v>
      </c>
      <c r="O236" s="29">
        <f t="shared" si="30"/>
        <v>6000</v>
      </c>
      <c r="P236" s="16">
        <f t="shared" si="31"/>
        <v>-6378</v>
      </c>
      <c r="Q236" s="28">
        <f>Master_Table[[#This Row],[△Sales Variance]]/Master_Table[[#This Row],[Sales Budget]]</f>
        <v>-0.71977777777777774</v>
      </c>
      <c r="R236" s="28">
        <f>Master_Table[[#This Row],[△Expense  Variance]]/Master_Table[[#This Row],[Expense Budget]]</f>
        <v>3.3333333333333333E-2</v>
      </c>
      <c r="S236" s="28">
        <f>Master_Table[[#This Row],[Net Profit Variance]]/Master_Table[[#This Row],[Budget Net Profit]]</f>
        <v>-1.0629999999999999</v>
      </c>
      <c r="T236" s="28">
        <f>Master_Table[[#This Row],[Actual Net Profit]]/Master_Table[[#This Row],[Actual Sales]]</f>
        <v>-0.14988104678826328</v>
      </c>
      <c r="U236" s="28" t="str">
        <f>_xlfn.TEXTJOIN(" - ", TRUE, Master_Table[[#This Row],[Product]], Master_Table[[#This Row],[Branch]])</f>
        <v>Melon - Ibadan</v>
      </c>
    </row>
    <row r="237" spans="1:21" ht="14.4" x14ac:dyDescent="0.3">
      <c r="A237" s="2">
        <v>236</v>
      </c>
      <c r="B237" s="2">
        <f t="shared" si="27"/>
        <v>103</v>
      </c>
      <c r="C237" s="1" t="str">
        <f>VLOOKUP(B237,Products!A:C,2,FALSE)</f>
        <v>Melon</v>
      </c>
      <c r="D237" s="1" t="str">
        <f t="shared" si="28"/>
        <v>Ibadan</v>
      </c>
      <c r="E237" s="4" t="str">
        <f>_xlfn.XLOOKUP(D237,'Sales Manager'!$A$2:$A$6,'Sales Manager'!$B$2:$B$6,"")</f>
        <v>Funmi Adeyemi</v>
      </c>
      <c r="F237" s="3">
        <f t="shared" si="35"/>
        <v>8</v>
      </c>
      <c r="G237" s="1" t="str">
        <f t="shared" si="35"/>
        <v>Aug</v>
      </c>
      <c r="H237" s="11">
        <v>4000</v>
      </c>
      <c r="I237" s="11">
        <v>4468</v>
      </c>
      <c r="J237" s="11" cm="1">
        <f t="array" ref="J237">_xlfn.XLOOKUP(C237&amp;D237&amp;F237,Expense!$C$2:$C$601&amp;Expense!$D$2:$D$601&amp;Expense!$E$2:$E$601,Expense!$G$2:$G$601,"")</f>
        <v>1000</v>
      </c>
      <c r="K237" s="11" cm="1">
        <f t="array" ref="K237">_xlfn.XLOOKUP(C237&amp;D237&amp;F237,Expense!$C$2:$C$601&amp;Expense!$D$2:$D$601&amp;Expense!$E$2:$E$601,Expense!$H$2:$H$601,"")</f>
        <v>600</v>
      </c>
      <c r="L237" s="14">
        <f t="shared" si="32"/>
        <v>468</v>
      </c>
      <c r="M237" s="14">
        <f>Master_Table[[#This Row],[Expense Budget]]-Master_Table[[#This Row],[Actual Expense]]</f>
        <v>400</v>
      </c>
      <c r="N237" s="16">
        <f t="shared" si="33"/>
        <v>3868</v>
      </c>
      <c r="O237" s="29">
        <f t="shared" si="30"/>
        <v>3000</v>
      </c>
      <c r="P237" s="16">
        <f t="shared" si="31"/>
        <v>868</v>
      </c>
      <c r="Q237" s="28">
        <f>Master_Table[[#This Row],[△Sales Variance]]/Master_Table[[#This Row],[Sales Budget]]</f>
        <v>0.11700000000000001</v>
      </c>
      <c r="R237" s="28">
        <f>Master_Table[[#This Row],[△Expense  Variance]]/Master_Table[[#This Row],[Expense Budget]]</f>
        <v>0.4</v>
      </c>
      <c r="S237" s="28">
        <f>Master_Table[[#This Row],[Net Profit Variance]]/Master_Table[[#This Row],[Budget Net Profit]]</f>
        <v>0.28933333333333333</v>
      </c>
      <c r="T237" s="28">
        <f>Master_Table[[#This Row],[Actual Net Profit]]/Master_Table[[#This Row],[Actual Sales]]</f>
        <v>0.86571172784243511</v>
      </c>
      <c r="U237" s="28" t="str">
        <f>_xlfn.TEXTJOIN(" - ", TRUE, Master_Table[[#This Row],[Product]], Master_Table[[#This Row],[Branch]])</f>
        <v>Melon - Ibadan</v>
      </c>
    </row>
    <row r="238" spans="1:21" ht="14.4" x14ac:dyDescent="0.3">
      <c r="A238" s="2">
        <v>237</v>
      </c>
      <c r="B238" s="2">
        <f t="shared" si="27"/>
        <v>103</v>
      </c>
      <c r="C238" s="1" t="str">
        <f>VLOOKUP(B238,Products!A:C,2,FALSE)</f>
        <v>Melon</v>
      </c>
      <c r="D238" s="1" t="str">
        <f t="shared" si="28"/>
        <v>Ibadan</v>
      </c>
      <c r="E238" s="4" t="str">
        <f>_xlfn.XLOOKUP(D238,'Sales Manager'!$A$2:$A$6,'Sales Manager'!$B$2:$B$6,"")</f>
        <v>Funmi Adeyemi</v>
      </c>
      <c r="F238" s="3">
        <f t="shared" si="35"/>
        <v>9</v>
      </c>
      <c r="G238" s="1" t="str">
        <f t="shared" si="35"/>
        <v>Sept</v>
      </c>
      <c r="H238" s="11">
        <v>3000</v>
      </c>
      <c r="I238" s="11">
        <v>5153</v>
      </c>
      <c r="J238" s="11" cm="1">
        <f t="array" ref="J238">_xlfn.XLOOKUP(C238&amp;D238&amp;F238,Expense!$C$2:$C$601&amp;Expense!$D$2:$D$601&amp;Expense!$E$2:$E$601,Expense!$G$2:$G$601,"")</f>
        <v>1000</v>
      </c>
      <c r="K238" s="11" cm="1">
        <f t="array" ref="K238">_xlfn.XLOOKUP(C238&amp;D238&amp;F238,Expense!$C$2:$C$601&amp;Expense!$D$2:$D$601&amp;Expense!$E$2:$E$601,Expense!$H$2:$H$601,"")</f>
        <v>600</v>
      </c>
      <c r="L238" s="14">
        <f t="shared" si="32"/>
        <v>2153</v>
      </c>
      <c r="M238" s="14">
        <f>Master_Table[[#This Row],[Expense Budget]]-Master_Table[[#This Row],[Actual Expense]]</f>
        <v>400</v>
      </c>
      <c r="N238" s="16">
        <f t="shared" si="33"/>
        <v>4553</v>
      </c>
      <c r="O238" s="29">
        <f t="shared" si="30"/>
        <v>2000</v>
      </c>
      <c r="P238" s="16">
        <f t="shared" si="31"/>
        <v>2553</v>
      </c>
      <c r="Q238" s="28">
        <f>Master_Table[[#This Row],[△Sales Variance]]/Master_Table[[#This Row],[Sales Budget]]</f>
        <v>0.71766666666666667</v>
      </c>
      <c r="R238" s="28">
        <f>Master_Table[[#This Row],[△Expense  Variance]]/Master_Table[[#This Row],[Expense Budget]]</f>
        <v>0.4</v>
      </c>
      <c r="S238" s="28">
        <f>Master_Table[[#This Row],[Net Profit Variance]]/Master_Table[[#This Row],[Budget Net Profit]]</f>
        <v>1.2765</v>
      </c>
      <c r="T238" s="28">
        <f>Master_Table[[#This Row],[Actual Net Profit]]/Master_Table[[#This Row],[Actual Sales]]</f>
        <v>0.88356297302542208</v>
      </c>
      <c r="U238" s="28" t="str">
        <f>_xlfn.TEXTJOIN(" - ", TRUE, Master_Table[[#This Row],[Product]], Master_Table[[#This Row],[Branch]])</f>
        <v>Melon - Ibadan</v>
      </c>
    </row>
    <row r="239" spans="1:21" ht="14.4" x14ac:dyDescent="0.3">
      <c r="A239" s="2">
        <v>238</v>
      </c>
      <c r="B239" s="2">
        <f t="shared" si="27"/>
        <v>103</v>
      </c>
      <c r="C239" s="1" t="str">
        <f>VLOOKUP(B239,Products!A:C,2,FALSE)</f>
        <v>Melon</v>
      </c>
      <c r="D239" s="1" t="str">
        <f t="shared" si="28"/>
        <v>Ibadan</v>
      </c>
      <c r="E239" s="4" t="str">
        <f>_xlfn.XLOOKUP(D239,'Sales Manager'!$A$2:$A$6,'Sales Manager'!$B$2:$B$6,"")</f>
        <v>Funmi Adeyemi</v>
      </c>
      <c r="F239" s="3">
        <f t="shared" ref="F239:G254" si="36">F227</f>
        <v>10</v>
      </c>
      <c r="G239" s="1" t="str">
        <f t="shared" si="36"/>
        <v>Oct</v>
      </c>
      <c r="H239" s="11">
        <v>5000</v>
      </c>
      <c r="I239" s="11">
        <v>4253</v>
      </c>
      <c r="J239" s="11" cm="1">
        <f t="array" ref="J239">_xlfn.XLOOKUP(C239&amp;D239&amp;F239,Expense!$C$2:$C$601&amp;Expense!$D$2:$D$601&amp;Expense!$E$2:$E$601,Expense!$G$2:$G$601,"")</f>
        <v>1666.6666666666667</v>
      </c>
      <c r="K239" s="11" cm="1">
        <f t="array" ref="K239">_xlfn.XLOOKUP(C239&amp;D239&amp;F239,Expense!$C$2:$C$601&amp;Expense!$D$2:$D$601&amp;Expense!$E$2:$E$601,Expense!$H$2:$H$601,"")</f>
        <v>966.66666666666674</v>
      </c>
      <c r="L239" s="14">
        <f t="shared" si="32"/>
        <v>-747</v>
      </c>
      <c r="M239" s="14">
        <f>Master_Table[[#This Row],[Expense Budget]]-Master_Table[[#This Row],[Actual Expense]]</f>
        <v>700</v>
      </c>
      <c r="N239" s="16">
        <f t="shared" si="33"/>
        <v>3286.333333333333</v>
      </c>
      <c r="O239" s="29">
        <f t="shared" si="30"/>
        <v>3333.333333333333</v>
      </c>
      <c r="P239" s="16">
        <f t="shared" si="31"/>
        <v>-47</v>
      </c>
      <c r="Q239" s="28">
        <f>Master_Table[[#This Row],[△Sales Variance]]/Master_Table[[#This Row],[Sales Budget]]</f>
        <v>-0.14940000000000001</v>
      </c>
      <c r="R239" s="28">
        <f>Master_Table[[#This Row],[△Expense  Variance]]/Master_Table[[#This Row],[Expense Budget]]</f>
        <v>0.42</v>
      </c>
      <c r="S239" s="28">
        <f>Master_Table[[#This Row],[Net Profit Variance]]/Master_Table[[#This Row],[Budget Net Profit]]</f>
        <v>-1.4100000000000001E-2</v>
      </c>
      <c r="T239" s="28">
        <f>Master_Table[[#This Row],[Actual Net Profit]]/Master_Table[[#This Row],[Actual Sales]]</f>
        <v>0.77270945998902729</v>
      </c>
      <c r="U239" s="28" t="str">
        <f>_xlfn.TEXTJOIN(" - ", TRUE, Master_Table[[#This Row],[Product]], Master_Table[[#This Row],[Branch]])</f>
        <v>Melon - Ibadan</v>
      </c>
    </row>
    <row r="240" spans="1:21" ht="14.4" x14ac:dyDescent="0.3">
      <c r="A240" s="2">
        <v>239</v>
      </c>
      <c r="B240" s="2">
        <f t="shared" si="27"/>
        <v>103</v>
      </c>
      <c r="C240" s="1" t="str">
        <f>VLOOKUP(B240,Products!A:C,2,FALSE)</f>
        <v>Melon</v>
      </c>
      <c r="D240" s="1" t="str">
        <f t="shared" si="28"/>
        <v>Ibadan</v>
      </c>
      <c r="E240" s="4" t="str">
        <f>_xlfn.XLOOKUP(D240,'Sales Manager'!$A$2:$A$6,'Sales Manager'!$B$2:$B$6,"")</f>
        <v>Funmi Adeyemi</v>
      </c>
      <c r="F240" s="3">
        <f t="shared" si="36"/>
        <v>11</v>
      </c>
      <c r="G240" s="1" t="str">
        <f t="shared" si="36"/>
        <v>Nov</v>
      </c>
      <c r="H240" s="11">
        <v>1000</v>
      </c>
      <c r="I240" s="11">
        <v>6315</v>
      </c>
      <c r="J240" s="11" cm="1">
        <f t="array" ref="J240">_xlfn.XLOOKUP(C240&amp;D240&amp;F240,Expense!$C$2:$C$601&amp;Expense!$D$2:$D$601&amp;Expense!$E$2:$E$601,Expense!$G$2:$G$601,"")</f>
        <v>500</v>
      </c>
      <c r="K240" s="11" cm="1">
        <f t="array" ref="K240">_xlfn.XLOOKUP(C240&amp;D240&amp;F240,Expense!$C$2:$C$601&amp;Expense!$D$2:$D$601&amp;Expense!$E$2:$E$601,Expense!$H$2:$H$601,"")</f>
        <v>500</v>
      </c>
      <c r="L240" s="14">
        <f t="shared" si="32"/>
        <v>5315</v>
      </c>
      <c r="M240" s="14">
        <f>Master_Table[[#This Row],[Expense Budget]]-Master_Table[[#This Row],[Actual Expense]]</f>
        <v>0</v>
      </c>
      <c r="N240" s="16">
        <f t="shared" si="33"/>
        <v>5815</v>
      </c>
      <c r="O240" s="29">
        <f t="shared" si="30"/>
        <v>500</v>
      </c>
      <c r="P240" s="16">
        <f t="shared" si="31"/>
        <v>5315</v>
      </c>
      <c r="Q240" s="28">
        <f>Master_Table[[#This Row],[△Sales Variance]]/Master_Table[[#This Row],[Sales Budget]]</f>
        <v>5.3150000000000004</v>
      </c>
      <c r="R240" s="28">
        <f>Master_Table[[#This Row],[△Expense  Variance]]/Master_Table[[#This Row],[Expense Budget]]</f>
        <v>0</v>
      </c>
      <c r="S240" s="28">
        <f>Master_Table[[#This Row],[Net Profit Variance]]/Master_Table[[#This Row],[Budget Net Profit]]</f>
        <v>10.63</v>
      </c>
      <c r="T240" s="28">
        <f>Master_Table[[#This Row],[Actual Net Profit]]/Master_Table[[#This Row],[Actual Sales]]</f>
        <v>0.92082343626286622</v>
      </c>
      <c r="U240" s="28" t="str">
        <f>_xlfn.TEXTJOIN(" - ", TRUE, Master_Table[[#This Row],[Product]], Master_Table[[#This Row],[Branch]])</f>
        <v>Melon - Ibadan</v>
      </c>
    </row>
    <row r="241" spans="1:21" ht="14.4" x14ac:dyDescent="0.3">
      <c r="A241" s="2">
        <v>240</v>
      </c>
      <c r="B241" s="2">
        <f t="shared" si="27"/>
        <v>103</v>
      </c>
      <c r="C241" s="1" t="str">
        <f>VLOOKUP(B241,Products!A:C,2,FALSE)</f>
        <v>Melon</v>
      </c>
      <c r="D241" s="1" t="str">
        <f t="shared" si="28"/>
        <v>Ibadan</v>
      </c>
      <c r="E241" s="4" t="str">
        <f>_xlfn.XLOOKUP(D241,'Sales Manager'!$A$2:$A$6,'Sales Manager'!$B$2:$B$6,"")</f>
        <v>Funmi Adeyemi</v>
      </c>
      <c r="F241" s="3">
        <f t="shared" si="36"/>
        <v>12</v>
      </c>
      <c r="G241" s="1" t="str">
        <f t="shared" si="36"/>
        <v>Dec</v>
      </c>
      <c r="H241" s="11">
        <v>8000</v>
      </c>
      <c r="I241" s="11">
        <v>2355</v>
      </c>
      <c r="J241" s="11" cm="1">
        <f t="array" ref="J241">_xlfn.XLOOKUP(C241&amp;D241&amp;F241,Expense!$C$2:$C$601&amp;Expense!$D$2:$D$601&amp;Expense!$E$2:$E$601,Expense!$G$2:$G$601,"")</f>
        <v>1600</v>
      </c>
      <c r="K241" s="11" cm="1">
        <f t="array" ref="K241">_xlfn.XLOOKUP(C241&amp;D241&amp;F241,Expense!$C$2:$C$601&amp;Expense!$D$2:$D$601&amp;Expense!$E$2:$E$601,Expense!$H$2:$H$601,"")</f>
        <v>1300</v>
      </c>
      <c r="L241" s="14">
        <f t="shared" si="32"/>
        <v>-5645</v>
      </c>
      <c r="M241" s="14">
        <f>Master_Table[[#This Row],[Expense Budget]]-Master_Table[[#This Row],[Actual Expense]]</f>
        <v>300</v>
      </c>
      <c r="N241" s="16">
        <f t="shared" si="33"/>
        <v>1055</v>
      </c>
      <c r="O241" s="29">
        <f t="shared" si="30"/>
        <v>6400</v>
      </c>
      <c r="P241" s="16">
        <f t="shared" si="31"/>
        <v>-5345</v>
      </c>
      <c r="Q241" s="28">
        <f>Master_Table[[#This Row],[△Sales Variance]]/Master_Table[[#This Row],[Sales Budget]]</f>
        <v>-0.70562499999999995</v>
      </c>
      <c r="R241" s="28">
        <f>Master_Table[[#This Row],[△Expense  Variance]]/Master_Table[[#This Row],[Expense Budget]]</f>
        <v>0.1875</v>
      </c>
      <c r="S241" s="28">
        <f>Master_Table[[#This Row],[Net Profit Variance]]/Master_Table[[#This Row],[Budget Net Profit]]</f>
        <v>-0.83515625000000004</v>
      </c>
      <c r="T241" s="28">
        <f>Master_Table[[#This Row],[Actual Net Profit]]/Master_Table[[#This Row],[Actual Sales]]</f>
        <v>0.44798301486199577</v>
      </c>
      <c r="U241" s="28" t="str">
        <f>_xlfn.TEXTJOIN(" - ", TRUE, Master_Table[[#This Row],[Product]], Master_Table[[#This Row],[Branch]])</f>
        <v>Melon - Ibadan</v>
      </c>
    </row>
    <row r="242" spans="1:21" ht="14.4" x14ac:dyDescent="0.3">
      <c r="A242" s="2">
        <v>241</v>
      </c>
      <c r="B242" s="2">
        <f t="shared" si="27"/>
        <v>104</v>
      </c>
      <c r="C242" s="1" t="str">
        <f>VLOOKUP(B242,Products!A:C,2,FALSE)</f>
        <v>Apple</v>
      </c>
      <c r="D242" s="1" t="str">
        <f t="shared" si="28"/>
        <v>Lagos</v>
      </c>
      <c r="E242" s="4" t="str">
        <f>_xlfn.XLOOKUP(D242,'Sales Manager'!$A$2:$A$6,'Sales Manager'!$B$2:$B$6,"")</f>
        <v>Adaora Okafor</v>
      </c>
      <c r="F242" s="3">
        <f t="shared" si="36"/>
        <v>1</v>
      </c>
      <c r="G242" s="1" t="str">
        <f t="shared" si="36"/>
        <v>Jan</v>
      </c>
      <c r="H242" s="11">
        <v>2000</v>
      </c>
      <c r="I242" s="11">
        <v>3311</v>
      </c>
      <c r="J242" s="11" cm="1">
        <f t="array" ref="J242">_xlfn.XLOOKUP(C242&amp;D242&amp;F242,Expense!$C$2:$C$601&amp;Expense!$D$2:$D$601&amp;Expense!$E$2:$E$601,Expense!$G$2:$G$601,"")</f>
        <v>400</v>
      </c>
      <c r="K242" s="11" cm="1">
        <f t="array" ref="K242">_xlfn.XLOOKUP(C242&amp;D242&amp;F242,Expense!$C$2:$C$601&amp;Expense!$D$2:$D$601&amp;Expense!$E$2:$E$601,Expense!$H$2:$H$601,"")</f>
        <v>300</v>
      </c>
      <c r="L242" s="14">
        <f t="shared" si="32"/>
        <v>1311</v>
      </c>
      <c r="M242" s="14">
        <f>Master_Table[[#This Row],[Expense Budget]]-Master_Table[[#This Row],[Actual Expense]]</f>
        <v>100</v>
      </c>
      <c r="N242" s="16">
        <f t="shared" si="33"/>
        <v>3011</v>
      </c>
      <c r="O242" s="29">
        <f t="shared" si="30"/>
        <v>1600</v>
      </c>
      <c r="P242" s="16">
        <f t="shared" si="31"/>
        <v>1411</v>
      </c>
      <c r="Q242" s="28">
        <f>Master_Table[[#This Row],[△Sales Variance]]/Master_Table[[#This Row],[Sales Budget]]</f>
        <v>0.65549999999999997</v>
      </c>
      <c r="R242" s="28">
        <f>Master_Table[[#This Row],[△Expense  Variance]]/Master_Table[[#This Row],[Expense Budget]]</f>
        <v>0.25</v>
      </c>
      <c r="S242" s="28">
        <f>Master_Table[[#This Row],[Net Profit Variance]]/Master_Table[[#This Row],[Budget Net Profit]]</f>
        <v>0.88187499999999996</v>
      </c>
      <c r="T242" s="28">
        <f>Master_Table[[#This Row],[Actual Net Profit]]/Master_Table[[#This Row],[Actual Sales]]</f>
        <v>0.90939293264874665</v>
      </c>
      <c r="U242" s="28" t="str">
        <f>_xlfn.TEXTJOIN(" - ", TRUE, Master_Table[[#This Row],[Product]], Master_Table[[#This Row],[Branch]])</f>
        <v>Apple - Lagos</v>
      </c>
    </row>
    <row r="243" spans="1:21" ht="14.4" x14ac:dyDescent="0.3">
      <c r="A243" s="2">
        <v>242</v>
      </c>
      <c r="B243" s="2">
        <f t="shared" si="27"/>
        <v>104</v>
      </c>
      <c r="C243" s="1" t="str">
        <f>VLOOKUP(B243,Products!A:C,2,FALSE)</f>
        <v>Apple</v>
      </c>
      <c r="D243" s="1" t="str">
        <f t="shared" si="28"/>
        <v>Lagos</v>
      </c>
      <c r="E243" s="4" t="str">
        <f>_xlfn.XLOOKUP(D243,'Sales Manager'!$A$2:$A$6,'Sales Manager'!$B$2:$B$6,"")</f>
        <v>Adaora Okafor</v>
      </c>
      <c r="F243" s="3">
        <f t="shared" si="36"/>
        <v>2</v>
      </c>
      <c r="G243" s="1" t="str">
        <f t="shared" si="36"/>
        <v>Feb</v>
      </c>
      <c r="H243" s="11">
        <v>4000</v>
      </c>
      <c r="I243" s="11">
        <v>8122</v>
      </c>
      <c r="J243" s="11" cm="1">
        <f t="array" ref="J243">_xlfn.XLOOKUP(C243&amp;D243&amp;F243,Expense!$C$2:$C$601&amp;Expense!$D$2:$D$601&amp;Expense!$E$2:$E$601,Expense!$G$2:$G$601,"")</f>
        <v>2000</v>
      </c>
      <c r="K243" s="11" cm="1">
        <f t="array" ref="K243">_xlfn.XLOOKUP(C243&amp;D243&amp;F243,Expense!$C$2:$C$601&amp;Expense!$D$2:$D$601&amp;Expense!$E$2:$E$601,Expense!$H$2:$H$601,"")</f>
        <v>1500</v>
      </c>
      <c r="L243" s="14">
        <f t="shared" si="32"/>
        <v>4122</v>
      </c>
      <c r="M243" s="14">
        <f>Master_Table[[#This Row],[Expense Budget]]-Master_Table[[#This Row],[Actual Expense]]</f>
        <v>500</v>
      </c>
      <c r="N243" s="16">
        <f t="shared" si="33"/>
        <v>6622</v>
      </c>
      <c r="O243" s="29">
        <f t="shared" si="30"/>
        <v>2000</v>
      </c>
      <c r="P243" s="16">
        <f t="shared" si="31"/>
        <v>4622</v>
      </c>
      <c r="Q243" s="28">
        <f>Master_Table[[#This Row],[△Sales Variance]]/Master_Table[[#This Row],[Sales Budget]]</f>
        <v>1.0305</v>
      </c>
      <c r="R243" s="28">
        <f>Master_Table[[#This Row],[△Expense  Variance]]/Master_Table[[#This Row],[Expense Budget]]</f>
        <v>0.25</v>
      </c>
      <c r="S243" s="28">
        <f>Master_Table[[#This Row],[Net Profit Variance]]/Master_Table[[#This Row],[Budget Net Profit]]</f>
        <v>2.3109999999999999</v>
      </c>
      <c r="T243" s="28">
        <f>Master_Table[[#This Row],[Actual Net Profit]]/Master_Table[[#This Row],[Actual Sales]]</f>
        <v>0.81531642452597886</v>
      </c>
      <c r="U243" s="28" t="str">
        <f>_xlfn.TEXTJOIN(" - ", TRUE, Master_Table[[#This Row],[Product]], Master_Table[[#This Row],[Branch]])</f>
        <v>Apple - Lagos</v>
      </c>
    </row>
    <row r="244" spans="1:21" ht="14.4" x14ac:dyDescent="0.3">
      <c r="A244" s="2">
        <v>243</v>
      </c>
      <c r="B244" s="2">
        <f t="shared" si="27"/>
        <v>104</v>
      </c>
      <c r="C244" s="1" t="str">
        <f>VLOOKUP(B244,Products!A:C,2,FALSE)</f>
        <v>Apple</v>
      </c>
      <c r="D244" s="1" t="str">
        <f t="shared" si="28"/>
        <v>Lagos</v>
      </c>
      <c r="E244" s="4" t="str">
        <f>_xlfn.XLOOKUP(D244,'Sales Manager'!$A$2:$A$6,'Sales Manager'!$B$2:$B$6,"")</f>
        <v>Adaora Okafor</v>
      </c>
      <c r="F244" s="3">
        <f t="shared" si="36"/>
        <v>3</v>
      </c>
      <c r="G244" s="1" t="str">
        <f t="shared" si="36"/>
        <v>Mar</v>
      </c>
      <c r="H244" s="11">
        <v>1000</v>
      </c>
      <c r="I244" s="11">
        <v>4726</v>
      </c>
      <c r="J244" s="11" cm="1">
        <f t="array" ref="J244">_xlfn.XLOOKUP(C244&amp;D244&amp;F244,Expense!$C$2:$C$601&amp;Expense!$D$2:$D$601&amp;Expense!$E$2:$E$601,Expense!$G$2:$G$601,"")</f>
        <v>200</v>
      </c>
      <c r="K244" s="11" cm="1">
        <f t="array" ref="K244">_xlfn.XLOOKUP(C244&amp;D244&amp;F244,Expense!$C$2:$C$601&amp;Expense!$D$2:$D$601&amp;Expense!$E$2:$E$601,Expense!$H$2:$H$601,"")</f>
        <v>700</v>
      </c>
      <c r="L244" s="14">
        <f t="shared" si="32"/>
        <v>3726</v>
      </c>
      <c r="M244" s="14">
        <f>Master_Table[[#This Row],[Expense Budget]]-Master_Table[[#This Row],[Actual Expense]]</f>
        <v>-500</v>
      </c>
      <c r="N244" s="16">
        <f t="shared" si="33"/>
        <v>4026</v>
      </c>
      <c r="O244" s="29">
        <f t="shared" si="30"/>
        <v>800</v>
      </c>
      <c r="P244" s="16">
        <f t="shared" si="31"/>
        <v>3226</v>
      </c>
      <c r="Q244" s="28">
        <f>Master_Table[[#This Row],[△Sales Variance]]/Master_Table[[#This Row],[Sales Budget]]</f>
        <v>3.726</v>
      </c>
      <c r="R244" s="28">
        <f>Master_Table[[#This Row],[△Expense  Variance]]/Master_Table[[#This Row],[Expense Budget]]</f>
        <v>-2.5</v>
      </c>
      <c r="S244" s="28">
        <f>Master_Table[[#This Row],[Net Profit Variance]]/Master_Table[[#This Row],[Budget Net Profit]]</f>
        <v>4.0324999999999998</v>
      </c>
      <c r="T244" s="28">
        <f>Master_Table[[#This Row],[Actual Net Profit]]/Master_Table[[#This Row],[Actual Sales]]</f>
        <v>0.85188319932289458</v>
      </c>
      <c r="U244" s="28" t="str">
        <f>_xlfn.TEXTJOIN(" - ", TRUE, Master_Table[[#This Row],[Product]], Master_Table[[#This Row],[Branch]])</f>
        <v>Apple - Lagos</v>
      </c>
    </row>
    <row r="245" spans="1:21" ht="14.4" x14ac:dyDescent="0.3">
      <c r="A245" s="2">
        <v>244</v>
      </c>
      <c r="B245" s="2">
        <f t="shared" si="27"/>
        <v>104</v>
      </c>
      <c r="C245" s="1" t="str">
        <f>VLOOKUP(B245,Products!A:C,2,FALSE)</f>
        <v>Apple</v>
      </c>
      <c r="D245" s="1" t="str">
        <f t="shared" si="28"/>
        <v>Lagos</v>
      </c>
      <c r="E245" s="4" t="str">
        <f>_xlfn.XLOOKUP(D245,'Sales Manager'!$A$2:$A$6,'Sales Manager'!$B$2:$B$6,"")</f>
        <v>Adaora Okafor</v>
      </c>
      <c r="F245" s="3">
        <f t="shared" si="36"/>
        <v>4</v>
      </c>
      <c r="G245" s="1" t="str">
        <f t="shared" si="36"/>
        <v>Apr</v>
      </c>
      <c r="H245" s="11">
        <v>1000</v>
      </c>
      <c r="I245" s="11">
        <v>3241</v>
      </c>
      <c r="J245" s="11" cm="1">
        <f t="array" ref="J245">_xlfn.XLOOKUP(C245&amp;D245&amp;F245,Expense!$C$2:$C$601&amp;Expense!$D$2:$D$601&amp;Expense!$E$2:$E$601,Expense!$G$2:$G$601,"")</f>
        <v>500</v>
      </c>
      <c r="K245" s="11" cm="1">
        <f t="array" ref="K245">_xlfn.XLOOKUP(C245&amp;D245&amp;F245,Expense!$C$2:$C$601&amp;Expense!$D$2:$D$601&amp;Expense!$E$2:$E$601,Expense!$H$2:$H$601,"")</f>
        <v>300</v>
      </c>
      <c r="L245" s="14">
        <f t="shared" si="32"/>
        <v>2241</v>
      </c>
      <c r="M245" s="14">
        <f>Master_Table[[#This Row],[Expense Budget]]-Master_Table[[#This Row],[Actual Expense]]</f>
        <v>200</v>
      </c>
      <c r="N245" s="16">
        <f t="shared" si="33"/>
        <v>2941</v>
      </c>
      <c r="O245" s="29">
        <f t="shared" si="30"/>
        <v>500</v>
      </c>
      <c r="P245" s="16">
        <f t="shared" si="31"/>
        <v>2441</v>
      </c>
      <c r="Q245" s="28">
        <f>Master_Table[[#This Row],[△Sales Variance]]/Master_Table[[#This Row],[Sales Budget]]</f>
        <v>2.2410000000000001</v>
      </c>
      <c r="R245" s="28">
        <f>Master_Table[[#This Row],[△Expense  Variance]]/Master_Table[[#This Row],[Expense Budget]]</f>
        <v>0.4</v>
      </c>
      <c r="S245" s="28">
        <f>Master_Table[[#This Row],[Net Profit Variance]]/Master_Table[[#This Row],[Budget Net Profit]]</f>
        <v>4.8819999999999997</v>
      </c>
      <c r="T245" s="28">
        <f>Master_Table[[#This Row],[Actual Net Profit]]/Master_Table[[#This Row],[Actual Sales]]</f>
        <v>0.90743597655044739</v>
      </c>
      <c r="U245" s="28" t="str">
        <f>_xlfn.TEXTJOIN(" - ", TRUE, Master_Table[[#This Row],[Product]], Master_Table[[#This Row],[Branch]])</f>
        <v>Apple - Lagos</v>
      </c>
    </row>
    <row r="246" spans="1:21" ht="14.4" x14ac:dyDescent="0.3">
      <c r="A246" s="2">
        <v>245</v>
      </c>
      <c r="B246" s="2">
        <f t="shared" si="27"/>
        <v>104</v>
      </c>
      <c r="C246" s="1" t="str">
        <f>VLOOKUP(B246,Products!A:C,2,FALSE)</f>
        <v>Apple</v>
      </c>
      <c r="D246" s="1" t="str">
        <f t="shared" si="28"/>
        <v>Lagos</v>
      </c>
      <c r="E246" s="4" t="str">
        <f>_xlfn.XLOOKUP(D246,'Sales Manager'!$A$2:$A$6,'Sales Manager'!$B$2:$B$6,"")</f>
        <v>Adaora Okafor</v>
      </c>
      <c r="F246" s="3">
        <f t="shared" si="36"/>
        <v>5</v>
      </c>
      <c r="G246" s="1" t="str">
        <f t="shared" si="36"/>
        <v>May</v>
      </c>
      <c r="H246" s="11">
        <v>3000</v>
      </c>
      <c r="I246" s="11">
        <v>6654</v>
      </c>
      <c r="J246" s="11" cm="1">
        <f t="array" ref="J246">_xlfn.XLOOKUP(C246&amp;D246&amp;F246,Expense!$C$2:$C$601&amp;Expense!$D$2:$D$601&amp;Expense!$E$2:$E$601,Expense!$G$2:$G$601,"")</f>
        <v>600</v>
      </c>
      <c r="K246" s="11" cm="1">
        <f t="array" ref="K246">_xlfn.XLOOKUP(C246&amp;D246&amp;F246,Expense!$C$2:$C$601&amp;Expense!$D$2:$D$601&amp;Expense!$E$2:$E$601,Expense!$H$2:$H$601,"")</f>
        <v>300</v>
      </c>
      <c r="L246" s="14">
        <f t="shared" si="32"/>
        <v>3654</v>
      </c>
      <c r="M246" s="14">
        <f>Master_Table[[#This Row],[Expense Budget]]-Master_Table[[#This Row],[Actual Expense]]</f>
        <v>300</v>
      </c>
      <c r="N246" s="16">
        <f t="shared" si="33"/>
        <v>6354</v>
      </c>
      <c r="O246" s="29">
        <f t="shared" si="30"/>
        <v>2400</v>
      </c>
      <c r="P246" s="16">
        <f t="shared" si="31"/>
        <v>3954</v>
      </c>
      <c r="Q246" s="28">
        <f>Master_Table[[#This Row],[△Sales Variance]]/Master_Table[[#This Row],[Sales Budget]]</f>
        <v>1.218</v>
      </c>
      <c r="R246" s="28">
        <f>Master_Table[[#This Row],[△Expense  Variance]]/Master_Table[[#This Row],[Expense Budget]]</f>
        <v>0.5</v>
      </c>
      <c r="S246" s="28">
        <f>Master_Table[[#This Row],[Net Profit Variance]]/Master_Table[[#This Row],[Budget Net Profit]]</f>
        <v>1.6475</v>
      </c>
      <c r="T246" s="28">
        <f>Master_Table[[#This Row],[Actual Net Profit]]/Master_Table[[#This Row],[Actual Sales]]</f>
        <v>0.95491433724075747</v>
      </c>
      <c r="U246" s="28" t="str">
        <f>_xlfn.TEXTJOIN(" - ", TRUE, Master_Table[[#This Row],[Product]], Master_Table[[#This Row],[Branch]])</f>
        <v>Apple - Lagos</v>
      </c>
    </row>
    <row r="247" spans="1:21" ht="14.4" x14ac:dyDescent="0.3">
      <c r="A247" s="2">
        <v>246</v>
      </c>
      <c r="B247" s="2">
        <f t="shared" si="27"/>
        <v>104</v>
      </c>
      <c r="C247" s="1" t="str">
        <f>VLOOKUP(B247,Products!A:C,2,FALSE)</f>
        <v>Apple</v>
      </c>
      <c r="D247" s="1" t="str">
        <f t="shared" si="28"/>
        <v>Lagos</v>
      </c>
      <c r="E247" s="4" t="str">
        <f>_xlfn.XLOOKUP(D247,'Sales Manager'!$A$2:$A$6,'Sales Manager'!$B$2:$B$6,"")</f>
        <v>Adaora Okafor</v>
      </c>
      <c r="F247" s="3">
        <f t="shared" si="36"/>
        <v>6</v>
      </c>
      <c r="G247" s="1" t="str">
        <f t="shared" si="36"/>
        <v>Jun</v>
      </c>
      <c r="H247" s="11">
        <v>10000</v>
      </c>
      <c r="I247" s="11">
        <v>7756</v>
      </c>
      <c r="J247" s="11" cm="1">
        <f t="array" ref="J247">_xlfn.XLOOKUP(C247&amp;D247&amp;F247,Expense!$C$2:$C$601&amp;Expense!$D$2:$D$601&amp;Expense!$E$2:$E$601,Expense!$G$2:$G$601,"")</f>
        <v>3333.3333333333335</v>
      </c>
      <c r="K247" s="11" cm="1">
        <f t="array" ref="K247">_xlfn.XLOOKUP(C247&amp;D247&amp;F247,Expense!$C$2:$C$601&amp;Expense!$D$2:$D$601&amp;Expense!$E$2:$E$601,Expense!$H$2:$H$601,"")</f>
        <v>3133.3333333333335</v>
      </c>
      <c r="L247" s="14">
        <f t="shared" si="32"/>
        <v>-2244</v>
      </c>
      <c r="M247" s="14">
        <f>Master_Table[[#This Row],[Expense Budget]]-Master_Table[[#This Row],[Actual Expense]]</f>
        <v>200</v>
      </c>
      <c r="N247" s="16">
        <f t="shared" si="33"/>
        <v>4622.6666666666661</v>
      </c>
      <c r="O247" s="29">
        <f t="shared" si="30"/>
        <v>6666.6666666666661</v>
      </c>
      <c r="P247" s="16">
        <f t="shared" si="31"/>
        <v>-2044</v>
      </c>
      <c r="Q247" s="28">
        <f>Master_Table[[#This Row],[△Sales Variance]]/Master_Table[[#This Row],[Sales Budget]]</f>
        <v>-0.22439999999999999</v>
      </c>
      <c r="R247" s="28">
        <f>Master_Table[[#This Row],[△Expense  Variance]]/Master_Table[[#This Row],[Expense Budget]]</f>
        <v>0.06</v>
      </c>
      <c r="S247" s="28">
        <f>Master_Table[[#This Row],[Net Profit Variance]]/Master_Table[[#This Row],[Budget Net Profit]]</f>
        <v>-0.30660000000000004</v>
      </c>
      <c r="T247" s="28">
        <f>Master_Table[[#This Row],[Actual Net Profit]]/Master_Table[[#This Row],[Actual Sales]]</f>
        <v>0.5960116898745057</v>
      </c>
      <c r="U247" s="28" t="str">
        <f>_xlfn.TEXTJOIN(" - ", TRUE, Master_Table[[#This Row],[Product]], Master_Table[[#This Row],[Branch]])</f>
        <v>Apple - Lagos</v>
      </c>
    </row>
    <row r="248" spans="1:21" ht="14.4" x14ac:dyDescent="0.3">
      <c r="A248" s="2">
        <v>247</v>
      </c>
      <c r="B248" s="2">
        <f t="shared" si="27"/>
        <v>104</v>
      </c>
      <c r="C248" s="1" t="str">
        <f>VLOOKUP(B248,Products!A:C,2,FALSE)</f>
        <v>Apple</v>
      </c>
      <c r="D248" s="1" t="str">
        <f t="shared" si="28"/>
        <v>Lagos</v>
      </c>
      <c r="E248" s="4" t="str">
        <f>_xlfn.XLOOKUP(D248,'Sales Manager'!$A$2:$A$6,'Sales Manager'!$B$2:$B$6,"")</f>
        <v>Adaora Okafor</v>
      </c>
      <c r="F248" s="3">
        <f t="shared" si="36"/>
        <v>7</v>
      </c>
      <c r="G248" s="1" t="str">
        <f t="shared" si="36"/>
        <v>Jul</v>
      </c>
      <c r="H248" s="11">
        <v>1000</v>
      </c>
      <c r="I248" s="11">
        <v>2542</v>
      </c>
      <c r="J248" s="11" cm="1">
        <f t="array" ref="J248">_xlfn.XLOOKUP(C248&amp;D248&amp;F248,Expense!$C$2:$C$601&amp;Expense!$D$2:$D$601&amp;Expense!$E$2:$E$601,Expense!$G$2:$G$601,"")</f>
        <v>500</v>
      </c>
      <c r="K248" s="11" cm="1">
        <f t="array" ref="K248">_xlfn.XLOOKUP(C248&amp;D248&amp;F248,Expense!$C$2:$C$601&amp;Expense!$D$2:$D$601&amp;Expense!$E$2:$E$601,Expense!$H$2:$H$601,"")</f>
        <v>400</v>
      </c>
      <c r="L248" s="14">
        <f t="shared" si="32"/>
        <v>1542</v>
      </c>
      <c r="M248" s="14">
        <f>Master_Table[[#This Row],[Expense Budget]]-Master_Table[[#This Row],[Actual Expense]]</f>
        <v>100</v>
      </c>
      <c r="N248" s="16">
        <f t="shared" si="33"/>
        <v>2142</v>
      </c>
      <c r="O248" s="29">
        <f t="shared" si="30"/>
        <v>500</v>
      </c>
      <c r="P248" s="16">
        <f t="shared" si="31"/>
        <v>1642</v>
      </c>
      <c r="Q248" s="28">
        <f>Master_Table[[#This Row],[△Sales Variance]]/Master_Table[[#This Row],[Sales Budget]]</f>
        <v>1.542</v>
      </c>
      <c r="R248" s="28">
        <f>Master_Table[[#This Row],[△Expense  Variance]]/Master_Table[[#This Row],[Expense Budget]]</f>
        <v>0.2</v>
      </c>
      <c r="S248" s="28">
        <f>Master_Table[[#This Row],[Net Profit Variance]]/Master_Table[[#This Row],[Budget Net Profit]]</f>
        <v>3.2839999999999998</v>
      </c>
      <c r="T248" s="28">
        <f>Master_Table[[#This Row],[Actual Net Profit]]/Master_Table[[#This Row],[Actual Sales]]</f>
        <v>0.84264358772619985</v>
      </c>
      <c r="U248" s="28" t="str">
        <f>_xlfn.TEXTJOIN(" - ", TRUE, Master_Table[[#This Row],[Product]], Master_Table[[#This Row],[Branch]])</f>
        <v>Apple - Lagos</v>
      </c>
    </row>
    <row r="249" spans="1:21" ht="14.4" x14ac:dyDescent="0.3">
      <c r="A249" s="2">
        <v>248</v>
      </c>
      <c r="B249" s="2">
        <f t="shared" si="27"/>
        <v>104</v>
      </c>
      <c r="C249" s="1" t="str">
        <f>VLOOKUP(B249,Products!A:C,2,FALSE)</f>
        <v>Apple</v>
      </c>
      <c r="D249" s="1" t="str">
        <f t="shared" si="28"/>
        <v>Lagos</v>
      </c>
      <c r="E249" s="4" t="str">
        <f>_xlfn.XLOOKUP(D249,'Sales Manager'!$A$2:$A$6,'Sales Manager'!$B$2:$B$6,"")</f>
        <v>Adaora Okafor</v>
      </c>
      <c r="F249" s="3">
        <f t="shared" si="36"/>
        <v>8</v>
      </c>
      <c r="G249" s="1" t="str">
        <f t="shared" si="36"/>
        <v>Aug</v>
      </c>
      <c r="H249" s="11">
        <v>6000</v>
      </c>
      <c r="I249" s="11">
        <v>4769</v>
      </c>
      <c r="J249" s="11" cm="1">
        <f t="array" ref="J249">_xlfn.XLOOKUP(C249&amp;D249&amp;F249,Expense!$C$2:$C$601&amp;Expense!$D$2:$D$601&amp;Expense!$E$2:$E$601,Expense!$G$2:$G$601,"")</f>
        <v>1500</v>
      </c>
      <c r="K249" s="11" cm="1">
        <f t="array" ref="K249">_xlfn.XLOOKUP(C249&amp;D249&amp;F249,Expense!$C$2:$C$601&amp;Expense!$D$2:$D$601&amp;Expense!$E$2:$E$601,Expense!$H$2:$H$601,"")</f>
        <v>1200</v>
      </c>
      <c r="L249" s="14">
        <f t="shared" si="32"/>
        <v>-1231</v>
      </c>
      <c r="M249" s="14">
        <f>Master_Table[[#This Row],[Expense Budget]]-Master_Table[[#This Row],[Actual Expense]]</f>
        <v>300</v>
      </c>
      <c r="N249" s="16">
        <f t="shared" si="33"/>
        <v>3569</v>
      </c>
      <c r="O249" s="29">
        <f t="shared" si="30"/>
        <v>4500</v>
      </c>
      <c r="P249" s="16">
        <f t="shared" si="31"/>
        <v>-931</v>
      </c>
      <c r="Q249" s="28">
        <f>Master_Table[[#This Row],[△Sales Variance]]/Master_Table[[#This Row],[Sales Budget]]</f>
        <v>-0.20516666666666666</v>
      </c>
      <c r="R249" s="28">
        <f>Master_Table[[#This Row],[△Expense  Variance]]/Master_Table[[#This Row],[Expense Budget]]</f>
        <v>0.2</v>
      </c>
      <c r="S249" s="28">
        <f>Master_Table[[#This Row],[Net Profit Variance]]/Master_Table[[#This Row],[Budget Net Profit]]</f>
        <v>-0.2068888888888889</v>
      </c>
      <c r="T249" s="28">
        <f>Master_Table[[#This Row],[Actual Net Profit]]/Master_Table[[#This Row],[Actual Sales]]</f>
        <v>0.74837492136716288</v>
      </c>
      <c r="U249" s="28" t="str">
        <f>_xlfn.TEXTJOIN(" - ", TRUE, Master_Table[[#This Row],[Product]], Master_Table[[#This Row],[Branch]])</f>
        <v>Apple - Lagos</v>
      </c>
    </row>
    <row r="250" spans="1:21" ht="14.4" x14ac:dyDescent="0.3">
      <c r="A250" s="2">
        <v>249</v>
      </c>
      <c r="B250" s="2">
        <f t="shared" si="27"/>
        <v>104</v>
      </c>
      <c r="C250" s="1" t="str">
        <f>VLOOKUP(B250,Products!A:C,2,FALSE)</f>
        <v>Apple</v>
      </c>
      <c r="D250" s="1" t="str">
        <f t="shared" si="28"/>
        <v>Lagos</v>
      </c>
      <c r="E250" s="4" t="str">
        <f>_xlfn.XLOOKUP(D250,'Sales Manager'!$A$2:$A$6,'Sales Manager'!$B$2:$B$6,"")</f>
        <v>Adaora Okafor</v>
      </c>
      <c r="F250" s="3">
        <f t="shared" si="36"/>
        <v>9</v>
      </c>
      <c r="G250" s="1" t="str">
        <f t="shared" si="36"/>
        <v>Sept</v>
      </c>
      <c r="H250" s="11">
        <v>8000</v>
      </c>
      <c r="I250" s="11">
        <v>6244</v>
      </c>
      <c r="J250" s="11" cm="1">
        <f t="array" ref="J250">_xlfn.XLOOKUP(C250&amp;D250&amp;F250,Expense!$C$2:$C$601&amp;Expense!$D$2:$D$601&amp;Expense!$E$2:$E$601,Expense!$G$2:$G$601,"")</f>
        <v>4000</v>
      </c>
      <c r="K250" s="11" cm="1">
        <f t="array" ref="K250">_xlfn.XLOOKUP(C250&amp;D250&amp;F250,Expense!$C$2:$C$601&amp;Expense!$D$2:$D$601&amp;Expense!$E$2:$E$601,Expense!$H$2:$H$601,"")</f>
        <v>3700</v>
      </c>
      <c r="L250" s="14">
        <f t="shared" si="32"/>
        <v>-1756</v>
      </c>
      <c r="M250" s="14">
        <f>Master_Table[[#This Row],[Expense Budget]]-Master_Table[[#This Row],[Actual Expense]]</f>
        <v>300</v>
      </c>
      <c r="N250" s="16">
        <f t="shared" si="33"/>
        <v>2544</v>
      </c>
      <c r="O250" s="29">
        <f t="shared" si="30"/>
        <v>4000</v>
      </c>
      <c r="P250" s="16">
        <f t="shared" si="31"/>
        <v>-1456</v>
      </c>
      <c r="Q250" s="28">
        <f>Master_Table[[#This Row],[△Sales Variance]]/Master_Table[[#This Row],[Sales Budget]]</f>
        <v>-0.2195</v>
      </c>
      <c r="R250" s="28">
        <f>Master_Table[[#This Row],[△Expense  Variance]]/Master_Table[[#This Row],[Expense Budget]]</f>
        <v>7.4999999999999997E-2</v>
      </c>
      <c r="S250" s="28">
        <f>Master_Table[[#This Row],[Net Profit Variance]]/Master_Table[[#This Row],[Budget Net Profit]]</f>
        <v>-0.36399999999999999</v>
      </c>
      <c r="T250" s="28">
        <f>Master_Table[[#This Row],[Actual Net Profit]]/Master_Table[[#This Row],[Actual Sales]]</f>
        <v>0.40743113388853297</v>
      </c>
      <c r="U250" s="28" t="str">
        <f>_xlfn.TEXTJOIN(" - ", TRUE, Master_Table[[#This Row],[Product]], Master_Table[[#This Row],[Branch]])</f>
        <v>Apple - Lagos</v>
      </c>
    </row>
    <row r="251" spans="1:21" ht="14.4" x14ac:dyDescent="0.3">
      <c r="A251" s="2">
        <v>250</v>
      </c>
      <c r="B251" s="2">
        <f t="shared" si="27"/>
        <v>104</v>
      </c>
      <c r="C251" s="1" t="str">
        <f>VLOOKUP(B251,Products!A:C,2,FALSE)</f>
        <v>Apple</v>
      </c>
      <c r="D251" s="1" t="str">
        <f t="shared" si="28"/>
        <v>Lagos</v>
      </c>
      <c r="E251" s="4" t="str">
        <f>_xlfn.XLOOKUP(D251,'Sales Manager'!$A$2:$A$6,'Sales Manager'!$B$2:$B$6,"")</f>
        <v>Adaora Okafor</v>
      </c>
      <c r="F251" s="3">
        <f t="shared" si="36"/>
        <v>10</v>
      </c>
      <c r="G251" s="1" t="str">
        <f t="shared" si="36"/>
        <v>Oct</v>
      </c>
      <c r="H251" s="11">
        <v>3000</v>
      </c>
      <c r="I251" s="11">
        <v>4535</v>
      </c>
      <c r="J251" s="11" cm="1">
        <f t="array" ref="J251">_xlfn.XLOOKUP(C251&amp;D251&amp;F251,Expense!$C$2:$C$601&amp;Expense!$D$2:$D$601&amp;Expense!$E$2:$E$601,Expense!$G$2:$G$601,"")</f>
        <v>600</v>
      </c>
      <c r="K251" s="11" cm="1">
        <f t="array" ref="K251">_xlfn.XLOOKUP(C251&amp;D251&amp;F251,Expense!$C$2:$C$601&amp;Expense!$D$2:$D$601&amp;Expense!$E$2:$E$601,Expense!$H$2:$H$601,"")</f>
        <v>400</v>
      </c>
      <c r="L251" s="14">
        <f t="shared" si="32"/>
        <v>1535</v>
      </c>
      <c r="M251" s="14">
        <f>Master_Table[[#This Row],[Expense Budget]]-Master_Table[[#This Row],[Actual Expense]]</f>
        <v>200</v>
      </c>
      <c r="N251" s="16">
        <f t="shared" si="33"/>
        <v>4135</v>
      </c>
      <c r="O251" s="29">
        <f t="shared" si="30"/>
        <v>2400</v>
      </c>
      <c r="P251" s="16">
        <f t="shared" si="31"/>
        <v>1735</v>
      </c>
      <c r="Q251" s="28">
        <f>Master_Table[[#This Row],[△Sales Variance]]/Master_Table[[#This Row],[Sales Budget]]</f>
        <v>0.51166666666666671</v>
      </c>
      <c r="R251" s="28">
        <f>Master_Table[[#This Row],[△Expense  Variance]]/Master_Table[[#This Row],[Expense Budget]]</f>
        <v>0.33333333333333331</v>
      </c>
      <c r="S251" s="28">
        <f>Master_Table[[#This Row],[Net Profit Variance]]/Master_Table[[#This Row],[Budget Net Profit]]</f>
        <v>0.72291666666666665</v>
      </c>
      <c r="T251" s="28">
        <f>Master_Table[[#This Row],[Actual Net Profit]]/Master_Table[[#This Row],[Actual Sales]]</f>
        <v>0.91179713340683577</v>
      </c>
      <c r="U251" s="28" t="str">
        <f>_xlfn.TEXTJOIN(" - ", TRUE, Master_Table[[#This Row],[Product]], Master_Table[[#This Row],[Branch]])</f>
        <v>Apple - Lagos</v>
      </c>
    </row>
    <row r="252" spans="1:21" ht="14.4" x14ac:dyDescent="0.3">
      <c r="A252" s="2">
        <v>251</v>
      </c>
      <c r="B252" s="2">
        <f t="shared" si="27"/>
        <v>104</v>
      </c>
      <c r="C252" s="1" t="str">
        <f>VLOOKUP(B252,Products!A:C,2,FALSE)</f>
        <v>Apple</v>
      </c>
      <c r="D252" s="1" t="str">
        <f t="shared" si="28"/>
        <v>Lagos</v>
      </c>
      <c r="E252" s="4" t="str">
        <f>_xlfn.XLOOKUP(D252,'Sales Manager'!$A$2:$A$6,'Sales Manager'!$B$2:$B$6,"")</f>
        <v>Adaora Okafor</v>
      </c>
      <c r="F252" s="3">
        <f t="shared" si="36"/>
        <v>11</v>
      </c>
      <c r="G252" s="1" t="str">
        <f t="shared" si="36"/>
        <v>Nov</v>
      </c>
      <c r="H252" s="11">
        <v>1000</v>
      </c>
      <c r="I252" s="11">
        <v>5525</v>
      </c>
      <c r="J252" s="11" cm="1">
        <f t="array" ref="J252">_xlfn.XLOOKUP(C252&amp;D252&amp;F252,Expense!$C$2:$C$601&amp;Expense!$D$2:$D$601&amp;Expense!$E$2:$E$601,Expense!$G$2:$G$601,"")</f>
        <v>250</v>
      </c>
      <c r="K252" s="11" cm="1">
        <f t="array" ref="K252">_xlfn.XLOOKUP(C252&amp;D252&amp;F252,Expense!$C$2:$C$601&amp;Expense!$D$2:$D$601&amp;Expense!$E$2:$E$601,Expense!$H$2:$H$601,"")</f>
        <v>150</v>
      </c>
      <c r="L252" s="14">
        <f t="shared" si="32"/>
        <v>4525</v>
      </c>
      <c r="M252" s="14">
        <f>Master_Table[[#This Row],[Expense Budget]]-Master_Table[[#This Row],[Actual Expense]]</f>
        <v>100</v>
      </c>
      <c r="N252" s="16">
        <f t="shared" si="33"/>
        <v>5375</v>
      </c>
      <c r="O252" s="29">
        <f t="shared" si="30"/>
        <v>750</v>
      </c>
      <c r="P252" s="16">
        <f t="shared" si="31"/>
        <v>4625</v>
      </c>
      <c r="Q252" s="28">
        <f>Master_Table[[#This Row],[△Sales Variance]]/Master_Table[[#This Row],[Sales Budget]]</f>
        <v>4.5250000000000004</v>
      </c>
      <c r="R252" s="28">
        <f>Master_Table[[#This Row],[△Expense  Variance]]/Master_Table[[#This Row],[Expense Budget]]</f>
        <v>0.4</v>
      </c>
      <c r="S252" s="28">
        <f>Master_Table[[#This Row],[Net Profit Variance]]/Master_Table[[#This Row],[Budget Net Profit]]</f>
        <v>6.166666666666667</v>
      </c>
      <c r="T252" s="28">
        <f>Master_Table[[#This Row],[Actual Net Profit]]/Master_Table[[#This Row],[Actual Sales]]</f>
        <v>0.97285067873303166</v>
      </c>
      <c r="U252" s="28" t="str">
        <f>_xlfn.TEXTJOIN(" - ", TRUE, Master_Table[[#This Row],[Product]], Master_Table[[#This Row],[Branch]])</f>
        <v>Apple - Lagos</v>
      </c>
    </row>
    <row r="253" spans="1:21" ht="14.4" x14ac:dyDescent="0.3">
      <c r="A253" s="2">
        <v>252</v>
      </c>
      <c r="B253" s="2">
        <f t="shared" si="27"/>
        <v>104</v>
      </c>
      <c r="C253" s="1" t="str">
        <f>VLOOKUP(B253,Products!A:C,2,FALSE)</f>
        <v>Apple</v>
      </c>
      <c r="D253" s="1" t="str">
        <f t="shared" si="28"/>
        <v>Lagos</v>
      </c>
      <c r="E253" s="4" t="str">
        <f>_xlfn.XLOOKUP(D253,'Sales Manager'!$A$2:$A$6,'Sales Manager'!$B$2:$B$6,"")</f>
        <v>Adaora Okafor</v>
      </c>
      <c r="F253" s="3">
        <f t="shared" si="36"/>
        <v>12</v>
      </c>
      <c r="G253" s="1" t="str">
        <f t="shared" si="36"/>
        <v>Dec</v>
      </c>
      <c r="H253" s="11">
        <v>6000</v>
      </c>
      <c r="I253" s="11">
        <v>3454</v>
      </c>
      <c r="J253" s="11" cm="1">
        <f t="array" ref="J253">_xlfn.XLOOKUP(C253&amp;D253&amp;F253,Expense!$C$2:$C$601&amp;Expense!$D$2:$D$601&amp;Expense!$E$2:$E$601,Expense!$G$2:$G$601,"")</f>
        <v>1500</v>
      </c>
      <c r="K253" s="11" cm="1">
        <f t="array" ref="K253">_xlfn.XLOOKUP(C253&amp;D253&amp;F253,Expense!$C$2:$C$601&amp;Expense!$D$2:$D$601&amp;Expense!$E$2:$E$601,Expense!$H$2:$H$601,"")</f>
        <v>900</v>
      </c>
      <c r="L253" s="14">
        <f t="shared" si="32"/>
        <v>-2546</v>
      </c>
      <c r="M253" s="14">
        <f>Master_Table[[#This Row],[Expense Budget]]-Master_Table[[#This Row],[Actual Expense]]</f>
        <v>600</v>
      </c>
      <c r="N253" s="16">
        <f t="shared" si="33"/>
        <v>2554</v>
      </c>
      <c r="O253" s="29">
        <f t="shared" si="30"/>
        <v>4500</v>
      </c>
      <c r="P253" s="16">
        <f t="shared" si="31"/>
        <v>-1946</v>
      </c>
      <c r="Q253" s="28">
        <f>Master_Table[[#This Row],[△Sales Variance]]/Master_Table[[#This Row],[Sales Budget]]</f>
        <v>-0.42433333333333334</v>
      </c>
      <c r="R253" s="28">
        <f>Master_Table[[#This Row],[△Expense  Variance]]/Master_Table[[#This Row],[Expense Budget]]</f>
        <v>0.4</v>
      </c>
      <c r="S253" s="28">
        <f>Master_Table[[#This Row],[Net Profit Variance]]/Master_Table[[#This Row],[Budget Net Profit]]</f>
        <v>-0.43244444444444446</v>
      </c>
      <c r="T253" s="28">
        <f>Master_Table[[#This Row],[Actual Net Profit]]/Master_Table[[#This Row],[Actual Sales]]</f>
        <v>0.73943254198031272</v>
      </c>
      <c r="U253" s="28" t="str">
        <f>_xlfn.TEXTJOIN(" - ", TRUE, Master_Table[[#This Row],[Product]], Master_Table[[#This Row],[Branch]])</f>
        <v>Apple - Lagos</v>
      </c>
    </row>
    <row r="254" spans="1:21" ht="14.4" x14ac:dyDescent="0.3">
      <c r="A254" s="2">
        <v>253</v>
      </c>
      <c r="B254" s="2">
        <f t="shared" si="27"/>
        <v>104</v>
      </c>
      <c r="C254" s="1" t="str">
        <f>VLOOKUP(B254,Products!A:C,2,FALSE)</f>
        <v>Apple</v>
      </c>
      <c r="D254" s="1" t="str">
        <f t="shared" si="28"/>
        <v>Abuja</v>
      </c>
      <c r="E254" s="4" t="str">
        <f>_xlfn.XLOOKUP(D254,'Sales Manager'!$A$2:$A$6,'Sales Manager'!$B$2:$B$6,"")</f>
        <v>Emeka Nwosu</v>
      </c>
      <c r="F254" s="3">
        <f t="shared" si="36"/>
        <v>1</v>
      </c>
      <c r="G254" s="1" t="str">
        <f t="shared" si="36"/>
        <v>Jan</v>
      </c>
      <c r="H254" s="11">
        <v>6000</v>
      </c>
      <c r="I254" s="11">
        <v>4315</v>
      </c>
      <c r="J254" s="11" cm="1">
        <f t="array" ref="J254">_xlfn.XLOOKUP(C254&amp;D254&amp;F254,Expense!$C$2:$C$601&amp;Expense!$D$2:$D$601&amp;Expense!$E$2:$E$601,Expense!$G$2:$G$601,"")</f>
        <v>1500</v>
      </c>
      <c r="K254" s="11" cm="1">
        <f t="array" ref="K254">_xlfn.XLOOKUP(C254&amp;D254&amp;F254,Expense!$C$2:$C$601&amp;Expense!$D$2:$D$601&amp;Expense!$E$2:$E$601,Expense!$H$2:$H$601,"")</f>
        <v>1300</v>
      </c>
      <c r="L254" s="14">
        <f t="shared" si="32"/>
        <v>-1685</v>
      </c>
      <c r="M254" s="14">
        <f>Master_Table[[#This Row],[Expense Budget]]-Master_Table[[#This Row],[Actual Expense]]</f>
        <v>200</v>
      </c>
      <c r="N254" s="16">
        <f t="shared" si="33"/>
        <v>3015</v>
      </c>
      <c r="O254" s="29">
        <f t="shared" si="30"/>
        <v>4500</v>
      </c>
      <c r="P254" s="16">
        <f t="shared" si="31"/>
        <v>-1485</v>
      </c>
      <c r="Q254" s="28">
        <f>Master_Table[[#This Row],[△Sales Variance]]/Master_Table[[#This Row],[Sales Budget]]</f>
        <v>-0.28083333333333332</v>
      </c>
      <c r="R254" s="28">
        <f>Master_Table[[#This Row],[△Expense  Variance]]/Master_Table[[#This Row],[Expense Budget]]</f>
        <v>0.13333333333333333</v>
      </c>
      <c r="S254" s="28">
        <f>Master_Table[[#This Row],[Net Profit Variance]]/Master_Table[[#This Row],[Budget Net Profit]]</f>
        <v>-0.33</v>
      </c>
      <c r="T254" s="28">
        <f>Master_Table[[#This Row],[Actual Net Profit]]/Master_Table[[#This Row],[Actual Sales]]</f>
        <v>0.69872537659327927</v>
      </c>
      <c r="U254" s="28" t="str">
        <f>_xlfn.TEXTJOIN(" - ", TRUE, Master_Table[[#This Row],[Product]], Master_Table[[#This Row],[Branch]])</f>
        <v>Apple - Abuja</v>
      </c>
    </row>
    <row r="255" spans="1:21" ht="14.4" x14ac:dyDescent="0.3">
      <c r="A255" s="2">
        <v>254</v>
      </c>
      <c r="B255" s="2">
        <f t="shared" ref="B255:B318" si="37">B195+1</f>
        <v>104</v>
      </c>
      <c r="C255" s="1" t="str">
        <f>VLOOKUP(B255,Products!A:C,2,FALSE)</f>
        <v>Apple</v>
      </c>
      <c r="D255" s="1" t="str">
        <f t="shared" ref="D255:D318" si="38">D195</f>
        <v>Abuja</v>
      </c>
      <c r="E255" s="4" t="str">
        <f>_xlfn.XLOOKUP(D255,'Sales Manager'!$A$2:$A$6,'Sales Manager'!$B$2:$B$6,"")</f>
        <v>Emeka Nwosu</v>
      </c>
      <c r="F255" s="3">
        <f t="shared" ref="F255:G270" si="39">F243</f>
        <v>2</v>
      </c>
      <c r="G255" s="1" t="str">
        <f t="shared" si="39"/>
        <v>Feb</v>
      </c>
      <c r="H255" s="11">
        <v>2000</v>
      </c>
      <c r="I255" s="11">
        <v>2452</v>
      </c>
      <c r="J255" s="11" cm="1">
        <f t="array" ref="J255">_xlfn.XLOOKUP(C255&amp;D255&amp;F255,Expense!$C$2:$C$601&amp;Expense!$D$2:$D$601&amp;Expense!$E$2:$E$601,Expense!$G$2:$G$601,"")</f>
        <v>666.66666666666663</v>
      </c>
      <c r="K255" s="11" cm="1">
        <f t="array" ref="K255">_xlfn.XLOOKUP(C255&amp;D255&amp;F255,Expense!$C$2:$C$601&amp;Expense!$D$2:$D$601&amp;Expense!$E$2:$E$601,Expense!$H$2:$H$601,"")</f>
        <v>266.66666666666663</v>
      </c>
      <c r="L255" s="14">
        <f t="shared" si="32"/>
        <v>452</v>
      </c>
      <c r="M255" s="14">
        <f>Master_Table[[#This Row],[Expense Budget]]-Master_Table[[#This Row],[Actual Expense]]</f>
        <v>400</v>
      </c>
      <c r="N255" s="16">
        <f t="shared" si="33"/>
        <v>2185.3333333333335</v>
      </c>
      <c r="O255" s="29">
        <f t="shared" si="30"/>
        <v>1333.3333333333335</v>
      </c>
      <c r="P255" s="16">
        <f t="shared" si="31"/>
        <v>852</v>
      </c>
      <c r="Q255" s="28">
        <f>Master_Table[[#This Row],[△Sales Variance]]/Master_Table[[#This Row],[Sales Budget]]</f>
        <v>0.22600000000000001</v>
      </c>
      <c r="R255" s="28">
        <f>Master_Table[[#This Row],[△Expense  Variance]]/Master_Table[[#This Row],[Expense Budget]]</f>
        <v>0.60000000000000009</v>
      </c>
      <c r="S255" s="28">
        <f>Master_Table[[#This Row],[Net Profit Variance]]/Master_Table[[#This Row],[Budget Net Profit]]</f>
        <v>0.6389999999999999</v>
      </c>
      <c r="T255" s="28">
        <f>Master_Table[[#This Row],[Actual Net Profit]]/Master_Table[[#This Row],[Actual Sales]]</f>
        <v>0.89124524197933663</v>
      </c>
      <c r="U255" s="28" t="str">
        <f>_xlfn.TEXTJOIN(" - ", TRUE, Master_Table[[#This Row],[Product]], Master_Table[[#This Row],[Branch]])</f>
        <v>Apple - Abuja</v>
      </c>
    </row>
    <row r="256" spans="1:21" ht="14.4" x14ac:dyDescent="0.3">
      <c r="A256" s="2">
        <v>255</v>
      </c>
      <c r="B256" s="2">
        <f t="shared" si="37"/>
        <v>104</v>
      </c>
      <c r="C256" s="1" t="str">
        <f>VLOOKUP(B256,Products!A:C,2,FALSE)</f>
        <v>Apple</v>
      </c>
      <c r="D256" s="1" t="str">
        <f t="shared" si="38"/>
        <v>Abuja</v>
      </c>
      <c r="E256" s="4" t="str">
        <f>_xlfn.XLOOKUP(D256,'Sales Manager'!$A$2:$A$6,'Sales Manager'!$B$2:$B$6,"")</f>
        <v>Emeka Nwosu</v>
      </c>
      <c r="F256" s="3">
        <f t="shared" si="39"/>
        <v>3</v>
      </c>
      <c r="G256" s="1" t="str">
        <f t="shared" si="39"/>
        <v>Mar</v>
      </c>
      <c r="H256" s="11">
        <v>6000</v>
      </c>
      <c r="I256" s="11">
        <v>6432</v>
      </c>
      <c r="J256" s="11" cm="1">
        <f t="array" ref="J256">_xlfn.XLOOKUP(C256&amp;D256&amp;F256,Expense!$C$2:$C$601&amp;Expense!$D$2:$D$601&amp;Expense!$E$2:$E$601,Expense!$G$2:$G$601,"")</f>
        <v>2000</v>
      </c>
      <c r="K256" s="11" cm="1">
        <f t="array" ref="K256">_xlfn.XLOOKUP(C256&amp;D256&amp;F256,Expense!$C$2:$C$601&amp;Expense!$D$2:$D$601&amp;Expense!$E$2:$E$601,Expense!$H$2:$H$601,"")</f>
        <v>1500</v>
      </c>
      <c r="L256" s="14">
        <f t="shared" si="32"/>
        <v>432</v>
      </c>
      <c r="M256" s="14">
        <f>Master_Table[[#This Row],[Expense Budget]]-Master_Table[[#This Row],[Actual Expense]]</f>
        <v>500</v>
      </c>
      <c r="N256" s="16">
        <f t="shared" si="33"/>
        <v>4932</v>
      </c>
      <c r="O256" s="29">
        <f t="shared" si="30"/>
        <v>4000</v>
      </c>
      <c r="P256" s="16">
        <f t="shared" si="31"/>
        <v>932</v>
      </c>
      <c r="Q256" s="28">
        <f>Master_Table[[#This Row],[△Sales Variance]]/Master_Table[[#This Row],[Sales Budget]]</f>
        <v>7.1999999999999995E-2</v>
      </c>
      <c r="R256" s="28">
        <f>Master_Table[[#This Row],[△Expense  Variance]]/Master_Table[[#This Row],[Expense Budget]]</f>
        <v>0.25</v>
      </c>
      <c r="S256" s="28">
        <f>Master_Table[[#This Row],[Net Profit Variance]]/Master_Table[[#This Row],[Budget Net Profit]]</f>
        <v>0.23300000000000001</v>
      </c>
      <c r="T256" s="28">
        <f>Master_Table[[#This Row],[Actual Net Profit]]/Master_Table[[#This Row],[Actual Sales]]</f>
        <v>0.76679104477611937</v>
      </c>
      <c r="U256" s="28" t="str">
        <f>_xlfn.TEXTJOIN(" - ", TRUE, Master_Table[[#This Row],[Product]], Master_Table[[#This Row],[Branch]])</f>
        <v>Apple - Abuja</v>
      </c>
    </row>
    <row r="257" spans="1:21" ht="14.4" x14ac:dyDescent="0.3">
      <c r="A257" s="2">
        <v>256</v>
      </c>
      <c r="B257" s="2">
        <f t="shared" si="37"/>
        <v>104</v>
      </c>
      <c r="C257" s="1" t="str">
        <f>VLOOKUP(B257,Products!A:C,2,FALSE)</f>
        <v>Apple</v>
      </c>
      <c r="D257" s="1" t="str">
        <f t="shared" si="38"/>
        <v>Abuja</v>
      </c>
      <c r="E257" s="4" t="str">
        <f>_xlfn.XLOOKUP(D257,'Sales Manager'!$A$2:$A$6,'Sales Manager'!$B$2:$B$6,"")</f>
        <v>Emeka Nwosu</v>
      </c>
      <c r="F257" s="3">
        <f t="shared" si="39"/>
        <v>4</v>
      </c>
      <c r="G257" s="1" t="str">
        <f t="shared" si="39"/>
        <v>Apr</v>
      </c>
      <c r="H257" s="11">
        <v>5000</v>
      </c>
      <c r="I257" s="11">
        <v>6444</v>
      </c>
      <c r="J257" s="11" cm="1">
        <f t="array" ref="J257">_xlfn.XLOOKUP(C257&amp;D257&amp;F257,Expense!$C$2:$C$601&amp;Expense!$D$2:$D$601&amp;Expense!$E$2:$E$601,Expense!$G$2:$G$601,"")</f>
        <v>1666.6666666666667</v>
      </c>
      <c r="K257" s="11" cm="1">
        <f t="array" ref="K257">_xlfn.XLOOKUP(C257&amp;D257&amp;F257,Expense!$C$2:$C$601&amp;Expense!$D$2:$D$601&amp;Expense!$E$2:$E$601,Expense!$H$2:$H$601,"")</f>
        <v>1166.6666666666667</v>
      </c>
      <c r="L257" s="14">
        <f t="shared" si="32"/>
        <v>1444</v>
      </c>
      <c r="M257" s="14">
        <f>Master_Table[[#This Row],[Expense Budget]]-Master_Table[[#This Row],[Actual Expense]]</f>
        <v>500</v>
      </c>
      <c r="N257" s="16">
        <f t="shared" si="33"/>
        <v>5277.333333333333</v>
      </c>
      <c r="O257" s="29">
        <f t="shared" si="30"/>
        <v>3333.333333333333</v>
      </c>
      <c r="P257" s="16">
        <f t="shared" si="31"/>
        <v>1944</v>
      </c>
      <c r="Q257" s="28">
        <f>Master_Table[[#This Row],[△Sales Variance]]/Master_Table[[#This Row],[Sales Budget]]</f>
        <v>0.2888</v>
      </c>
      <c r="R257" s="28">
        <f>Master_Table[[#This Row],[△Expense  Variance]]/Master_Table[[#This Row],[Expense Budget]]</f>
        <v>0.3</v>
      </c>
      <c r="S257" s="28">
        <f>Master_Table[[#This Row],[Net Profit Variance]]/Master_Table[[#This Row],[Budget Net Profit]]</f>
        <v>0.58320000000000005</v>
      </c>
      <c r="T257" s="28">
        <f>Master_Table[[#This Row],[Actual Net Profit]]/Master_Table[[#This Row],[Actual Sales]]</f>
        <v>0.81895303124353402</v>
      </c>
      <c r="U257" s="28" t="str">
        <f>_xlfn.TEXTJOIN(" - ", TRUE, Master_Table[[#This Row],[Product]], Master_Table[[#This Row],[Branch]])</f>
        <v>Apple - Abuja</v>
      </c>
    </row>
    <row r="258" spans="1:21" ht="14.4" x14ac:dyDescent="0.3">
      <c r="A258" s="2">
        <v>257</v>
      </c>
      <c r="B258" s="2">
        <f t="shared" si="37"/>
        <v>104</v>
      </c>
      <c r="C258" s="1" t="str">
        <f>VLOOKUP(B258,Products!A:C,2,FALSE)</f>
        <v>Apple</v>
      </c>
      <c r="D258" s="1" t="str">
        <f t="shared" si="38"/>
        <v>Abuja</v>
      </c>
      <c r="E258" s="4" t="str">
        <f>_xlfn.XLOOKUP(D258,'Sales Manager'!$A$2:$A$6,'Sales Manager'!$B$2:$B$6,"")</f>
        <v>Emeka Nwosu</v>
      </c>
      <c r="F258" s="3">
        <f t="shared" si="39"/>
        <v>5</v>
      </c>
      <c r="G258" s="1" t="str">
        <f t="shared" si="39"/>
        <v>May</v>
      </c>
      <c r="H258" s="11">
        <v>5000</v>
      </c>
      <c r="I258" s="11">
        <v>6382</v>
      </c>
      <c r="J258" s="11" cm="1">
        <f t="array" ref="J258">_xlfn.XLOOKUP(C258&amp;D258&amp;F258,Expense!$C$2:$C$601&amp;Expense!$D$2:$D$601&amp;Expense!$E$2:$E$601,Expense!$G$2:$G$601,"")</f>
        <v>1250</v>
      </c>
      <c r="K258" s="11" cm="1">
        <f t="array" ref="K258">_xlfn.XLOOKUP(C258&amp;D258&amp;F258,Expense!$C$2:$C$601&amp;Expense!$D$2:$D$601&amp;Expense!$E$2:$E$601,Expense!$H$2:$H$601,"")</f>
        <v>750</v>
      </c>
      <c r="L258" s="14">
        <f t="shared" si="32"/>
        <v>1382</v>
      </c>
      <c r="M258" s="14">
        <f>Master_Table[[#This Row],[Expense Budget]]-Master_Table[[#This Row],[Actual Expense]]</f>
        <v>500</v>
      </c>
      <c r="N258" s="16">
        <f t="shared" si="33"/>
        <v>5632</v>
      </c>
      <c r="O258" s="29">
        <f t="shared" ref="O258:O321" si="40">H258-J258</f>
        <v>3750</v>
      </c>
      <c r="P258" s="16">
        <f t="shared" ref="P258:P321" si="41">N258-O258</f>
        <v>1882</v>
      </c>
      <c r="Q258" s="28">
        <f>Master_Table[[#This Row],[△Sales Variance]]/Master_Table[[#This Row],[Sales Budget]]</f>
        <v>0.27639999999999998</v>
      </c>
      <c r="R258" s="28">
        <f>Master_Table[[#This Row],[△Expense  Variance]]/Master_Table[[#This Row],[Expense Budget]]</f>
        <v>0.4</v>
      </c>
      <c r="S258" s="28">
        <f>Master_Table[[#This Row],[Net Profit Variance]]/Master_Table[[#This Row],[Budget Net Profit]]</f>
        <v>0.50186666666666668</v>
      </c>
      <c r="T258" s="28">
        <f>Master_Table[[#This Row],[Actual Net Profit]]/Master_Table[[#This Row],[Actual Sales]]</f>
        <v>0.8824819805703541</v>
      </c>
      <c r="U258" s="28" t="str">
        <f>_xlfn.TEXTJOIN(" - ", TRUE, Master_Table[[#This Row],[Product]], Master_Table[[#This Row],[Branch]])</f>
        <v>Apple - Abuja</v>
      </c>
    </row>
    <row r="259" spans="1:21" ht="14.4" x14ac:dyDescent="0.3">
      <c r="A259" s="2">
        <v>258</v>
      </c>
      <c r="B259" s="2">
        <f t="shared" si="37"/>
        <v>104</v>
      </c>
      <c r="C259" s="1" t="str">
        <f>VLOOKUP(B259,Products!A:C,2,FALSE)</f>
        <v>Apple</v>
      </c>
      <c r="D259" s="1" t="str">
        <f t="shared" si="38"/>
        <v>Abuja</v>
      </c>
      <c r="E259" s="4" t="str">
        <f>_xlfn.XLOOKUP(D259,'Sales Manager'!$A$2:$A$6,'Sales Manager'!$B$2:$B$6,"")</f>
        <v>Emeka Nwosu</v>
      </c>
      <c r="F259" s="3">
        <f t="shared" si="39"/>
        <v>6</v>
      </c>
      <c r="G259" s="1" t="str">
        <f t="shared" si="39"/>
        <v>Jun</v>
      </c>
      <c r="H259" s="11">
        <v>5000</v>
      </c>
      <c r="I259" s="11">
        <v>5272</v>
      </c>
      <c r="J259" s="11" cm="1">
        <f t="array" ref="J259">_xlfn.XLOOKUP(C259&amp;D259&amp;F259,Expense!$C$2:$C$601&amp;Expense!$D$2:$D$601&amp;Expense!$E$2:$E$601,Expense!$G$2:$G$601,"")</f>
        <v>1666.6666666666667</v>
      </c>
      <c r="K259" s="11" cm="1">
        <f t="array" ref="K259">_xlfn.XLOOKUP(C259&amp;D259&amp;F259,Expense!$C$2:$C$601&amp;Expense!$D$2:$D$601&amp;Expense!$E$2:$E$601,Expense!$H$2:$H$601,"")</f>
        <v>1466.6666666666667</v>
      </c>
      <c r="L259" s="14">
        <f t="shared" ref="L259:L322" si="42">I259-H259</f>
        <v>272</v>
      </c>
      <c r="M259" s="14">
        <f>Master_Table[[#This Row],[Expense Budget]]-Master_Table[[#This Row],[Actual Expense]]</f>
        <v>200</v>
      </c>
      <c r="N259" s="16">
        <f t="shared" ref="N259:N322" si="43">I259-K259</f>
        <v>3805.333333333333</v>
      </c>
      <c r="O259" s="29">
        <f t="shared" si="40"/>
        <v>3333.333333333333</v>
      </c>
      <c r="P259" s="16">
        <f t="shared" si="41"/>
        <v>472</v>
      </c>
      <c r="Q259" s="28">
        <f>Master_Table[[#This Row],[△Sales Variance]]/Master_Table[[#This Row],[Sales Budget]]</f>
        <v>5.4399999999999997E-2</v>
      </c>
      <c r="R259" s="28">
        <f>Master_Table[[#This Row],[△Expense  Variance]]/Master_Table[[#This Row],[Expense Budget]]</f>
        <v>0.12</v>
      </c>
      <c r="S259" s="28">
        <f>Master_Table[[#This Row],[Net Profit Variance]]/Master_Table[[#This Row],[Budget Net Profit]]</f>
        <v>0.1416</v>
      </c>
      <c r="T259" s="28">
        <f>Master_Table[[#This Row],[Actual Net Profit]]/Master_Table[[#This Row],[Actual Sales]]</f>
        <v>0.72180070814365194</v>
      </c>
      <c r="U259" s="28" t="str">
        <f>_xlfn.TEXTJOIN(" - ", TRUE, Master_Table[[#This Row],[Product]], Master_Table[[#This Row],[Branch]])</f>
        <v>Apple - Abuja</v>
      </c>
    </row>
    <row r="260" spans="1:21" ht="14.4" x14ac:dyDescent="0.3">
      <c r="A260" s="2">
        <v>259</v>
      </c>
      <c r="B260" s="2">
        <f t="shared" si="37"/>
        <v>104</v>
      </c>
      <c r="C260" s="1" t="str">
        <f>VLOOKUP(B260,Products!A:C,2,FALSE)</f>
        <v>Apple</v>
      </c>
      <c r="D260" s="1" t="str">
        <f t="shared" si="38"/>
        <v>Abuja</v>
      </c>
      <c r="E260" s="4" t="str">
        <f>_xlfn.XLOOKUP(D260,'Sales Manager'!$A$2:$A$6,'Sales Manager'!$B$2:$B$6,"")</f>
        <v>Emeka Nwosu</v>
      </c>
      <c r="F260" s="3">
        <f t="shared" si="39"/>
        <v>7</v>
      </c>
      <c r="G260" s="1" t="str">
        <f t="shared" si="39"/>
        <v>Jul</v>
      </c>
      <c r="H260" s="11">
        <v>5000</v>
      </c>
      <c r="I260" s="11">
        <v>6174</v>
      </c>
      <c r="J260" s="11" cm="1">
        <f t="array" ref="J260">_xlfn.XLOOKUP(C260&amp;D260&amp;F260,Expense!$C$2:$C$601&amp;Expense!$D$2:$D$601&amp;Expense!$E$2:$E$601,Expense!$G$2:$G$601,"")</f>
        <v>1666.6666666666667</v>
      </c>
      <c r="K260" s="11" cm="1">
        <f t="array" ref="K260">_xlfn.XLOOKUP(C260&amp;D260&amp;F260,Expense!$C$2:$C$601&amp;Expense!$D$2:$D$601&amp;Expense!$E$2:$E$601,Expense!$H$2:$H$601,"")</f>
        <v>1366.6666666666667</v>
      </c>
      <c r="L260" s="14">
        <f t="shared" si="42"/>
        <v>1174</v>
      </c>
      <c r="M260" s="14">
        <f>Master_Table[[#This Row],[Expense Budget]]-Master_Table[[#This Row],[Actual Expense]]</f>
        <v>300</v>
      </c>
      <c r="N260" s="16">
        <f t="shared" si="43"/>
        <v>4807.333333333333</v>
      </c>
      <c r="O260" s="29">
        <f t="shared" si="40"/>
        <v>3333.333333333333</v>
      </c>
      <c r="P260" s="16">
        <f t="shared" si="41"/>
        <v>1474</v>
      </c>
      <c r="Q260" s="28">
        <f>Master_Table[[#This Row],[△Sales Variance]]/Master_Table[[#This Row],[Sales Budget]]</f>
        <v>0.23480000000000001</v>
      </c>
      <c r="R260" s="28">
        <f>Master_Table[[#This Row],[△Expense  Variance]]/Master_Table[[#This Row],[Expense Budget]]</f>
        <v>0.18</v>
      </c>
      <c r="S260" s="28">
        <f>Master_Table[[#This Row],[Net Profit Variance]]/Master_Table[[#This Row],[Budget Net Profit]]</f>
        <v>0.44220000000000004</v>
      </c>
      <c r="T260" s="28">
        <f>Master_Table[[#This Row],[Actual Net Profit]]/Master_Table[[#This Row],[Actual Sales]]</f>
        <v>0.77864161537630916</v>
      </c>
      <c r="U260" s="28" t="str">
        <f>_xlfn.TEXTJOIN(" - ", TRUE, Master_Table[[#This Row],[Product]], Master_Table[[#This Row],[Branch]])</f>
        <v>Apple - Abuja</v>
      </c>
    </row>
    <row r="261" spans="1:21" ht="14.4" x14ac:dyDescent="0.3">
      <c r="A261" s="2">
        <v>260</v>
      </c>
      <c r="B261" s="2">
        <f t="shared" si="37"/>
        <v>104</v>
      </c>
      <c r="C261" s="1" t="str">
        <f>VLOOKUP(B261,Products!A:C,2,FALSE)</f>
        <v>Apple</v>
      </c>
      <c r="D261" s="1" t="str">
        <f t="shared" si="38"/>
        <v>Abuja</v>
      </c>
      <c r="E261" s="4" t="str">
        <f>_xlfn.XLOOKUP(D261,'Sales Manager'!$A$2:$A$6,'Sales Manager'!$B$2:$B$6,"")</f>
        <v>Emeka Nwosu</v>
      </c>
      <c r="F261" s="3">
        <f t="shared" si="39"/>
        <v>8</v>
      </c>
      <c r="G261" s="1" t="str">
        <f t="shared" si="39"/>
        <v>Aug</v>
      </c>
      <c r="H261" s="11">
        <v>2000</v>
      </c>
      <c r="I261" s="11">
        <v>2873</v>
      </c>
      <c r="J261" s="11" cm="1">
        <f t="array" ref="J261">_xlfn.XLOOKUP(C261&amp;D261&amp;F261,Expense!$C$2:$C$601&amp;Expense!$D$2:$D$601&amp;Expense!$E$2:$E$601,Expense!$G$2:$G$601,"")</f>
        <v>666.66666666666663</v>
      </c>
      <c r="K261" s="11" cm="1">
        <f t="array" ref="K261">_xlfn.XLOOKUP(C261&amp;D261&amp;F261,Expense!$C$2:$C$601&amp;Expense!$D$2:$D$601&amp;Expense!$E$2:$E$601,Expense!$H$2:$H$601,"")</f>
        <v>666.66666666666663</v>
      </c>
      <c r="L261" s="14">
        <f t="shared" si="42"/>
        <v>873</v>
      </c>
      <c r="M261" s="14">
        <f>Master_Table[[#This Row],[Expense Budget]]-Master_Table[[#This Row],[Actual Expense]]</f>
        <v>0</v>
      </c>
      <c r="N261" s="16">
        <f t="shared" si="43"/>
        <v>2206.3333333333335</v>
      </c>
      <c r="O261" s="29">
        <f t="shared" si="40"/>
        <v>1333.3333333333335</v>
      </c>
      <c r="P261" s="16">
        <f t="shared" si="41"/>
        <v>873</v>
      </c>
      <c r="Q261" s="28">
        <f>Master_Table[[#This Row],[△Sales Variance]]/Master_Table[[#This Row],[Sales Budget]]</f>
        <v>0.4365</v>
      </c>
      <c r="R261" s="28">
        <f>Master_Table[[#This Row],[△Expense  Variance]]/Master_Table[[#This Row],[Expense Budget]]</f>
        <v>0</v>
      </c>
      <c r="S261" s="28">
        <f>Master_Table[[#This Row],[Net Profit Variance]]/Master_Table[[#This Row],[Budget Net Profit]]</f>
        <v>0.65474999999999994</v>
      </c>
      <c r="T261" s="28">
        <f>Master_Table[[#This Row],[Actual Net Profit]]/Master_Table[[#This Row],[Actual Sales]]</f>
        <v>0.76795451908574086</v>
      </c>
      <c r="U261" s="28" t="str">
        <f>_xlfn.TEXTJOIN(" - ", TRUE, Master_Table[[#This Row],[Product]], Master_Table[[#This Row],[Branch]])</f>
        <v>Apple - Abuja</v>
      </c>
    </row>
    <row r="262" spans="1:21" ht="14.4" x14ac:dyDescent="0.3">
      <c r="A262" s="2">
        <v>261</v>
      </c>
      <c r="B262" s="2">
        <f t="shared" si="37"/>
        <v>104</v>
      </c>
      <c r="C262" s="1" t="str">
        <f>VLOOKUP(B262,Products!A:C,2,FALSE)</f>
        <v>Apple</v>
      </c>
      <c r="D262" s="1" t="str">
        <f t="shared" si="38"/>
        <v>Abuja</v>
      </c>
      <c r="E262" s="4" t="str">
        <f>_xlfn.XLOOKUP(D262,'Sales Manager'!$A$2:$A$6,'Sales Manager'!$B$2:$B$6,"")</f>
        <v>Emeka Nwosu</v>
      </c>
      <c r="F262" s="3">
        <f t="shared" si="39"/>
        <v>9</v>
      </c>
      <c r="G262" s="1" t="str">
        <f t="shared" si="39"/>
        <v>Sept</v>
      </c>
      <c r="H262" s="11">
        <v>4000</v>
      </c>
      <c r="I262" s="11">
        <v>2666</v>
      </c>
      <c r="J262" s="11" cm="1">
        <f t="array" ref="J262">_xlfn.XLOOKUP(C262&amp;D262&amp;F262,Expense!$C$2:$C$601&amp;Expense!$D$2:$D$601&amp;Expense!$E$2:$E$601,Expense!$G$2:$G$601,"")</f>
        <v>800</v>
      </c>
      <c r="K262" s="11" cm="1">
        <f t="array" ref="K262">_xlfn.XLOOKUP(C262&amp;D262&amp;F262,Expense!$C$2:$C$601&amp;Expense!$D$2:$D$601&amp;Expense!$E$2:$E$601,Expense!$H$2:$H$601,"")</f>
        <v>600</v>
      </c>
      <c r="L262" s="14">
        <f t="shared" si="42"/>
        <v>-1334</v>
      </c>
      <c r="M262" s="14">
        <f>Master_Table[[#This Row],[Expense Budget]]-Master_Table[[#This Row],[Actual Expense]]</f>
        <v>200</v>
      </c>
      <c r="N262" s="16">
        <f t="shared" si="43"/>
        <v>2066</v>
      </c>
      <c r="O262" s="29">
        <f t="shared" si="40"/>
        <v>3200</v>
      </c>
      <c r="P262" s="16">
        <f t="shared" si="41"/>
        <v>-1134</v>
      </c>
      <c r="Q262" s="28">
        <f>Master_Table[[#This Row],[△Sales Variance]]/Master_Table[[#This Row],[Sales Budget]]</f>
        <v>-0.33350000000000002</v>
      </c>
      <c r="R262" s="28">
        <f>Master_Table[[#This Row],[△Expense  Variance]]/Master_Table[[#This Row],[Expense Budget]]</f>
        <v>0.25</v>
      </c>
      <c r="S262" s="28">
        <f>Master_Table[[#This Row],[Net Profit Variance]]/Master_Table[[#This Row],[Budget Net Profit]]</f>
        <v>-0.354375</v>
      </c>
      <c r="T262" s="28">
        <f>Master_Table[[#This Row],[Actual Net Profit]]/Master_Table[[#This Row],[Actual Sales]]</f>
        <v>0.77494373593398347</v>
      </c>
      <c r="U262" s="28" t="str">
        <f>_xlfn.TEXTJOIN(" - ", TRUE, Master_Table[[#This Row],[Product]], Master_Table[[#This Row],[Branch]])</f>
        <v>Apple - Abuja</v>
      </c>
    </row>
    <row r="263" spans="1:21" ht="14.4" x14ac:dyDescent="0.3">
      <c r="A263" s="2">
        <v>262</v>
      </c>
      <c r="B263" s="2">
        <f t="shared" si="37"/>
        <v>104</v>
      </c>
      <c r="C263" s="1" t="str">
        <f>VLOOKUP(B263,Products!A:C,2,FALSE)</f>
        <v>Apple</v>
      </c>
      <c r="D263" s="1" t="str">
        <f t="shared" si="38"/>
        <v>Abuja</v>
      </c>
      <c r="E263" s="4" t="str">
        <f>_xlfn.XLOOKUP(D263,'Sales Manager'!$A$2:$A$6,'Sales Manager'!$B$2:$B$6,"")</f>
        <v>Emeka Nwosu</v>
      </c>
      <c r="F263" s="3">
        <f t="shared" si="39"/>
        <v>10</v>
      </c>
      <c r="G263" s="1" t="str">
        <f t="shared" si="39"/>
        <v>Oct</v>
      </c>
      <c r="H263" s="11">
        <v>3000</v>
      </c>
      <c r="I263" s="11">
        <v>3242</v>
      </c>
      <c r="J263" s="11" cm="1">
        <f t="array" ref="J263">_xlfn.XLOOKUP(C263&amp;D263&amp;F263,Expense!$C$2:$C$601&amp;Expense!$D$2:$D$601&amp;Expense!$E$2:$E$601,Expense!$G$2:$G$601,"")</f>
        <v>1500</v>
      </c>
      <c r="K263" s="11" cm="1">
        <f t="array" ref="K263">_xlfn.XLOOKUP(C263&amp;D263&amp;F263,Expense!$C$2:$C$601&amp;Expense!$D$2:$D$601&amp;Expense!$E$2:$E$601,Expense!$H$2:$H$601,"")</f>
        <v>1500</v>
      </c>
      <c r="L263" s="14">
        <f t="shared" si="42"/>
        <v>242</v>
      </c>
      <c r="M263" s="14">
        <f>Master_Table[[#This Row],[Expense Budget]]-Master_Table[[#This Row],[Actual Expense]]</f>
        <v>0</v>
      </c>
      <c r="N263" s="16">
        <f t="shared" si="43"/>
        <v>1742</v>
      </c>
      <c r="O263" s="29">
        <f t="shared" si="40"/>
        <v>1500</v>
      </c>
      <c r="P263" s="16">
        <f t="shared" si="41"/>
        <v>242</v>
      </c>
      <c r="Q263" s="28">
        <f>Master_Table[[#This Row],[△Sales Variance]]/Master_Table[[#This Row],[Sales Budget]]</f>
        <v>8.0666666666666664E-2</v>
      </c>
      <c r="R263" s="28">
        <f>Master_Table[[#This Row],[△Expense  Variance]]/Master_Table[[#This Row],[Expense Budget]]</f>
        <v>0</v>
      </c>
      <c r="S263" s="28">
        <f>Master_Table[[#This Row],[Net Profit Variance]]/Master_Table[[#This Row],[Budget Net Profit]]</f>
        <v>0.16133333333333333</v>
      </c>
      <c r="T263" s="28">
        <f>Master_Table[[#This Row],[Actual Net Profit]]/Master_Table[[#This Row],[Actual Sales]]</f>
        <v>0.53732264034546573</v>
      </c>
      <c r="U263" s="28" t="str">
        <f>_xlfn.TEXTJOIN(" - ", TRUE, Master_Table[[#This Row],[Product]], Master_Table[[#This Row],[Branch]])</f>
        <v>Apple - Abuja</v>
      </c>
    </row>
    <row r="264" spans="1:21" ht="14.4" x14ac:dyDescent="0.3">
      <c r="A264" s="2">
        <v>263</v>
      </c>
      <c r="B264" s="2">
        <f t="shared" si="37"/>
        <v>104</v>
      </c>
      <c r="C264" s="1" t="str">
        <f>VLOOKUP(B264,Products!A:C,2,FALSE)</f>
        <v>Apple</v>
      </c>
      <c r="D264" s="1" t="str">
        <f t="shared" si="38"/>
        <v>Abuja</v>
      </c>
      <c r="E264" s="4" t="str">
        <f>_xlfn.XLOOKUP(D264,'Sales Manager'!$A$2:$A$6,'Sales Manager'!$B$2:$B$6,"")</f>
        <v>Emeka Nwosu</v>
      </c>
      <c r="F264" s="3">
        <f t="shared" si="39"/>
        <v>11</v>
      </c>
      <c r="G264" s="1" t="str">
        <f t="shared" si="39"/>
        <v>Nov</v>
      </c>
      <c r="H264" s="11">
        <v>2000</v>
      </c>
      <c r="I264" s="11">
        <v>7299</v>
      </c>
      <c r="J264" s="11" cm="1">
        <f t="array" ref="J264">_xlfn.XLOOKUP(C264&amp;D264&amp;F264,Expense!$C$2:$C$601&amp;Expense!$D$2:$D$601&amp;Expense!$E$2:$E$601,Expense!$G$2:$G$601,"")</f>
        <v>500</v>
      </c>
      <c r="K264" s="11" cm="1">
        <f t="array" ref="K264">_xlfn.XLOOKUP(C264&amp;D264&amp;F264,Expense!$C$2:$C$601&amp;Expense!$D$2:$D$601&amp;Expense!$E$2:$E$601,Expense!$H$2:$H$601,"")</f>
        <v>300</v>
      </c>
      <c r="L264" s="14">
        <f t="shared" si="42"/>
        <v>5299</v>
      </c>
      <c r="M264" s="14">
        <f>Master_Table[[#This Row],[Expense Budget]]-Master_Table[[#This Row],[Actual Expense]]</f>
        <v>200</v>
      </c>
      <c r="N264" s="16">
        <f t="shared" si="43"/>
        <v>6999</v>
      </c>
      <c r="O264" s="29">
        <f t="shared" si="40"/>
        <v>1500</v>
      </c>
      <c r="P264" s="16">
        <f t="shared" si="41"/>
        <v>5499</v>
      </c>
      <c r="Q264" s="28">
        <f>Master_Table[[#This Row],[△Sales Variance]]/Master_Table[[#This Row],[Sales Budget]]</f>
        <v>2.6495000000000002</v>
      </c>
      <c r="R264" s="28">
        <f>Master_Table[[#This Row],[△Expense  Variance]]/Master_Table[[#This Row],[Expense Budget]]</f>
        <v>0.4</v>
      </c>
      <c r="S264" s="28">
        <f>Master_Table[[#This Row],[Net Profit Variance]]/Master_Table[[#This Row],[Budget Net Profit]]</f>
        <v>3.6659999999999999</v>
      </c>
      <c r="T264" s="28">
        <f>Master_Table[[#This Row],[Actual Net Profit]]/Master_Table[[#This Row],[Actual Sales]]</f>
        <v>0.95889847924373206</v>
      </c>
      <c r="U264" s="28" t="str">
        <f>_xlfn.TEXTJOIN(" - ", TRUE, Master_Table[[#This Row],[Product]], Master_Table[[#This Row],[Branch]])</f>
        <v>Apple - Abuja</v>
      </c>
    </row>
    <row r="265" spans="1:21" ht="14.4" x14ac:dyDescent="0.3">
      <c r="A265" s="2">
        <v>264</v>
      </c>
      <c r="B265" s="2">
        <f t="shared" si="37"/>
        <v>104</v>
      </c>
      <c r="C265" s="1" t="str">
        <f>VLOOKUP(B265,Products!A:C,2,FALSE)</f>
        <v>Apple</v>
      </c>
      <c r="D265" s="1" t="str">
        <f t="shared" si="38"/>
        <v>Abuja</v>
      </c>
      <c r="E265" s="4" t="str">
        <f>_xlfn.XLOOKUP(D265,'Sales Manager'!$A$2:$A$6,'Sales Manager'!$B$2:$B$6,"")</f>
        <v>Emeka Nwosu</v>
      </c>
      <c r="F265" s="3">
        <f t="shared" si="39"/>
        <v>12</v>
      </c>
      <c r="G265" s="1" t="str">
        <f t="shared" si="39"/>
        <v>Dec</v>
      </c>
      <c r="H265" s="11">
        <v>7000</v>
      </c>
      <c r="I265" s="11">
        <v>6155</v>
      </c>
      <c r="J265" s="11" cm="1">
        <f t="array" ref="J265">_xlfn.XLOOKUP(C265&amp;D265&amp;F265,Expense!$C$2:$C$601&amp;Expense!$D$2:$D$601&amp;Expense!$E$2:$E$601,Expense!$G$2:$G$601,"")</f>
        <v>1400</v>
      </c>
      <c r="K265" s="11" cm="1">
        <f t="array" ref="K265">_xlfn.XLOOKUP(C265&amp;D265&amp;F265,Expense!$C$2:$C$601&amp;Expense!$D$2:$D$601&amp;Expense!$E$2:$E$601,Expense!$H$2:$H$601,"")</f>
        <v>1200</v>
      </c>
      <c r="L265" s="14">
        <f t="shared" si="42"/>
        <v>-845</v>
      </c>
      <c r="M265" s="14">
        <f>Master_Table[[#This Row],[Expense Budget]]-Master_Table[[#This Row],[Actual Expense]]</f>
        <v>200</v>
      </c>
      <c r="N265" s="16">
        <f t="shared" si="43"/>
        <v>4955</v>
      </c>
      <c r="O265" s="29">
        <f t="shared" si="40"/>
        <v>5600</v>
      </c>
      <c r="P265" s="16">
        <f t="shared" si="41"/>
        <v>-645</v>
      </c>
      <c r="Q265" s="28">
        <f>Master_Table[[#This Row],[△Sales Variance]]/Master_Table[[#This Row],[Sales Budget]]</f>
        <v>-0.12071428571428572</v>
      </c>
      <c r="R265" s="28">
        <f>Master_Table[[#This Row],[△Expense  Variance]]/Master_Table[[#This Row],[Expense Budget]]</f>
        <v>0.14285714285714285</v>
      </c>
      <c r="S265" s="28">
        <f>Master_Table[[#This Row],[Net Profit Variance]]/Master_Table[[#This Row],[Budget Net Profit]]</f>
        <v>-0.11517857142857142</v>
      </c>
      <c r="T265" s="28">
        <f>Master_Table[[#This Row],[Actual Net Profit]]/Master_Table[[#This Row],[Actual Sales]]</f>
        <v>0.80503655564581644</v>
      </c>
      <c r="U265" s="28" t="str">
        <f>_xlfn.TEXTJOIN(" - ", TRUE, Master_Table[[#This Row],[Product]], Master_Table[[#This Row],[Branch]])</f>
        <v>Apple - Abuja</v>
      </c>
    </row>
    <row r="266" spans="1:21" ht="14.4" x14ac:dyDescent="0.3">
      <c r="A266" s="2">
        <v>265</v>
      </c>
      <c r="B266" s="2">
        <f t="shared" si="37"/>
        <v>104</v>
      </c>
      <c r="C266" s="1" t="str">
        <f>VLOOKUP(B266,Products!A:C,2,FALSE)</f>
        <v>Apple</v>
      </c>
      <c r="D266" s="1" t="str">
        <f t="shared" si="38"/>
        <v>Warri</v>
      </c>
      <c r="E266" s="4" t="str">
        <f>_xlfn.XLOOKUP(D266,'Sales Manager'!$A$2:$A$6,'Sales Manager'!$B$2:$B$6,"")</f>
        <v>Gbenga Adesanya</v>
      </c>
      <c r="F266" s="3">
        <f t="shared" si="39"/>
        <v>1</v>
      </c>
      <c r="G266" s="1" t="str">
        <f t="shared" si="39"/>
        <v>Jan</v>
      </c>
      <c r="H266" s="11">
        <v>5000</v>
      </c>
      <c r="I266" s="11">
        <v>7456</v>
      </c>
      <c r="J266" s="11" cm="1">
        <f t="array" ref="J266">_xlfn.XLOOKUP(C266&amp;D266&amp;F266,Expense!$C$2:$C$601&amp;Expense!$D$2:$D$601&amp;Expense!$E$2:$E$601,Expense!$G$2:$G$601,"")</f>
        <v>1000</v>
      </c>
      <c r="K266" s="11" cm="1">
        <f t="array" ref="K266">_xlfn.XLOOKUP(C266&amp;D266&amp;F266,Expense!$C$2:$C$601&amp;Expense!$D$2:$D$601&amp;Expense!$E$2:$E$601,Expense!$H$2:$H$601,"")</f>
        <v>700</v>
      </c>
      <c r="L266" s="14">
        <f t="shared" si="42"/>
        <v>2456</v>
      </c>
      <c r="M266" s="14">
        <f>Master_Table[[#This Row],[Expense Budget]]-Master_Table[[#This Row],[Actual Expense]]</f>
        <v>300</v>
      </c>
      <c r="N266" s="16">
        <f t="shared" si="43"/>
        <v>6756</v>
      </c>
      <c r="O266" s="29">
        <f t="shared" si="40"/>
        <v>4000</v>
      </c>
      <c r="P266" s="16">
        <f t="shared" si="41"/>
        <v>2756</v>
      </c>
      <c r="Q266" s="28">
        <f>Master_Table[[#This Row],[△Sales Variance]]/Master_Table[[#This Row],[Sales Budget]]</f>
        <v>0.49120000000000003</v>
      </c>
      <c r="R266" s="28">
        <f>Master_Table[[#This Row],[△Expense  Variance]]/Master_Table[[#This Row],[Expense Budget]]</f>
        <v>0.3</v>
      </c>
      <c r="S266" s="28">
        <f>Master_Table[[#This Row],[Net Profit Variance]]/Master_Table[[#This Row],[Budget Net Profit]]</f>
        <v>0.68899999999999995</v>
      </c>
      <c r="T266" s="28">
        <f>Master_Table[[#This Row],[Actual Net Profit]]/Master_Table[[#This Row],[Actual Sales]]</f>
        <v>0.9061158798283262</v>
      </c>
      <c r="U266" s="28" t="str">
        <f>_xlfn.TEXTJOIN(" - ", TRUE, Master_Table[[#This Row],[Product]], Master_Table[[#This Row],[Branch]])</f>
        <v>Apple - Warri</v>
      </c>
    </row>
    <row r="267" spans="1:21" ht="14.4" x14ac:dyDescent="0.3">
      <c r="A267" s="2">
        <v>266</v>
      </c>
      <c r="B267" s="2">
        <f t="shared" si="37"/>
        <v>104</v>
      </c>
      <c r="C267" s="1" t="str">
        <f>VLOOKUP(B267,Products!A:C,2,FALSE)</f>
        <v>Apple</v>
      </c>
      <c r="D267" s="1" t="str">
        <f t="shared" si="38"/>
        <v>Warri</v>
      </c>
      <c r="E267" s="4" t="str">
        <f>_xlfn.XLOOKUP(D267,'Sales Manager'!$A$2:$A$6,'Sales Manager'!$B$2:$B$6,"")</f>
        <v>Gbenga Adesanya</v>
      </c>
      <c r="F267" s="3">
        <f t="shared" si="39"/>
        <v>2</v>
      </c>
      <c r="G267" s="1" t="str">
        <f t="shared" si="39"/>
        <v>Feb</v>
      </c>
      <c r="H267" s="11">
        <v>9000</v>
      </c>
      <c r="I267" s="11">
        <v>4631</v>
      </c>
      <c r="J267" s="11" cm="1">
        <f t="array" ref="J267">_xlfn.XLOOKUP(C267&amp;D267&amp;F267,Expense!$C$2:$C$601&amp;Expense!$D$2:$D$601&amp;Expense!$E$2:$E$601,Expense!$G$2:$G$601,"")</f>
        <v>1800</v>
      </c>
      <c r="K267" s="11" cm="1">
        <f t="array" ref="K267">_xlfn.XLOOKUP(C267&amp;D267&amp;F267,Expense!$C$2:$C$601&amp;Expense!$D$2:$D$601&amp;Expense!$E$2:$E$601,Expense!$H$2:$H$601,"")</f>
        <v>1700</v>
      </c>
      <c r="L267" s="14">
        <f t="shared" si="42"/>
        <v>-4369</v>
      </c>
      <c r="M267" s="14">
        <f>Master_Table[[#This Row],[Expense Budget]]-Master_Table[[#This Row],[Actual Expense]]</f>
        <v>100</v>
      </c>
      <c r="N267" s="16">
        <f t="shared" si="43"/>
        <v>2931</v>
      </c>
      <c r="O267" s="29">
        <f t="shared" si="40"/>
        <v>7200</v>
      </c>
      <c r="P267" s="16">
        <f t="shared" si="41"/>
        <v>-4269</v>
      </c>
      <c r="Q267" s="28">
        <f>Master_Table[[#This Row],[△Sales Variance]]/Master_Table[[#This Row],[Sales Budget]]</f>
        <v>-0.48544444444444446</v>
      </c>
      <c r="R267" s="28">
        <f>Master_Table[[#This Row],[△Expense  Variance]]/Master_Table[[#This Row],[Expense Budget]]</f>
        <v>5.5555555555555552E-2</v>
      </c>
      <c r="S267" s="28">
        <f>Master_Table[[#This Row],[Net Profit Variance]]/Master_Table[[#This Row],[Budget Net Profit]]</f>
        <v>-0.59291666666666665</v>
      </c>
      <c r="T267" s="28">
        <f>Master_Table[[#This Row],[Actual Net Profit]]/Master_Table[[#This Row],[Actual Sales]]</f>
        <v>0.63290865903692506</v>
      </c>
      <c r="U267" s="28" t="str">
        <f>_xlfn.TEXTJOIN(" - ", TRUE, Master_Table[[#This Row],[Product]], Master_Table[[#This Row],[Branch]])</f>
        <v>Apple - Warri</v>
      </c>
    </row>
    <row r="268" spans="1:21" ht="14.4" x14ac:dyDescent="0.3">
      <c r="A268" s="2">
        <v>267</v>
      </c>
      <c r="B268" s="2">
        <f t="shared" si="37"/>
        <v>104</v>
      </c>
      <c r="C268" s="1" t="str">
        <f>VLOOKUP(B268,Products!A:C,2,FALSE)</f>
        <v>Apple</v>
      </c>
      <c r="D268" s="1" t="str">
        <f t="shared" si="38"/>
        <v>Warri</v>
      </c>
      <c r="E268" s="4" t="str">
        <f>_xlfn.XLOOKUP(D268,'Sales Manager'!$A$2:$A$6,'Sales Manager'!$B$2:$B$6,"")</f>
        <v>Gbenga Adesanya</v>
      </c>
      <c r="F268" s="3">
        <f t="shared" si="39"/>
        <v>3</v>
      </c>
      <c r="G268" s="1" t="str">
        <f t="shared" si="39"/>
        <v>Mar</v>
      </c>
      <c r="H268" s="11">
        <v>1000</v>
      </c>
      <c r="I268" s="11">
        <v>5133</v>
      </c>
      <c r="J268" s="11" cm="1">
        <f t="array" ref="J268">_xlfn.XLOOKUP(C268&amp;D268&amp;F268,Expense!$C$2:$C$601&amp;Expense!$D$2:$D$601&amp;Expense!$E$2:$E$601,Expense!$G$2:$G$601,"")</f>
        <v>333.33333333333331</v>
      </c>
      <c r="K268" s="11" cm="1">
        <f t="array" ref="K268">_xlfn.XLOOKUP(C268&amp;D268&amp;F268,Expense!$C$2:$C$601&amp;Expense!$D$2:$D$601&amp;Expense!$E$2:$E$601,Expense!$H$2:$H$601,"")</f>
        <v>333.33333333333331</v>
      </c>
      <c r="L268" s="14">
        <f t="shared" si="42"/>
        <v>4133</v>
      </c>
      <c r="M268" s="14">
        <f>Master_Table[[#This Row],[Expense Budget]]-Master_Table[[#This Row],[Actual Expense]]</f>
        <v>0</v>
      </c>
      <c r="N268" s="16">
        <f t="shared" si="43"/>
        <v>4799.666666666667</v>
      </c>
      <c r="O268" s="29">
        <f t="shared" si="40"/>
        <v>666.66666666666674</v>
      </c>
      <c r="P268" s="16">
        <f t="shared" si="41"/>
        <v>4133</v>
      </c>
      <c r="Q268" s="28">
        <f>Master_Table[[#This Row],[△Sales Variance]]/Master_Table[[#This Row],[Sales Budget]]</f>
        <v>4.133</v>
      </c>
      <c r="R268" s="28">
        <f>Master_Table[[#This Row],[△Expense  Variance]]/Master_Table[[#This Row],[Expense Budget]]</f>
        <v>0</v>
      </c>
      <c r="S268" s="28">
        <f>Master_Table[[#This Row],[Net Profit Variance]]/Master_Table[[#This Row],[Budget Net Profit]]</f>
        <v>6.1994999999999996</v>
      </c>
      <c r="T268" s="28">
        <f>Master_Table[[#This Row],[Actual Net Profit]]/Master_Table[[#This Row],[Actual Sales]]</f>
        <v>0.93506071822845649</v>
      </c>
      <c r="U268" s="28" t="str">
        <f>_xlfn.TEXTJOIN(" - ", TRUE, Master_Table[[#This Row],[Product]], Master_Table[[#This Row],[Branch]])</f>
        <v>Apple - Warri</v>
      </c>
    </row>
    <row r="269" spans="1:21" ht="14.4" x14ac:dyDescent="0.3">
      <c r="A269" s="2">
        <v>268</v>
      </c>
      <c r="B269" s="2">
        <f t="shared" si="37"/>
        <v>104</v>
      </c>
      <c r="C269" s="1" t="str">
        <f>VLOOKUP(B269,Products!A:C,2,FALSE)</f>
        <v>Apple</v>
      </c>
      <c r="D269" s="1" t="str">
        <f t="shared" si="38"/>
        <v>Warri</v>
      </c>
      <c r="E269" s="4" t="str">
        <f>_xlfn.XLOOKUP(D269,'Sales Manager'!$A$2:$A$6,'Sales Manager'!$B$2:$B$6,"")</f>
        <v>Gbenga Adesanya</v>
      </c>
      <c r="F269" s="3">
        <f t="shared" si="39"/>
        <v>4</v>
      </c>
      <c r="G269" s="1" t="str">
        <f t="shared" si="39"/>
        <v>Apr</v>
      </c>
      <c r="H269" s="11">
        <v>4000</v>
      </c>
      <c r="I269" s="11">
        <v>4221</v>
      </c>
      <c r="J269" s="11" cm="1">
        <f t="array" ref="J269">_xlfn.XLOOKUP(C269&amp;D269&amp;F269,Expense!$C$2:$C$601&amp;Expense!$D$2:$D$601&amp;Expense!$E$2:$E$601,Expense!$G$2:$G$601,"")</f>
        <v>1333.3333333333333</v>
      </c>
      <c r="K269" s="11" cm="1">
        <f t="array" ref="K269">_xlfn.XLOOKUP(C269&amp;D269&amp;F269,Expense!$C$2:$C$601&amp;Expense!$D$2:$D$601&amp;Expense!$E$2:$E$601,Expense!$H$2:$H$601,"")</f>
        <v>733.33333333333326</v>
      </c>
      <c r="L269" s="14">
        <f t="shared" si="42"/>
        <v>221</v>
      </c>
      <c r="M269" s="14">
        <f>Master_Table[[#This Row],[Expense Budget]]-Master_Table[[#This Row],[Actual Expense]]</f>
        <v>600</v>
      </c>
      <c r="N269" s="16">
        <f t="shared" si="43"/>
        <v>3487.666666666667</v>
      </c>
      <c r="O269" s="29">
        <f t="shared" si="40"/>
        <v>2666.666666666667</v>
      </c>
      <c r="P269" s="16">
        <f t="shared" si="41"/>
        <v>821</v>
      </c>
      <c r="Q269" s="28">
        <f>Master_Table[[#This Row],[△Sales Variance]]/Master_Table[[#This Row],[Sales Budget]]</f>
        <v>5.525E-2</v>
      </c>
      <c r="R269" s="28">
        <f>Master_Table[[#This Row],[△Expense  Variance]]/Master_Table[[#This Row],[Expense Budget]]</f>
        <v>0.45</v>
      </c>
      <c r="S269" s="28">
        <f>Master_Table[[#This Row],[Net Profit Variance]]/Master_Table[[#This Row],[Budget Net Profit]]</f>
        <v>0.30787499999999995</v>
      </c>
      <c r="T269" s="28">
        <f>Master_Table[[#This Row],[Actual Net Profit]]/Master_Table[[#This Row],[Actual Sales]]</f>
        <v>0.82626549790728898</v>
      </c>
      <c r="U269" s="28" t="str">
        <f>_xlfn.TEXTJOIN(" - ", TRUE, Master_Table[[#This Row],[Product]], Master_Table[[#This Row],[Branch]])</f>
        <v>Apple - Warri</v>
      </c>
    </row>
    <row r="270" spans="1:21" ht="14.4" x14ac:dyDescent="0.3">
      <c r="A270" s="2">
        <v>269</v>
      </c>
      <c r="B270" s="2">
        <f t="shared" si="37"/>
        <v>104</v>
      </c>
      <c r="C270" s="1" t="str">
        <f>VLOOKUP(B270,Products!A:C,2,FALSE)</f>
        <v>Apple</v>
      </c>
      <c r="D270" s="1" t="str">
        <f t="shared" si="38"/>
        <v>Warri</v>
      </c>
      <c r="E270" s="4" t="str">
        <f>_xlfn.XLOOKUP(D270,'Sales Manager'!$A$2:$A$6,'Sales Manager'!$B$2:$B$6,"")</f>
        <v>Gbenga Adesanya</v>
      </c>
      <c r="F270" s="3">
        <f t="shared" si="39"/>
        <v>5</v>
      </c>
      <c r="G270" s="1" t="str">
        <f t="shared" si="39"/>
        <v>May</v>
      </c>
      <c r="H270" s="11">
        <v>7000</v>
      </c>
      <c r="I270" s="11">
        <v>3532</v>
      </c>
      <c r="J270" s="11" cm="1">
        <f t="array" ref="J270">_xlfn.XLOOKUP(C270&amp;D270&amp;F270,Expense!$C$2:$C$601&amp;Expense!$D$2:$D$601&amp;Expense!$E$2:$E$601,Expense!$G$2:$G$601,"")</f>
        <v>3500</v>
      </c>
      <c r="K270" s="11" cm="1">
        <f t="array" ref="K270">_xlfn.XLOOKUP(C270&amp;D270&amp;F270,Expense!$C$2:$C$601&amp;Expense!$D$2:$D$601&amp;Expense!$E$2:$E$601,Expense!$H$2:$H$601,"")</f>
        <v>3200</v>
      </c>
      <c r="L270" s="14">
        <f t="shared" si="42"/>
        <v>-3468</v>
      </c>
      <c r="M270" s="14">
        <f>Master_Table[[#This Row],[Expense Budget]]-Master_Table[[#This Row],[Actual Expense]]</f>
        <v>300</v>
      </c>
      <c r="N270" s="16">
        <f t="shared" si="43"/>
        <v>332</v>
      </c>
      <c r="O270" s="29">
        <f t="shared" si="40"/>
        <v>3500</v>
      </c>
      <c r="P270" s="16">
        <f t="shared" si="41"/>
        <v>-3168</v>
      </c>
      <c r="Q270" s="28">
        <f>Master_Table[[#This Row],[△Sales Variance]]/Master_Table[[#This Row],[Sales Budget]]</f>
        <v>-0.49542857142857144</v>
      </c>
      <c r="R270" s="28">
        <f>Master_Table[[#This Row],[△Expense  Variance]]/Master_Table[[#This Row],[Expense Budget]]</f>
        <v>8.5714285714285715E-2</v>
      </c>
      <c r="S270" s="28">
        <f>Master_Table[[#This Row],[Net Profit Variance]]/Master_Table[[#This Row],[Budget Net Profit]]</f>
        <v>-0.90514285714285714</v>
      </c>
      <c r="T270" s="28">
        <f>Master_Table[[#This Row],[Actual Net Profit]]/Master_Table[[#This Row],[Actual Sales]]</f>
        <v>9.3997734994337487E-2</v>
      </c>
      <c r="U270" s="28" t="str">
        <f>_xlfn.TEXTJOIN(" - ", TRUE, Master_Table[[#This Row],[Product]], Master_Table[[#This Row],[Branch]])</f>
        <v>Apple - Warri</v>
      </c>
    </row>
    <row r="271" spans="1:21" ht="14.4" x14ac:dyDescent="0.3">
      <c r="A271" s="2">
        <v>270</v>
      </c>
      <c r="B271" s="2">
        <f t="shared" si="37"/>
        <v>104</v>
      </c>
      <c r="C271" s="1" t="str">
        <f>VLOOKUP(B271,Products!A:C,2,FALSE)</f>
        <v>Apple</v>
      </c>
      <c r="D271" s="1" t="str">
        <f t="shared" si="38"/>
        <v>Warri</v>
      </c>
      <c r="E271" s="4" t="str">
        <f>_xlfn.XLOOKUP(D271,'Sales Manager'!$A$2:$A$6,'Sales Manager'!$B$2:$B$6,"")</f>
        <v>Gbenga Adesanya</v>
      </c>
      <c r="F271" s="3">
        <f t="shared" ref="F271:G286" si="44">F259</f>
        <v>6</v>
      </c>
      <c r="G271" s="1" t="str">
        <f t="shared" si="44"/>
        <v>Jun</v>
      </c>
      <c r="H271" s="11">
        <v>7000</v>
      </c>
      <c r="I271" s="11">
        <v>3154</v>
      </c>
      <c r="J271" s="11" cm="1">
        <f t="array" ref="J271">_xlfn.XLOOKUP(C271&amp;D271&amp;F271,Expense!$C$2:$C$601&amp;Expense!$D$2:$D$601&amp;Expense!$E$2:$E$601,Expense!$G$2:$G$601,"")</f>
        <v>3500</v>
      </c>
      <c r="K271" s="11" cm="1">
        <f t="array" ref="K271">_xlfn.XLOOKUP(C271&amp;D271&amp;F271,Expense!$C$2:$C$601&amp;Expense!$D$2:$D$601&amp;Expense!$E$2:$E$601,Expense!$H$2:$H$601,"")</f>
        <v>3100</v>
      </c>
      <c r="L271" s="14">
        <f t="shared" si="42"/>
        <v>-3846</v>
      </c>
      <c r="M271" s="14">
        <f>Master_Table[[#This Row],[Expense Budget]]-Master_Table[[#This Row],[Actual Expense]]</f>
        <v>400</v>
      </c>
      <c r="N271" s="16">
        <f t="shared" si="43"/>
        <v>54</v>
      </c>
      <c r="O271" s="29">
        <f t="shared" si="40"/>
        <v>3500</v>
      </c>
      <c r="P271" s="16">
        <f t="shared" si="41"/>
        <v>-3446</v>
      </c>
      <c r="Q271" s="28">
        <f>Master_Table[[#This Row],[△Sales Variance]]/Master_Table[[#This Row],[Sales Budget]]</f>
        <v>-0.54942857142857138</v>
      </c>
      <c r="R271" s="28">
        <f>Master_Table[[#This Row],[△Expense  Variance]]/Master_Table[[#This Row],[Expense Budget]]</f>
        <v>0.11428571428571428</v>
      </c>
      <c r="S271" s="28">
        <f>Master_Table[[#This Row],[Net Profit Variance]]/Master_Table[[#This Row],[Budget Net Profit]]</f>
        <v>-0.98457142857142854</v>
      </c>
      <c r="T271" s="28">
        <f>Master_Table[[#This Row],[Actual Net Profit]]/Master_Table[[#This Row],[Actual Sales]]</f>
        <v>1.7121116043119847E-2</v>
      </c>
      <c r="U271" s="28" t="str">
        <f>_xlfn.TEXTJOIN(" - ", TRUE, Master_Table[[#This Row],[Product]], Master_Table[[#This Row],[Branch]])</f>
        <v>Apple - Warri</v>
      </c>
    </row>
    <row r="272" spans="1:21" ht="14.4" x14ac:dyDescent="0.3">
      <c r="A272" s="2">
        <v>271</v>
      </c>
      <c r="B272" s="2">
        <f t="shared" si="37"/>
        <v>104</v>
      </c>
      <c r="C272" s="1" t="str">
        <f>VLOOKUP(B272,Products!A:C,2,FALSE)</f>
        <v>Apple</v>
      </c>
      <c r="D272" s="1" t="str">
        <f t="shared" si="38"/>
        <v>Warri</v>
      </c>
      <c r="E272" s="4" t="str">
        <f>_xlfn.XLOOKUP(D272,'Sales Manager'!$A$2:$A$6,'Sales Manager'!$B$2:$B$6,"")</f>
        <v>Gbenga Adesanya</v>
      </c>
      <c r="F272" s="3">
        <f t="shared" si="44"/>
        <v>7</v>
      </c>
      <c r="G272" s="1" t="str">
        <f t="shared" si="44"/>
        <v>Jul</v>
      </c>
      <c r="H272" s="11">
        <v>5000</v>
      </c>
      <c r="I272" s="11">
        <v>3346</v>
      </c>
      <c r="J272" s="11" cm="1">
        <f t="array" ref="J272">_xlfn.XLOOKUP(C272&amp;D272&amp;F272,Expense!$C$2:$C$601&amp;Expense!$D$2:$D$601&amp;Expense!$E$2:$E$601,Expense!$G$2:$G$601,"")</f>
        <v>1000</v>
      </c>
      <c r="K272" s="11" cm="1">
        <f t="array" ref="K272">_xlfn.XLOOKUP(C272&amp;D272&amp;F272,Expense!$C$2:$C$601&amp;Expense!$D$2:$D$601&amp;Expense!$E$2:$E$601,Expense!$H$2:$H$601,"")</f>
        <v>200</v>
      </c>
      <c r="L272" s="14">
        <f t="shared" si="42"/>
        <v>-1654</v>
      </c>
      <c r="M272" s="14">
        <f>Master_Table[[#This Row],[Expense Budget]]-Master_Table[[#This Row],[Actual Expense]]</f>
        <v>800</v>
      </c>
      <c r="N272" s="16">
        <f t="shared" si="43"/>
        <v>3146</v>
      </c>
      <c r="O272" s="29">
        <f t="shared" si="40"/>
        <v>4000</v>
      </c>
      <c r="P272" s="16">
        <f t="shared" si="41"/>
        <v>-854</v>
      </c>
      <c r="Q272" s="28">
        <f>Master_Table[[#This Row],[△Sales Variance]]/Master_Table[[#This Row],[Sales Budget]]</f>
        <v>-0.33079999999999998</v>
      </c>
      <c r="R272" s="28">
        <f>Master_Table[[#This Row],[△Expense  Variance]]/Master_Table[[#This Row],[Expense Budget]]</f>
        <v>0.8</v>
      </c>
      <c r="S272" s="28">
        <f>Master_Table[[#This Row],[Net Profit Variance]]/Master_Table[[#This Row],[Budget Net Profit]]</f>
        <v>-0.2135</v>
      </c>
      <c r="T272" s="28">
        <f>Master_Table[[#This Row],[Actual Net Profit]]/Master_Table[[#This Row],[Actual Sales]]</f>
        <v>0.9402271368798566</v>
      </c>
      <c r="U272" s="28" t="str">
        <f>_xlfn.TEXTJOIN(" - ", TRUE, Master_Table[[#This Row],[Product]], Master_Table[[#This Row],[Branch]])</f>
        <v>Apple - Warri</v>
      </c>
    </row>
    <row r="273" spans="1:21" ht="14.4" x14ac:dyDescent="0.3">
      <c r="A273" s="2">
        <v>272</v>
      </c>
      <c r="B273" s="2">
        <f t="shared" si="37"/>
        <v>104</v>
      </c>
      <c r="C273" s="1" t="str">
        <f>VLOOKUP(B273,Products!A:C,2,FALSE)</f>
        <v>Apple</v>
      </c>
      <c r="D273" s="1" t="str">
        <f t="shared" si="38"/>
        <v>Warri</v>
      </c>
      <c r="E273" s="4" t="str">
        <f>_xlfn.XLOOKUP(D273,'Sales Manager'!$A$2:$A$6,'Sales Manager'!$B$2:$B$6,"")</f>
        <v>Gbenga Adesanya</v>
      </c>
      <c r="F273" s="3">
        <f t="shared" si="44"/>
        <v>8</v>
      </c>
      <c r="G273" s="1" t="str">
        <f t="shared" si="44"/>
        <v>Aug</v>
      </c>
      <c r="H273" s="11">
        <v>1000</v>
      </c>
      <c r="I273" s="11">
        <v>5231</v>
      </c>
      <c r="J273" s="11" cm="1">
        <f t="array" ref="J273">_xlfn.XLOOKUP(C273&amp;D273&amp;F273,Expense!$C$2:$C$601&amp;Expense!$D$2:$D$601&amp;Expense!$E$2:$E$601,Expense!$G$2:$G$601,"")</f>
        <v>200</v>
      </c>
      <c r="K273" s="11" cm="1">
        <f t="array" ref="K273">_xlfn.XLOOKUP(C273&amp;D273&amp;F273,Expense!$C$2:$C$601&amp;Expense!$D$2:$D$601&amp;Expense!$E$2:$E$601,Expense!$H$2:$H$601,"")</f>
        <v>100</v>
      </c>
      <c r="L273" s="14">
        <f t="shared" si="42"/>
        <v>4231</v>
      </c>
      <c r="M273" s="14">
        <f>Master_Table[[#This Row],[Expense Budget]]-Master_Table[[#This Row],[Actual Expense]]</f>
        <v>100</v>
      </c>
      <c r="N273" s="16">
        <f t="shared" si="43"/>
        <v>5131</v>
      </c>
      <c r="O273" s="29">
        <f t="shared" si="40"/>
        <v>800</v>
      </c>
      <c r="P273" s="16">
        <f t="shared" si="41"/>
        <v>4331</v>
      </c>
      <c r="Q273" s="28">
        <f>Master_Table[[#This Row],[△Sales Variance]]/Master_Table[[#This Row],[Sales Budget]]</f>
        <v>4.2309999999999999</v>
      </c>
      <c r="R273" s="28">
        <f>Master_Table[[#This Row],[△Expense  Variance]]/Master_Table[[#This Row],[Expense Budget]]</f>
        <v>0.5</v>
      </c>
      <c r="S273" s="28">
        <f>Master_Table[[#This Row],[Net Profit Variance]]/Master_Table[[#This Row],[Budget Net Profit]]</f>
        <v>5.4137500000000003</v>
      </c>
      <c r="T273" s="28">
        <f>Master_Table[[#This Row],[Actual Net Profit]]/Master_Table[[#This Row],[Actual Sales]]</f>
        <v>0.98088319632957366</v>
      </c>
      <c r="U273" s="28" t="str">
        <f>_xlfn.TEXTJOIN(" - ", TRUE, Master_Table[[#This Row],[Product]], Master_Table[[#This Row],[Branch]])</f>
        <v>Apple - Warri</v>
      </c>
    </row>
    <row r="274" spans="1:21" ht="14.4" x14ac:dyDescent="0.3">
      <c r="A274" s="2">
        <v>273</v>
      </c>
      <c r="B274" s="2">
        <f t="shared" si="37"/>
        <v>104</v>
      </c>
      <c r="C274" s="1" t="str">
        <f>VLOOKUP(B274,Products!A:C,2,FALSE)</f>
        <v>Apple</v>
      </c>
      <c r="D274" s="1" t="str">
        <f t="shared" si="38"/>
        <v>Warri</v>
      </c>
      <c r="E274" s="4" t="str">
        <f>_xlfn.XLOOKUP(D274,'Sales Manager'!$A$2:$A$6,'Sales Manager'!$B$2:$B$6,"")</f>
        <v>Gbenga Adesanya</v>
      </c>
      <c r="F274" s="3">
        <f t="shared" si="44"/>
        <v>9</v>
      </c>
      <c r="G274" s="1" t="str">
        <f t="shared" si="44"/>
        <v>Sept</v>
      </c>
      <c r="H274" s="11">
        <v>2000</v>
      </c>
      <c r="I274" s="11">
        <v>2213</v>
      </c>
      <c r="J274" s="11" cm="1">
        <f t="array" ref="J274">_xlfn.XLOOKUP(C274&amp;D274&amp;F274,Expense!$C$2:$C$601&amp;Expense!$D$2:$D$601&amp;Expense!$E$2:$E$601,Expense!$G$2:$G$601,"")</f>
        <v>1000</v>
      </c>
      <c r="K274" s="11" cm="1">
        <f t="array" ref="K274">_xlfn.XLOOKUP(C274&amp;D274&amp;F274,Expense!$C$2:$C$601&amp;Expense!$D$2:$D$601&amp;Expense!$E$2:$E$601,Expense!$H$2:$H$601,"")</f>
        <v>1000</v>
      </c>
      <c r="L274" s="14">
        <f t="shared" si="42"/>
        <v>213</v>
      </c>
      <c r="M274" s="14">
        <f>Master_Table[[#This Row],[Expense Budget]]-Master_Table[[#This Row],[Actual Expense]]</f>
        <v>0</v>
      </c>
      <c r="N274" s="16">
        <f t="shared" si="43"/>
        <v>1213</v>
      </c>
      <c r="O274" s="29">
        <f t="shared" si="40"/>
        <v>1000</v>
      </c>
      <c r="P274" s="16">
        <f t="shared" si="41"/>
        <v>213</v>
      </c>
      <c r="Q274" s="28">
        <f>Master_Table[[#This Row],[△Sales Variance]]/Master_Table[[#This Row],[Sales Budget]]</f>
        <v>0.1065</v>
      </c>
      <c r="R274" s="28">
        <f>Master_Table[[#This Row],[△Expense  Variance]]/Master_Table[[#This Row],[Expense Budget]]</f>
        <v>0</v>
      </c>
      <c r="S274" s="28">
        <f>Master_Table[[#This Row],[Net Profit Variance]]/Master_Table[[#This Row],[Budget Net Profit]]</f>
        <v>0.21299999999999999</v>
      </c>
      <c r="T274" s="28">
        <f>Master_Table[[#This Row],[Actual Net Profit]]/Master_Table[[#This Row],[Actual Sales]]</f>
        <v>0.54812471757794845</v>
      </c>
      <c r="U274" s="28" t="str">
        <f>_xlfn.TEXTJOIN(" - ", TRUE, Master_Table[[#This Row],[Product]], Master_Table[[#This Row],[Branch]])</f>
        <v>Apple - Warri</v>
      </c>
    </row>
    <row r="275" spans="1:21" ht="14.4" x14ac:dyDescent="0.3">
      <c r="A275" s="2">
        <v>274</v>
      </c>
      <c r="B275" s="2">
        <f t="shared" si="37"/>
        <v>104</v>
      </c>
      <c r="C275" s="1" t="str">
        <f>VLOOKUP(B275,Products!A:C,2,FALSE)</f>
        <v>Apple</v>
      </c>
      <c r="D275" s="1" t="str">
        <f t="shared" si="38"/>
        <v>Warri</v>
      </c>
      <c r="E275" s="4" t="str">
        <f>_xlfn.XLOOKUP(D275,'Sales Manager'!$A$2:$A$6,'Sales Manager'!$B$2:$B$6,"")</f>
        <v>Gbenga Adesanya</v>
      </c>
      <c r="F275" s="3">
        <f t="shared" si="44"/>
        <v>10</v>
      </c>
      <c r="G275" s="1" t="str">
        <f t="shared" si="44"/>
        <v>Oct</v>
      </c>
      <c r="H275" s="11">
        <v>7000</v>
      </c>
      <c r="I275" s="11">
        <v>6471</v>
      </c>
      <c r="J275" s="11" cm="1">
        <f t="array" ref="J275">_xlfn.XLOOKUP(C275&amp;D275&amp;F275,Expense!$C$2:$C$601&amp;Expense!$D$2:$D$601&amp;Expense!$E$2:$E$601,Expense!$G$2:$G$601,"")</f>
        <v>1400</v>
      </c>
      <c r="K275" s="11" cm="1">
        <f t="array" ref="K275">_xlfn.XLOOKUP(C275&amp;D275&amp;F275,Expense!$C$2:$C$601&amp;Expense!$D$2:$D$601&amp;Expense!$E$2:$E$601,Expense!$H$2:$H$601,"")</f>
        <v>1400</v>
      </c>
      <c r="L275" s="14">
        <f t="shared" si="42"/>
        <v>-529</v>
      </c>
      <c r="M275" s="14">
        <f>Master_Table[[#This Row],[Expense Budget]]-Master_Table[[#This Row],[Actual Expense]]</f>
        <v>0</v>
      </c>
      <c r="N275" s="16">
        <f t="shared" si="43"/>
        <v>5071</v>
      </c>
      <c r="O275" s="29">
        <f t="shared" si="40"/>
        <v>5600</v>
      </c>
      <c r="P275" s="16">
        <f t="shared" si="41"/>
        <v>-529</v>
      </c>
      <c r="Q275" s="28">
        <f>Master_Table[[#This Row],[△Sales Variance]]/Master_Table[[#This Row],[Sales Budget]]</f>
        <v>-7.5571428571428567E-2</v>
      </c>
      <c r="R275" s="28">
        <f>Master_Table[[#This Row],[△Expense  Variance]]/Master_Table[[#This Row],[Expense Budget]]</f>
        <v>0</v>
      </c>
      <c r="S275" s="28">
        <f>Master_Table[[#This Row],[Net Profit Variance]]/Master_Table[[#This Row],[Budget Net Profit]]</f>
        <v>-9.4464285714285709E-2</v>
      </c>
      <c r="T275" s="28">
        <f>Master_Table[[#This Row],[Actual Net Profit]]/Master_Table[[#This Row],[Actual Sales]]</f>
        <v>0.78365013135527739</v>
      </c>
      <c r="U275" s="28" t="str">
        <f>_xlfn.TEXTJOIN(" - ", TRUE, Master_Table[[#This Row],[Product]], Master_Table[[#This Row],[Branch]])</f>
        <v>Apple - Warri</v>
      </c>
    </row>
    <row r="276" spans="1:21" ht="14.4" x14ac:dyDescent="0.3">
      <c r="A276" s="2">
        <v>275</v>
      </c>
      <c r="B276" s="2">
        <f t="shared" si="37"/>
        <v>104</v>
      </c>
      <c r="C276" s="1" t="str">
        <f>VLOOKUP(B276,Products!A:C,2,FALSE)</f>
        <v>Apple</v>
      </c>
      <c r="D276" s="1" t="str">
        <f t="shared" si="38"/>
        <v>Warri</v>
      </c>
      <c r="E276" s="4" t="str">
        <f>_xlfn.XLOOKUP(D276,'Sales Manager'!$A$2:$A$6,'Sales Manager'!$B$2:$B$6,"")</f>
        <v>Gbenga Adesanya</v>
      </c>
      <c r="F276" s="3">
        <f t="shared" si="44"/>
        <v>11</v>
      </c>
      <c r="G276" s="1" t="str">
        <f t="shared" si="44"/>
        <v>Nov</v>
      </c>
      <c r="H276" s="11">
        <v>9000</v>
      </c>
      <c r="I276" s="11">
        <v>5070</v>
      </c>
      <c r="J276" s="11" cm="1">
        <f t="array" ref="J276">_xlfn.XLOOKUP(C276&amp;D276&amp;F276,Expense!$C$2:$C$601&amp;Expense!$D$2:$D$601&amp;Expense!$E$2:$E$601,Expense!$G$2:$G$601,"")</f>
        <v>4500</v>
      </c>
      <c r="K276" s="11" cm="1">
        <f t="array" ref="K276">_xlfn.XLOOKUP(C276&amp;D276&amp;F276,Expense!$C$2:$C$601&amp;Expense!$D$2:$D$601&amp;Expense!$E$2:$E$601,Expense!$H$2:$H$601,"")</f>
        <v>4000</v>
      </c>
      <c r="L276" s="14">
        <f t="shared" si="42"/>
        <v>-3930</v>
      </c>
      <c r="M276" s="14">
        <f>Master_Table[[#This Row],[Expense Budget]]-Master_Table[[#This Row],[Actual Expense]]</f>
        <v>500</v>
      </c>
      <c r="N276" s="16">
        <f t="shared" si="43"/>
        <v>1070</v>
      </c>
      <c r="O276" s="29">
        <f t="shared" si="40"/>
        <v>4500</v>
      </c>
      <c r="P276" s="16">
        <f t="shared" si="41"/>
        <v>-3430</v>
      </c>
      <c r="Q276" s="28">
        <f>Master_Table[[#This Row],[△Sales Variance]]/Master_Table[[#This Row],[Sales Budget]]</f>
        <v>-0.43666666666666665</v>
      </c>
      <c r="R276" s="28">
        <f>Master_Table[[#This Row],[△Expense  Variance]]/Master_Table[[#This Row],[Expense Budget]]</f>
        <v>0.1111111111111111</v>
      </c>
      <c r="S276" s="28">
        <f>Master_Table[[#This Row],[Net Profit Variance]]/Master_Table[[#This Row],[Budget Net Profit]]</f>
        <v>-0.76222222222222225</v>
      </c>
      <c r="T276" s="28">
        <f>Master_Table[[#This Row],[Actual Net Profit]]/Master_Table[[#This Row],[Actual Sales]]</f>
        <v>0.21104536489151873</v>
      </c>
      <c r="U276" s="28" t="str">
        <f>_xlfn.TEXTJOIN(" - ", TRUE, Master_Table[[#This Row],[Product]], Master_Table[[#This Row],[Branch]])</f>
        <v>Apple - Warri</v>
      </c>
    </row>
    <row r="277" spans="1:21" ht="14.4" x14ac:dyDescent="0.3">
      <c r="A277" s="2">
        <v>276</v>
      </c>
      <c r="B277" s="2">
        <f t="shared" si="37"/>
        <v>104</v>
      </c>
      <c r="C277" s="1" t="str">
        <f>VLOOKUP(B277,Products!A:C,2,FALSE)</f>
        <v>Apple</v>
      </c>
      <c r="D277" s="1" t="str">
        <f t="shared" si="38"/>
        <v>Warri</v>
      </c>
      <c r="E277" s="4" t="str">
        <f>_xlfn.XLOOKUP(D277,'Sales Manager'!$A$2:$A$6,'Sales Manager'!$B$2:$B$6,"")</f>
        <v>Gbenga Adesanya</v>
      </c>
      <c r="F277" s="3">
        <f t="shared" si="44"/>
        <v>12</v>
      </c>
      <c r="G277" s="1" t="str">
        <f t="shared" si="44"/>
        <v>Dec</v>
      </c>
      <c r="H277" s="11">
        <v>3000</v>
      </c>
      <c r="I277" s="11">
        <v>6173</v>
      </c>
      <c r="J277" s="11" cm="1">
        <f t="array" ref="J277">_xlfn.XLOOKUP(C277&amp;D277&amp;F277,Expense!$C$2:$C$601&amp;Expense!$D$2:$D$601&amp;Expense!$E$2:$E$601,Expense!$G$2:$G$601,"")</f>
        <v>1500</v>
      </c>
      <c r="K277" s="11" cm="1">
        <f t="array" ref="K277">_xlfn.XLOOKUP(C277&amp;D277&amp;F277,Expense!$C$2:$C$601&amp;Expense!$D$2:$D$601&amp;Expense!$E$2:$E$601,Expense!$H$2:$H$601,"")</f>
        <v>1400</v>
      </c>
      <c r="L277" s="14">
        <f t="shared" si="42"/>
        <v>3173</v>
      </c>
      <c r="M277" s="14">
        <f>Master_Table[[#This Row],[Expense Budget]]-Master_Table[[#This Row],[Actual Expense]]</f>
        <v>100</v>
      </c>
      <c r="N277" s="16">
        <f t="shared" si="43"/>
        <v>4773</v>
      </c>
      <c r="O277" s="29">
        <f t="shared" si="40"/>
        <v>1500</v>
      </c>
      <c r="P277" s="16">
        <f t="shared" si="41"/>
        <v>3273</v>
      </c>
      <c r="Q277" s="28">
        <f>Master_Table[[#This Row],[△Sales Variance]]/Master_Table[[#This Row],[Sales Budget]]</f>
        <v>1.0576666666666668</v>
      </c>
      <c r="R277" s="28">
        <f>Master_Table[[#This Row],[△Expense  Variance]]/Master_Table[[#This Row],[Expense Budget]]</f>
        <v>6.6666666666666666E-2</v>
      </c>
      <c r="S277" s="28">
        <f>Master_Table[[#This Row],[Net Profit Variance]]/Master_Table[[#This Row],[Budget Net Profit]]</f>
        <v>2.1819999999999999</v>
      </c>
      <c r="T277" s="28">
        <f>Master_Table[[#This Row],[Actual Net Profit]]/Master_Table[[#This Row],[Actual Sales]]</f>
        <v>0.77320589664668715</v>
      </c>
      <c r="U277" s="28" t="str">
        <f>_xlfn.TEXTJOIN(" - ", TRUE, Master_Table[[#This Row],[Product]], Master_Table[[#This Row],[Branch]])</f>
        <v>Apple - Warri</v>
      </c>
    </row>
    <row r="278" spans="1:21" ht="14.4" x14ac:dyDescent="0.3">
      <c r="A278" s="2">
        <v>277</v>
      </c>
      <c r="B278" s="2">
        <f t="shared" si="37"/>
        <v>104</v>
      </c>
      <c r="C278" s="1" t="str">
        <f>VLOOKUP(B278,Products!A:C,2,FALSE)</f>
        <v>Apple</v>
      </c>
      <c r="D278" s="1" t="str">
        <f t="shared" si="38"/>
        <v>Kaduna</v>
      </c>
      <c r="E278" s="4" t="str">
        <f>_xlfn.XLOOKUP(D278,'Sales Manager'!$A$2:$A$6,'Sales Manager'!$B$2:$B$6,"")</f>
        <v>Musa Garba</v>
      </c>
      <c r="F278" s="3">
        <f t="shared" si="44"/>
        <v>1</v>
      </c>
      <c r="G278" s="1" t="str">
        <f t="shared" si="44"/>
        <v>Jan</v>
      </c>
      <c r="H278" s="11">
        <v>5000</v>
      </c>
      <c r="I278" s="11">
        <v>6683</v>
      </c>
      <c r="J278" s="11" cm="1">
        <f t="array" ref="J278">_xlfn.XLOOKUP(C278&amp;D278&amp;F278,Expense!$C$2:$C$601&amp;Expense!$D$2:$D$601&amp;Expense!$E$2:$E$601,Expense!$G$2:$G$601,"")</f>
        <v>1000</v>
      </c>
      <c r="K278" s="11" cm="1">
        <f t="array" ref="K278">_xlfn.XLOOKUP(C278&amp;D278&amp;F278,Expense!$C$2:$C$601&amp;Expense!$D$2:$D$601&amp;Expense!$E$2:$E$601,Expense!$H$2:$H$601,"")</f>
        <v>900</v>
      </c>
      <c r="L278" s="14">
        <f t="shared" si="42"/>
        <v>1683</v>
      </c>
      <c r="M278" s="14">
        <f>Master_Table[[#This Row],[Expense Budget]]-Master_Table[[#This Row],[Actual Expense]]</f>
        <v>100</v>
      </c>
      <c r="N278" s="16">
        <f t="shared" si="43"/>
        <v>5783</v>
      </c>
      <c r="O278" s="29">
        <f t="shared" si="40"/>
        <v>4000</v>
      </c>
      <c r="P278" s="16">
        <f t="shared" si="41"/>
        <v>1783</v>
      </c>
      <c r="Q278" s="28">
        <f>Master_Table[[#This Row],[△Sales Variance]]/Master_Table[[#This Row],[Sales Budget]]</f>
        <v>0.33660000000000001</v>
      </c>
      <c r="R278" s="28">
        <f>Master_Table[[#This Row],[△Expense  Variance]]/Master_Table[[#This Row],[Expense Budget]]</f>
        <v>0.1</v>
      </c>
      <c r="S278" s="28">
        <f>Master_Table[[#This Row],[Net Profit Variance]]/Master_Table[[#This Row],[Budget Net Profit]]</f>
        <v>0.44574999999999998</v>
      </c>
      <c r="T278" s="28">
        <f>Master_Table[[#This Row],[Actual Net Profit]]/Master_Table[[#This Row],[Actual Sales]]</f>
        <v>0.86532994164297472</v>
      </c>
      <c r="U278" s="28" t="str">
        <f>_xlfn.TEXTJOIN(" - ", TRUE, Master_Table[[#This Row],[Product]], Master_Table[[#This Row],[Branch]])</f>
        <v>Apple - Kaduna</v>
      </c>
    </row>
    <row r="279" spans="1:21" ht="14.4" x14ac:dyDescent="0.3">
      <c r="A279" s="2">
        <v>278</v>
      </c>
      <c r="B279" s="2">
        <f t="shared" si="37"/>
        <v>104</v>
      </c>
      <c r="C279" s="1" t="str">
        <f>VLOOKUP(B279,Products!A:C,2,FALSE)</f>
        <v>Apple</v>
      </c>
      <c r="D279" s="1" t="str">
        <f t="shared" si="38"/>
        <v>Kaduna</v>
      </c>
      <c r="E279" s="4" t="str">
        <f>_xlfn.XLOOKUP(D279,'Sales Manager'!$A$2:$A$6,'Sales Manager'!$B$2:$B$6,"")</f>
        <v>Musa Garba</v>
      </c>
      <c r="F279" s="3">
        <f t="shared" si="44"/>
        <v>2</v>
      </c>
      <c r="G279" s="1" t="str">
        <f t="shared" si="44"/>
        <v>Feb</v>
      </c>
      <c r="H279" s="11">
        <v>1000</v>
      </c>
      <c r="I279" s="11">
        <v>5532</v>
      </c>
      <c r="J279" s="11" cm="1">
        <f t="array" ref="J279">_xlfn.XLOOKUP(C279&amp;D279&amp;F279,Expense!$C$2:$C$601&amp;Expense!$D$2:$D$601&amp;Expense!$E$2:$E$601,Expense!$G$2:$G$601,"")</f>
        <v>200</v>
      </c>
      <c r="K279" s="11" cm="1">
        <f t="array" ref="K279">_xlfn.XLOOKUP(C279&amp;D279&amp;F279,Expense!$C$2:$C$601&amp;Expense!$D$2:$D$601&amp;Expense!$E$2:$E$601,Expense!$H$2:$H$601,"")</f>
        <v>200</v>
      </c>
      <c r="L279" s="14">
        <f t="shared" si="42"/>
        <v>4532</v>
      </c>
      <c r="M279" s="14">
        <f>Master_Table[[#This Row],[Expense Budget]]-Master_Table[[#This Row],[Actual Expense]]</f>
        <v>0</v>
      </c>
      <c r="N279" s="16">
        <f t="shared" si="43"/>
        <v>5332</v>
      </c>
      <c r="O279" s="29">
        <f t="shared" si="40"/>
        <v>800</v>
      </c>
      <c r="P279" s="16">
        <f t="shared" si="41"/>
        <v>4532</v>
      </c>
      <c r="Q279" s="28">
        <f>Master_Table[[#This Row],[△Sales Variance]]/Master_Table[[#This Row],[Sales Budget]]</f>
        <v>4.532</v>
      </c>
      <c r="R279" s="28">
        <f>Master_Table[[#This Row],[△Expense  Variance]]/Master_Table[[#This Row],[Expense Budget]]</f>
        <v>0</v>
      </c>
      <c r="S279" s="28">
        <f>Master_Table[[#This Row],[Net Profit Variance]]/Master_Table[[#This Row],[Budget Net Profit]]</f>
        <v>5.665</v>
      </c>
      <c r="T279" s="28">
        <f>Master_Table[[#This Row],[Actual Net Profit]]/Master_Table[[#This Row],[Actual Sales]]</f>
        <v>0.96384671005061462</v>
      </c>
      <c r="U279" s="28" t="str">
        <f>_xlfn.TEXTJOIN(" - ", TRUE, Master_Table[[#This Row],[Product]], Master_Table[[#This Row],[Branch]])</f>
        <v>Apple - Kaduna</v>
      </c>
    </row>
    <row r="280" spans="1:21" ht="14.4" x14ac:dyDescent="0.3">
      <c r="A280" s="2">
        <v>279</v>
      </c>
      <c r="B280" s="2">
        <f t="shared" si="37"/>
        <v>104</v>
      </c>
      <c r="C280" s="1" t="str">
        <f>VLOOKUP(B280,Products!A:C,2,FALSE)</f>
        <v>Apple</v>
      </c>
      <c r="D280" s="1" t="str">
        <f t="shared" si="38"/>
        <v>Kaduna</v>
      </c>
      <c r="E280" s="4" t="str">
        <f>_xlfn.XLOOKUP(D280,'Sales Manager'!$A$2:$A$6,'Sales Manager'!$B$2:$B$6,"")</f>
        <v>Musa Garba</v>
      </c>
      <c r="F280" s="3">
        <f t="shared" si="44"/>
        <v>3</v>
      </c>
      <c r="G280" s="1" t="str">
        <f t="shared" si="44"/>
        <v>Mar</v>
      </c>
      <c r="H280" s="11">
        <v>3000</v>
      </c>
      <c r="I280" s="11">
        <v>2523</v>
      </c>
      <c r="J280" s="11" cm="1">
        <f t="array" ref="J280">_xlfn.XLOOKUP(C280&amp;D280&amp;F280,Expense!$C$2:$C$601&amp;Expense!$D$2:$D$601&amp;Expense!$E$2:$E$601,Expense!$G$2:$G$601,"")</f>
        <v>1000</v>
      </c>
      <c r="K280" s="11" cm="1">
        <f t="array" ref="K280">_xlfn.XLOOKUP(C280&amp;D280&amp;F280,Expense!$C$2:$C$601&amp;Expense!$D$2:$D$601&amp;Expense!$E$2:$E$601,Expense!$H$2:$H$601,"")</f>
        <v>1000</v>
      </c>
      <c r="L280" s="14">
        <f t="shared" si="42"/>
        <v>-477</v>
      </c>
      <c r="M280" s="14">
        <f>Master_Table[[#This Row],[Expense Budget]]-Master_Table[[#This Row],[Actual Expense]]</f>
        <v>0</v>
      </c>
      <c r="N280" s="16">
        <f t="shared" si="43"/>
        <v>1523</v>
      </c>
      <c r="O280" s="29">
        <f t="shared" si="40"/>
        <v>2000</v>
      </c>
      <c r="P280" s="16">
        <f t="shared" si="41"/>
        <v>-477</v>
      </c>
      <c r="Q280" s="28">
        <f>Master_Table[[#This Row],[△Sales Variance]]/Master_Table[[#This Row],[Sales Budget]]</f>
        <v>-0.159</v>
      </c>
      <c r="R280" s="28">
        <f>Master_Table[[#This Row],[△Expense  Variance]]/Master_Table[[#This Row],[Expense Budget]]</f>
        <v>0</v>
      </c>
      <c r="S280" s="28">
        <f>Master_Table[[#This Row],[Net Profit Variance]]/Master_Table[[#This Row],[Budget Net Profit]]</f>
        <v>-0.23849999999999999</v>
      </c>
      <c r="T280" s="28">
        <f>Master_Table[[#This Row],[Actual Net Profit]]/Master_Table[[#This Row],[Actual Sales]]</f>
        <v>0.60364645263575112</v>
      </c>
      <c r="U280" s="28" t="str">
        <f>_xlfn.TEXTJOIN(" - ", TRUE, Master_Table[[#This Row],[Product]], Master_Table[[#This Row],[Branch]])</f>
        <v>Apple - Kaduna</v>
      </c>
    </row>
    <row r="281" spans="1:21" ht="14.4" x14ac:dyDescent="0.3">
      <c r="A281" s="2">
        <v>280</v>
      </c>
      <c r="B281" s="2">
        <f t="shared" si="37"/>
        <v>104</v>
      </c>
      <c r="C281" s="1" t="str">
        <f>VLOOKUP(B281,Products!A:C,2,FALSE)</f>
        <v>Apple</v>
      </c>
      <c r="D281" s="1" t="str">
        <f t="shared" si="38"/>
        <v>Kaduna</v>
      </c>
      <c r="E281" s="4" t="str">
        <f>_xlfn.XLOOKUP(D281,'Sales Manager'!$A$2:$A$6,'Sales Manager'!$B$2:$B$6,"")</f>
        <v>Musa Garba</v>
      </c>
      <c r="F281" s="3">
        <f t="shared" si="44"/>
        <v>4</v>
      </c>
      <c r="G281" s="1" t="str">
        <f t="shared" si="44"/>
        <v>Apr</v>
      </c>
      <c r="H281" s="11">
        <v>2000</v>
      </c>
      <c r="I281" s="11">
        <v>3144</v>
      </c>
      <c r="J281" s="11" cm="1">
        <f t="array" ref="J281">_xlfn.XLOOKUP(C281&amp;D281&amp;F281,Expense!$C$2:$C$601&amp;Expense!$D$2:$D$601&amp;Expense!$E$2:$E$601,Expense!$G$2:$G$601,"")</f>
        <v>400</v>
      </c>
      <c r="K281" s="11" cm="1">
        <f t="array" ref="K281">_xlfn.XLOOKUP(C281&amp;D281&amp;F281,Expense!$C$2:$C$601&amp;Expense!$D$2:$D$601&amp;Expense!$E$2:$E$601,Expense!$H$2:$H$601,"")</f>
        <v>300</v>
      </c>
      <c r="L281" s="14">
        <f t="shared" si="42"/>
        <v>1144</v>
      </c>
      <c r="M281" s="14">
        <f>Master_Table[[#This Row],[Expense Budget]]-Master_Table[[#This Row],[Actual Expense]]</f>
        <v>100</v>
      </c>
      <c r="N281" s="16">
        <f t="shared" si="43"/>
        <v>2844</v>
      </c>
      <c r="O281" s="29">
        <f t="shared" si="40"/>
        <v>1600</v>
      </c>
      <c r="P281" s="16">
        <f t="shared" si="41"/>
        <v>1244</v>
      </c>
      <c r="Q281" s="28">
        <f>Master_Table[[#This Row],[△Sales Variance]]/Master_Table[[#This Row],[Sales Budget]]</f>
        <v>0.57199999999999995</v>
      </c>
      <c r="R281" s="28">
        <f>Master_Table[[#This Row],[△Expense  Variance]]/Master_Table[[#This Row],[Expense Budget]]</f>
        <v>0.25</v>
      </c>
      <c r="S281" s="28">
        <f>Master_Table[[#This Row],[Net Profit Variance]]/Master_Table[[#This Row],[Budget Net Profit]]</f>
        <v>0.77749999999999997</v>
      </c>
      <c r="T281" s="28">
        <f>Master_Table[[#This Row],[Actual Net Profit]]/Master_Table[[#This Row],[Actual Sales]]</f>
        <v>0.90458015267175573</v>
      </c>
      <c r="U281" s="28" t="str">
        <f>_xlfn.TEXTJOIN(" - ", TRUE, Master_Table[[#This Row],[Product]], Master_Table[[#This Row],[Branch]])</f>
        <v>Apple - Kaduna</v>
      </c>
    </row>
    <row r="282" spans="1:21" ht="14.4" x14ac:dyDescent="0.3">
      <c r="A282" s="2">
        <v>281</v>
      </c>
      <c r="B282" s="2">
        <f t="shared" si="37"/>
        <v>104</v>
      </c>
      <c r="C282" s="1" t="str">
        <f>VLOOKUP(B282,Products!A:C,2,FALSE)</f>
        <v>Apple</v>
      </c>
      <c r="D282" s="1" t="str">
        <f t="shared" si="38"/>
        <v>Kaduna</v>
      </c>
      <c r="E282" s="4" t="str">
        <f>_xlfn.XLOOKUP(D282,'Sales Manager'!$A$2:$A$6,'Sales Manager'!$B$2:$B$6,"")</f>
        <v>Musa Garba</v>
      </c>
      <c r="F282" s="3">
        <f t="shared" si="44"/>
        <v>5</v>
      </c>
      <c r="G282" s="1" t="str">
        <f t="shared" si="44"/>
        <v>May</v>
      </c>
      <c r="H282" s="11">
        <v>3000</v>
      </c>
      <c r="I282" s="11">
        <v>3332</v>
      </c>
      <c r="J282" s="11" cm="1">
        <f t="array" ref="J282">_xlfn.XLOOKUP(C282&amp;D282&amp;F282,Expense!$C$2:$C$601&amp;Expense!$D$2:$D$601&amp;Expense!$E$2:$E$601,Expense!$G$2:$G$601,"")</f>
        <v>600</v>
      </c>
      <c r="K282" s="11" cm="1">
        <f t="array" ref="K282">_xlfn.XLOOKUP(C282&amp;D282&amp;F282,Expense!$C$2:$C$601&amp;Expense!$D$2:$D$601&amp;Expense!$E$2:$E$601,Expense!$H$2:$H$601,"")</f>
        <v>200</v>
      </c>
      <c r="L282" s="14">
        <f t="shared" si="42"/>
        <v>332</v>
      </c>
      <c r="M282" s="14">
        <f>Master_Table[[#This Row],[Expense Budget]]-Master_Table[[#This Row],[Actual Expense]]</f>
        <v>400</v>
      </c>
      <c r="N282" s="16">
        <f t="shared" si="43"/>
        <v>3132</v>
      </c>
      <c r="O282" s="29">
        <f t="shared" si="40"/>
        <v>2400</v>
      </c>
      <c r="P282" s="16">
        <f t="shared" si="41"/>
        <v>732</v>
      </c>
      <c r="Q282" s="28">
        <f>Master_Table[[#This Row],[△Sales Variance]]/Master_Table[[#This Row],[Sales Budget]]</f>
        <v>0.11066666666666666</v>
      </c>
      <c r="R282" s="28">
        <f>Master_Table[[#This Row],[△Expense  Variance]]/Master_Table[[#This Row],[Expense Budget]]</f>
        <v>0.66666666666666663</v>
      </c>
      <c r="S282" s="28">
        <f>Master_Table[[#This Row],[Net Profit Variance]]/Master_Table[[#This Row],[Budget Net Profit]]</f>
        <v>0.30499999999999999</v>
      </c>
      <c r="T282" s="28">
        <f>Master_Table[[#This Row],[Actual Net Profit]]/Master_Table[[#This Row],[Actual Sales]]</f>
        <v>0.93997599039615842</v>
      </c>
      <c r="U282" s="28" t="str">
        <f>_xlfn.TEXTJOIN(" - ", TRUE, Master_Table[[#This Row],[Product]], Master_Table[[#This Row],[Branch]])</f>
        <v>Apple - Kaduna</v>
      </c>
    </row>
    <row r="283" spans="1:21" ht="14.4" x14ac:dyDescent="0.3">
      <c r="A283" s="2">
        <v>282</v>
      </c>
      <c r="B283" s="2">
        <f t="shared" si="37"/>
        <v>104</v>
      </c>
      <c r="C283" s="1" t="str">
        <f>VLOOKUP(B283,Products!A:C,2,FALSE)</f>
        <v>Apple</v>
      </c>
      <c r="D283" s="1" t="str">
        <f t="shared" si="38"/>
        <v>Kaduna</v>
      </c>
      <c r="E283" s="4" t="str">
        <f>_xlfn.XLOOKUP(D283,'Sales Manager'!$A$2:$A$6,'Sales Manager'!$B$2:$B$6,"")</f>
        <v>Musa Garba</v>
      </c>
      <c r="F283" s="3">
        <f t="shared" si="44"/>
        <v>6</v>
      </c>
      <c r="G283" s="1" t="str">
        <f t="shared" si="44"/>
        <v>Jun</v>
      </c>
      <c r="H283" s="11">
        <v>4000</v>
      </c>
      <c r="I283" s="11">
        <v>2214</v>
      </c>
      <c r="J283" s="11" cm="1">
        <f t="array" ref="J283">_xlfn.XLOOKUP(C283&amp;D283&amp;F283,Expense!$C$2:$C$601&amp;Expense!$D$2:$D$601&amp;Expense!$E$2:$E$601,Expense!$G$2:$G$601,"")</f>
        <v>800</v>
      </c>
      <c r="K283" s="11" cm="1">
        <f t="array" ref="K283">_xlfn.XLOOKUP(C283&amp;D283&amp;F283,Expense!$C$2:$C$601&amp;Expense!$D$2:$D$601&amp;Expense!$E$2:$E$601,Expense!$H$2:$H$601,"")</f>
        <v>400</v>
      </c>
      <c r="L283" s="14">
        <f t="shared" si="42"/>
        <v>-1786</v>
      </c>
      <c r="M283" s="14">
        <f>Master_Table[[#This Row],[Expense Budget]]-Master_Table[[#This Row],[Actual Expense]]</f>
        <v>400</v>
      </c>
      <c r="N283" s="16">
        <f t="shared" si="43"/>
        <v>1814</v>
      </c>
      <c r="O283" s="29">
        <f t="shared" si="40"/>
        <v>3200</v>
      </c>
      <c r="P283" s="16">
        <f t="shared" si="41"/>
        <v>-1386</v>
      </c>
      <c r="Q283" s="28">
        <f>Master_Table[[#This Row],[△Sales Variance]]/Master_Table[[#This Row],[Sales Budget]]</f>
        <v>-0.44650000000000001</v>
      </c>
      <c r="R283" s="28">
        <f>Master_Table[[#This Row],[△Expense  Variance]]/Master_Table[[#This Row],[Expense Budget]]</f>
        <v>0.5</v>
      </c>
      <c r="S283" s="28">
        <f>Master_Table[[#This Row],[Net Profit Variance]]/Master_Table[[#This Row],[Budget Net Profit]]</f>
        <v>-0.43312499999999998</v>
      </c>
      <c r="T283" s="28">
        <f>Master_Table[[#This Row],[Actual Net Profit]]/Master_Table[[#This Row],[Actual Sales]]</f>
        <v>0.81933152664859987</v>
      </c>
      <c r="U283" s="28" t="str">
        <f>_xlfn.TEXTJOIN(" - ", TRUE, Master_Table[[#This Row],[Product]], Master_Table[[#This Row],[Branch]])</f>
        <v>Apple - Kaduna</v>
      </c>
    </row>
    <row r="284" spans="1:21" ht="14.4" x14ac:dyDescent="0.3">
      <c r="A284" s="2">
        <v>283</v>
      </c>
      <c r="B284" s="2">
        <f t="shared" si="37"/>
        <v>104</v>
      </c>
      <c r="C284" s="1" t="str">
        <f>VLOOKUP(B284,Products!A:C,2,FALSE)</f>
        <v>Apple</v>
      </c>
      <c r="D284" s="1" t="str">
        <f t="shared" si="38"/>
        <v>Kaduna</v>
      </c>
      <c r="E284" s="4" t="str">
        <f>_xlfn.XLOOKUP(D284,'Sales Manager'!$A$2:$A$6,'Sales Manager'!$B$2:$B$6,"")</f>
        <v>Musa Garba</v>
      </c>
      <c r="F284" s="3">
        <f t="shared" si="44"/>
        <v>7</v>
      </c>
      <c r="G284" s="1" t="str">
        <f t="shared" si="44"/>
        <v>Jul</v>
      </c>
      <c r="H284" s="11">
        <v>1000</v>
      </c>
      <c r="I284" s="11">
        <v>3516</v>
      </c>
      <c r="J284" s="11" cm="1">
        <f t="array" ref="J284">_xlfn.XLOOKUP(C284&amp;D284&amp;F284,Expense!$C$2:$C$601&amp;Expense!$D$2:$D$601&amp;Expense!$E$2:$E$601,Expense!$G$2:$G$601,"")</f>
        <v>500</v>
      </c>
      <c r="K284" s="11" cm="1">
        <f t="array" ref="K284">_xlfn.XLOOKUP(C284&amp;D284&amp;F284,Expense!$C$2:$C$601&amp;Expense!$D$2:$D$601&amp;Expense!$E$2:$E$601,Expense!$H$2:$H$601,"")</f>
        <v>400</v>
      </c>
      <c r="L284" s="14">
        <f t="shared" si="42"/>
        <v>2516</v>
      </c>
      <c r="M284" s="14">
        <f>Master_Table[[#This Row],[Expense Budget]]-Master_Table[[#This Row],[Actual Expense]]</f>
        <v>100</v>
      </c>
      <c r="N284" s="16">
        <f t="shared" si="43"/>
        <v>3116</v>
      </c>
      <c r="O284" s="29">
        <f t="shared" si="40"/>
        <v>500</v>
      </c>
      <c r="P284" s="16">
        <f t="shared" si="41"/>
        <v>2616</v>
      </c>
      <c r="Q284" s="28">
        <f>Master_Table[[#This Row],[△Sales Variance]]/Master_Table[[#This Row],[Sales Budget]]</f>
        <v>2.516</v>
      </c>
      <c r="R284" s="28">
        <f>Master_Table[[#This Row],[△Expense  Variance]]/Master_Table[[#This Row],[Expense Budget]]</f>
        <v>0.2</v>
      </c>
      <c r="S284" s="28">
        <f>Master_Table[[#This Row],[Net Profit Variance]]/Master_Table[[#This Row],[Budget Net Profit]]</f>
        <v>5.2320000000000002</v>
      </c>
      <c r="T284" s="28">
        <f>Master_Table[[#This Row],[Actual Net Profit]]/Master_Table[[#This Row],[Actual Sales]]</f>
        <v>0.88623435722411836</v>
      </c>
      <c r="U284" s="28" t="str">
        <f>_xlfn.TEXTJOIN(" - ", TRUE, Master_Table[[#This Row],[Product]], Master_Table[[#This Row],[Branch]])</f>
        <v>Apple - Kaduna</v>
      </c>
    </row>
    <row r="285" spans="1:21" ht="14.4" x14ac:dyDescent="0.3">
      <c r="A285" s="2">
        <v>284</v>
      </c>
      <c r="B285" s="2">
        <f t="shared" si="37"/>
        <v>104</v>
      </c>
      <c r="C285" s="1" t="str">
        <f>VLOOKUP(B285,Products!A:C,2,FALSE)</f>
        <v>Apple</v>
      </c>
      <c r="D285" s="1" t="str">
        <f t="shared" si="38"/>
        <v>Kaduna</v>
      </c>
      <c r="E285" s="4" t="str">
        <f>_xlfn.XLOOKUP(D285,'Sales Manager'!$A$2:$A$6,'Sales Manager'!$B$2:$B$6,"")</f>
        <v>Musa Garba</v>
      </c>
      <c r="F285" s="3">
        <f t="shared" si="44"/>
        <v>8</v>
      </c>
      <c r="G285" s="1" t="str">
        <f t="shared" si="44"/>
        <v>Aug</v>
      </c>
      <c r="H285" s="11">
        <v>3000</v>
      </c>
      <c r="I285" s="11">
        <v>7657</v>
      </c>
      <c r="J285" s="11" cm="1">
        <f t="array" ref="J285">_xlfn.XLOOKUP(C285&amp;D285&amp;F285,Expense!$C$2:$C$601&amp;Expense!$D$2:$D$601&amp;Expense!$E$2:$E$601,Expense!$G$2:$G$601,"")</f>
        <v>1500</v>
      </c>
      <c r="K285" s="11" cm="1">
        <f t="array" ref="K285">_xlfn.XLOOKUP(C285&amp;D285&amp;F285,Expense!$C$2:$C$601&amp;Expense!$D$2:$D$601&amp;Expense!$E$2:$E$601,Expense!$H$2:$H$601,"")</f>
        <v>1400</v>
      </c>
      <c r="L285" s="14">
        <f t="shared" si="42"/>
        <v>4657</v>
      </c>
      <c r="M285" s="14">
        <f>Master_Table[[#This Row],[Expense Budget]]-Master_Table[[#This Row],[Actual Expense]]</f>
        <v>100</v>
      </c>
      <c r="N285" s="16">
        <f t="shared" si="43"/>
        <v>6257</v>
      </c>
      <c r="O285" s="29">
        <f t="shared" si="40"/>
        <v>1500</v>
      </c>
      <c r="P285" s="16">
        <f t="shared" si="41"/>
        <v>4757</v>
      </c>
      <c r="Q285" s="28">
        <f>Master_Table[[#This Row],[△Sales Variance]]/Master_Table[[#This Row],[Sales Budget]]</f>
        <v>1.5523333333333333</v>
      </c>
      <c r="R285" s="28">
        <f>Master_Table[[#This Row],[△Expense  Variance]]/Master_Table[[#This Row],[Expense Budget]]</f>
        <v>6.6666666666666666E-2</v>
      </c>
      <c r="S285" s="28">
        <f>Master_Table[[#This Row],[Net Profit Variance]]/Master_Table[[#This Row],[Budget Net Profit]]</f>
        <v>3.1713333333333331</v>
      </c>
      <c r="T285" s="28">
        <f>Master_Table[[#This Row],[Actual Net Profit]]/Master_Table[[#This Row],[Actual Sales]]</f>
        <v>0.81716076792477477</v>
      </c>
      <c r="U285" s="28" t="str">
        <f>_xlfn.TEXTJOIN(" - ", TRUE, Master_Table[[#This Row],[Product]], Master_Table[[#This Row],[Branch]])</f>
        <v>Apple - Kaduna</v>
      </c>
    </row>
    <row r="286" spans="1:21" ht="14.4" x14ac:dyDescent="0.3">
      <c r="A286" s="2">
        <v>285</v>
      </c>
      <c r="B286" s="2">
        <f t="shared" si="37"/>
        <v>104</v>
      </c>
      <c r="C286" s="1" t="str">
        <f>VLOOKUP(B286,Products!A:C,2,FALSE)</f>
        <v>Apple</v>
      </c>
      <c r="D286" s="1" t="str">
        <f t="shared" si="38"/>
        <v>Kaduna</v>
      </c>
      <c r="E286" s="4" t="str">
        <f>_xlfn.XLOOKUP(D286,'Sales Manager'!$A$2:$A$6,'Sales Manager'!$B$2:$B$6,"")</f>
        <v>Musa Garba</v>
      </c>
      <c r="F286" s="3">
        <f t="shared" si="44"/>
        <v>9</v>
      </c>
      <c r="G286" s="1" t="str">
        <f t="shared" si="44"/>
        <v>Sept</v>
      </c>
      <c r="H286" s="11">
        <v>9000</v>
      </c>
      <c r="I286" s="11">
        <v>4421</v>
      </c>
      <c r="J286" s="11" cm="1">
        <f t="array" ref="J286">_xlfn.XLOOKUP(C286&amp;D286&amp;F286,Expense!$C$2:$C$601&amp;Expense!$D$2:$D$601&amp;Expense!$E$2:$E$601,Expense!$G$2:$G$601,"")</f>
        <v>4500</v>
      </c>
      <c r="K286" s="11" cm="1">
        <f t="array" ref="K286">_xlfn.XLOOKUP(C286&amp;D286&amp;F286,Expense!$C$2:$C$601&amp;Expense!$D$2:$D$601&amp;Expense!$E$2:$E$601,Expense!$H$2:$H$601,"")</f>
        <v>4300</v>
      </c>
      <c r="L286" s="14">
        <f t="shared" si="42"/>
        <v>-4579</v>
      </c>
      <c r="M286" s="14">
        <f>Master_Table[[#This Row],[Expense Budget]]-Master_Table[[#This Row],[Actual Expense]]</f>
        <v>200</v>
      </c>
      <c r="N286" s="16">
        <f t="shared" si="43"/>
        <v>121</v>
      </c>
      <c r="O286" s="29">
        <f t="shared" si="40"/>
        <v>4500</v>
      </c>
      <c r="P286" s="16">
        <f t="shared" si="41"/>
        <v>-4379</v>
      </c>
      <c r="Q286" s="28">
        <f>Master_Table[[#This Row],[△Sales Variance]]/Master_Table[[#This Row],[Sales Budget]]</f>
        <v>-0.50877777777777777</v>
      </c>
      <c r="R286" s="28">
        <f>Master_Table[[#This Row],[△Expense  Variance]]/Master_Table[[#This Row],[Expense Budget]]</f>
        <v>4.4444444444444446E-2</v>
      </c>
      <c r="S286" s="28">
        <f>Master_Table[[#This Row],[Net Profit Variance]]/Master_Table[[#This Row],[Budget Net Profit]]</f>
        <v>-0.97311111111111115</v>
      </c>
      <c r="T286" s="28">
        <f>Master_Table[[#This Row],[Actual Net Profit]]/Master_Table[[#This Row],[Actual Sales]]</f>
        <v>2.7369373444921963E-2</v>
      </c>
      <c r="U286" s="28" t="str">
        <f>_xlfn.TEXTJOIN(" - ", TRUE, Master_Table[[#This Row],[Product]], Master_Table[[#This Row],[Branch]])</f>
        <v>Apple - Kaduna</v>
      </c>
    </row>
    <row r="287" spans="1:21" ht="14.4" x14ac:dyDescent="0.3">
      <c r="A287" s="2">
        <v>286</v>
      </c>
      <c r="B287" s="2">
        <f t="shared" si="37"/>
        <v>104</v>
      </c>
      <c r="C287" s="1" t="str">
        <f>VLOOKUP(B287,Products!A:C,2,FALSE)</f>
        <v>Apple</v>
      </c>
      <c r="D287" s="1" t="str">
        <f t="shared" si="38"/>
        <v>Kaduna</v>
      </c>
      <c r="E287" s="4" t="str">
        <f>_xlfn.XLOOKUP(D287,'Sales Manager'!$A$2:$A$6,'Sales Manager'!$B$2:$B$6,"")</f>
        <v>Musa Garba</v>
      </c>
      <c r="F287" s="3">
        <f t="shared" ref="F287:G302" si="45">F275</f>
        <v>10</v>
      </c>
      <c r="G287" s="1" t="str">
        <f t="shared" si="45"/>
        <v>Oct</v>
      </c>
      <c r="H287" s="11">
        <v>5000</v>
      </c>
      <c r="I287" s="11">
        <v>2414</v>
      </c>
      <c r="J287" s="11" cm="1">
        <f t="array" ref="J287">_xlfn.XLOOKUP(C287&amp;D287&amp;F287,Expense!$C$2:$C$601&amp;Expense!$D$2:$D$601&amp;Expense!$E$2:$E$601,Expense!$G$2:$G$601,"")</f>
        <v>1250</v>
      </c>
      <c r="K287" s="11" cm="1">
        <f t="array" ref="K287">_xlfn.XLOOKUP(C287&amp;D287&amp;F287,Expense!$C$2:$C$601&amp;Expense!$D$2:$D$601&amp;Expense!$E$2:$E$601,Expense!$H$2:$H$601,"")</f>
        <v>1050</v>
      </c>
      <c r="L287" s="14">
        <f t="shared" si="42"/>
        <v>-2586</v>
      </c>
      <c r="M287" s="14">
        <f>Master_Table[[#This Row],[Expense Budget]]-Master_Table[[#This Row],[Actual Expense]]</f>
        <v>200</v>
      </c>
      <c r="N287" s="16">
        <f t="shared" si="43"/>
        <v>1364</v>
      </c>
      <c r="O287" s="29">
        <f t="shared" si="40"/>
        <v>3750</v>
      </c>
      <c r="P287" s="16">
        <f t="shared" si="41"/>
        <v>-2386</v>
      </c>
      <c r="Q287" s="28">
        <f>Master_Table[[#This Row],[△Sales Variance]]/Master_Table[[#This Row],[Sales Budget]]</f>
        <v>-0.51719999999999999</v>
      </c>
      <c r="R287" s="28">
        <f>Master_Table[[#This Row],[△Expense  Variance]]/Master_Table[[#This Row],[Expense Budget]]</f>
        <v>0.16</v>
      </c>
      <c r="S287" s="28">
        <f>Master_Table[[#This Row],[Net Profit Variance]]/Master_Table[[#This Row],[Budget Net Profit]]</f>
        <v>-0.63626666666666665</v>
      </c>
      <c r="T287" s="28">
        <f>Master_Table[[#This Row],[Actual Net Profit]]/Master_Table[[#This Row],[Actual Sales]]</f>
        <v>0.56503728251864127</v>
      </c>
      <c r="U287" s="28" t="str">
        <f>_xlfn.TEXTJOIN(" - ", TRUE, Master_Table[[#This Row],[Product]], Master_Table[[#This Row],[Branch]])</f>
        <v>Apple - Kaduna</v>
      </c>
    </row>
    <row r="288" spans="1:21" ht="14.4" x14ac:dyDescent="0.3">
      <c r="A288" s="2">
        <v>287</v>
      </c>
      <c r="B288" s="2">
        <f t="shared" si="37"/>
        <v>104</v>
      </c>
      <c r="C288" s="1" t="str">
        <f>VLOOKUP(B288,Products!A:C,2,FALSE)</f>
        <v>Apple</v>
      </c>
      <c r="D288" s="1" t="str">
        <f t="shared" si="38"/>
        <v>Kaduna</v>
      </c>
      <c r="E288" s="4" t="str">
        <f>_xlfn.XLOOKUP(D288,'Sales Manager'!$A$2:$A$6,'Sales Manager'!$B$2:$B$6,"")</f>
        <v>Musa Garba</v>
      </c>
      <c r="F288" s="3">
        <f t="shared" si="45"/>
        <v>11</v>
      </c>
      <c r="G288" s="1" t="str">
        <f t="shared" si="45"/>
        <v>Nov</v>
      </c>
      <c r="H288" s="11">
        <v>7000</v>
      </c>
      <c r="I288" s="11">
        <v>4144</v>
      </c>
      <c r="J288" s="11" cm="1">
        <f t="array" ref="J288">_xlfn.XLOOKUP(C288&amp;D288&amp;F288,Expense!$C$2:$C$601&amp;Expense!$D$2:$D$601&amp;Expense!$E$2:$E$601,Expense!$G$2:$G$601,"")</f>
        <v>1750</v>
      </c>
      <c r="K288" s="11" cm="1">
        <f t="array" ref="K288">_xlfn.XLOOKUP(C288&amp;D288&amp;F288,Expense!$C$2:$C$601&amp;Expense!$D$2:$D$601&amp;Expense!$E$2:$E$601,Expense!$H$2:$H$601,"")</f>
        <v>950</v>
      </c>
      <c r="L288" s="14">
        <f t="shared" si="42"/>
        <v>-2856</v>
      </c>
      <c r="M288" s="14">
        <f>Master_Table[[#This Row],[Expense Budget]]-Master_Table[[#This Row],[Actual Expense]]</f>
        <v>800</v>
      </c>
      <c r="N288" s="16">
        <f t="shared" si="43"/>
        <v>3194</v>
      </c>
      <c r="O288" s="29">
        <f t="shared" si="40"/>
        <v>5250</v>
      </c>
      <c r="P288" s="16">
        <f t="shared" si="41"/>
        <v>-2056</v>
      </c>
      <c r="Q288" s="28">
        <f>Master_Table[[#This Row],[△Sales Variance]]/Master_Table[[#This Row],[Sales Budget]]</f>
        <v>-0.40799999999999997</v>
      </c>
      <c r="R288" s="28">
        <f>Master_Table[[#This Row],[△Expense  Variance]]/Master_Table[[#This Row],[Expense Budget]]</f>
        <v>0.45714285714285713</v>
      </c>
      <c r="S288" s="28">
        <f>Master_Table[[#This Row],[Net Profit Variance]]/Master_Table[[#This Row],[Budget Net Profit]]</f>
        <v>-0.39161904761904764</v>
      </c>
      <c r="T288" s="28">
        <f>Master_Table[[#This Row],[Actual Net Profit]]/Master_Table[[#This Row],[Actual Sales]]</f>
        <v>0.77075289575289574</v>
      </c>
      <c r="U288" s="28" t="str">
        <f>_xlfn.TEXTJOIN(" - ", TRUE, Master_Table[[#This Row],[Product]], Master_Table[[#This Row],[Branch]])</f>
        <v>Apple - Kaduna</v>
      </c>
    </row>
    <row r="289" spans="1:21" ht="14.4" x14ac:dyDescent="0.3">
      <c r="A289" s="2">
        <v>288</v>
      </c>
      <c r="B289" s="2">
        <f t="shared" si="37"/>
        <v>104</v>
      </c>
      <c r="C289" s="1" t="str">
        <f>VLOOKUP(B289,Products!A:C,2,FALSE)</f>
        <v>Apple</v>
      </c>
      <c r="D289" s="1" t="str">
        <f t="shared" si="38"/>
        <v>Kaduna</v>
      </c>
      <c r="E289" s="4" t="str">
        <f>_xlfn.XLOOKUP(D289,'Sales Manager'!$A$2:$A$6,'Sales Manager'!$B$2:$B$6,"")</f>
        <v>Musa Garba</v>
      </c>
      <c r="F289" s="3">
        <f t="shared" si="45"/>
        <v>12</v>
      </c>
      <c r="G289" s="1" t="str">
        <f t="shared" si="45"/>
        <v>Dec</v>
      </c>
      <c r="H289" s="11">
        <v>9000</v>
      </c>
      <c r="I289" s="11">
        <v>7222</v>
      </c>
      <c r="J289" s="11" cm="1">
        <f t="array" ref="J289">_xlfn.XLOOKUP(C289&amp;D289&amp;F289,Expense!$C$2:$C$601&amp;Expense!$D$2:$D$601&amp;Expense!$E$2:$E$601,Expense!$G$2:$G$601,"")</f>
        <v>2250</v>
      </c>
      <c r="K289" s="11" cm="1">
        <f t="array" ref="K289">_xlfn.XLOOKUP(C289&amp;D289&amp;F289,Expense!$C$2:$C$601&amp;Expense!$D$2:$D$601&amp;Expense!$E$2:$E$601,Expense!$H$2:$H$601,"")</f>
        <v>2150</v>
      </c>
      <c r="L289" s="14">
        <f t="shared" si="42"/>
        <v>-1778</v>
      </c>
      <c r="M289" s="14">
        <f>Master_Table[[#This Row],[Expense Budget]]-Master_Table[[#This Row],[Actual Expense]]</f>
        <v>100</v>
      </c>
      <c r="N289" s="16">
        <f t="shared" si="43"/>
        <v>5072</v>
      </c>
      <c r="O289" s="29">
        <f t="shared" si="40"/>
        <v>6750</v>
      </c>
      <c r="P289" s="16">
        <f t="shared" si="41"/>
        <v>-1678</v>
      </c>
      <c r="Q289" s="28">
        <f>Master_Table[[#This Row],[△Sales Variance]]/Master_Table[[#This Row],[Sales Budget]]</f>
        <v>-0.19755555555555557</v>
      </c>
      <c r="R289" s="28">
        <f>Master_Table[[#This Row],[△Expense  Variance]]/Master_Table[[#This Row],[Expense Budget]]</f>
        <v>4.4444444444444446E-2</v>
      </c>
      <c r="S289" s="28">
        <f>Master_Table[[#This Row],[Net Profit Variance]]/Master_Table[[#This Row],[Budget Net Profit]]</f>
        <v>-0.24859259259259259</v>
      </c>
      <c r="T289" s="28">
        <f>Master_Table[[#This Row],[Actual Net Profit]]/Master_Table[[#This Row],[Actual Sales]]</f>
        <v>0.70229853226253114</v>
      </c>
      <c r="U289" s="28" t="str">
        <f>_xlfn.TEXTJOIN(" - ", TRUE, Master_Table[[#This Row],[Product]], Master_Table[[#This Row],[Branch]])</f>
        <v>Apple - Kaduna</v>
      </c>
    </row>
    <row r="290" spans="1:21" ht="14.4" x14ac:dyDescent="0.3">
      <c r="A290" s="2">
        <v>289</v>
      </c>
      <c r="B290" s="2">
        <f t="shared" si="37"/>
        <v>104</v>
      </c>
      <c r="C290" s="1" t="str">
        <f>VLOOKUP(B290,Products!A:C,2,FALSE)</f>
        <v>Apple</v>
      </c>
      <c r="D290" s="1" t="str">
        <f t="shared" si="38"/>
        <v>Ibadan</v>
      </c>
      <c r="E290" s="4" t="str">
        <f>_xlfn.XLOOKUP(D290,'Sales Manager'!$A$2:$A$6,'Sales Manager'!$B$2:$B$6,"")</f>
        <v>Funmi Adeyemi</v>
      </c>
      <c r="F290" s="3">
        <f t="shared" si="45"/>
        <v>1</v>
      </c>
      <c r="G290" s="1" t="str">
        <f t="shared" si="45"/>
        <v>Jan</v>
      </c>
      <c r="H290" s="11">
        <v>2000</v>
      </c>
      <c r="I290" s="11">
        <v>4514</v>
      </c>
      <c r="J290" s="11" cm="1">
        <f t="array" ref="J290">_xlfn.XLOOKUP(C290&amp;D290&amp;F290,Expense!$C$2:$C$601&amp;Expense!$D$2:$D$601&amp;Expense!$E$2:$E$601,Expense!$G$2:$G$601,"")</f>
        <v>666.66666666666663</v>
      </c>
      <c r="K290" s="11" cm="1">
        <f t="array" ref="K290">_xlfn.XLOOKUP(C290&amp;D290&amp;F290,Expense!$C$2:$C$601&amp;Expense!$D$2:$D$601&amp;Expense!$E$2:$E$601,Expense!$H$2:$H$601,"")</f>
        <v>666.66666666666663</v>
      </c>
      <c r="L290" s="14">
        <f t="shared" si="42"/>
        <v>2514</v>
      </c>
      <c r="M290" s="14">
        <f>Master_Table[[#This Row],[Expense Budget]]-Master_Table[[#This Row],[Actual Expense]]</f>
        <v>0</v>
      </c>
      <c r="N290" s="16">
        <f t="shared" si="43"/>
        <v>3847.3333333333335</v>
      </c>
      <c r="O290" s="29">
        <f t="shared" si="40"/>
        <v>1333.3333333333335</v>
      </c>
      <c r="P290" s="16">
        <f t="shared" si="41"/>
        <v>2514</v>
      </c>
      <c r="Q290" s="28">
        <f>Master_Table[[#This Row],[△Sales Variance]]/Master_Table[[#This Row],[Sales Budget]]</f>
        <v>1.2569999999999999</v>
      </c>
      <c r="R290" s="28">
        <f>Master_Table[[#This Row],[△Expense  Variance]]/Master_Table[[#This Row],[Expense Budget]]</f>
        <v>0</v>
      </c>
      <c r="S290" s="28">
        <f>Master_Table[[#This Row],[Net Profit Variance]]/Master_Table[[#This Row],[Budget Net Profit]]</f>
        <v>1.8854999999999997</v>
      </c>
      <c r="T290" s="28">
        <f>Master_Table[[#This Row],[Actual Net Profit]]/Master_Table[[#This Row],[Actual Sales]]</f>
        <v>0.8523113277211638</v>
      </c>
      <c r="U290" s="28" t="str">
        <f>_xlfn.TEXTJOIN(" - ", TRUE, Master_Table[[#This Row],[Product]], Master_Table[[#This Row],[Branch]])</f>
        <v>Apple - Ibadan</v>
      </c>
    </row>
    <row r="291" spans="1:21" ht="14.4" x14ac:dyDescent="0.3">
      <c r="A291" s="2">
        <v>290</v>
      </c>
      <c r="B291" s="2">
        <f t="shared" si="37"/>
        <v>104</v>
      </c>
      <c r="C291" s="1" t="str">
        <f>VLOOKUP(B291,Products!A:C,2,FALSE)</f>
        <v>Apple</v>
      </c>
      <c r="D291" s="1" t="str">
        <f t="shared" si="38"/>
        <v>Ibadan</v>
      </c>
      <c r="E291" s="4" t="str">
        <f>_xlfn.XLOOKUP(D291,'Sales Manager'!$A$2:$A$6,'Sales Manager'!$B$2:$B$6,"")</f>
        <v>Funmi Adeyemi</v>
      </c>
      <c r="F291" s="3">
        <f t="shared" si="45"/>
        <v>2</v>
      </c>
      <c r="G291" s="1" t="str">
        <f t="shared" si="45"/>
        <v>Feb</v>
      </c>
      <c r="H291" s="11">
        <v>7000</v>
      </c>
      <c r="I291" s="11">
        <v>2534</v>
      </c>
      <c r="J291" s="11" cm="1">
        <f t="array" ref="J291">_xlfn.XLOOKUP(C291&amp;D291&amp;F291,Expense!$C$2:$C$601&amp;Expense!$D$2:$D$601&amp;Expense!$E$2:$E$601,Expense!$G$2:$G$601,"")</f>
        <v>2333.3333333333335</v>
      </c>
      <c r="K291" s="11" cm="1">
        <f t="array" ref="K291">_xlfn.XLOOKUP(C291&amp;D291&amp;F291,Expense!$C$2:$C$601&amp;Expense!$D$2:$D$601&amp;Expense!$E$2:$E$601,Expense!$H$2:$H$601,"")</f>
        <v>2033.3333333333335</v>
      </c>
      <c r="L291" s="14">
        <f t="shared" si="42"/>
        <v>-4466</v>
      </c>
      <c r="M291" s="14">
        <f>Master_Table[[#This Row],[Expense Budget]]-Master_Table[[#This Row],[Actual Expense]]</f>
        <v>300</v>
      </c>
      <c r="N291" s="16">
        <f t="shared" si="43"/>
        <v>500.66666666666652</v>
      </c>
      <c r="O291" s="29">
        <f t="shared" si="40"/>
        <v>4666.6666666666661</v>
      </c>
      <c r="P291" s="16">
        <f t="shared" si="41"/>
        <v>-4166</v>
      </c>
      <c r="Q291" s="28">
        <f>Master_Table[[#This Row],[△Sales Variance]]/Master_Table[[#This Row],[Sales Budget]]</f>
        <v>-0.63800000000000001</v>
      </c>
      <c r="R291" s="28">
        <f>Master_Table[[#This Row],[△Expense  Variance]]/Master_Table[[#This Row],[Expense Budget]]</f>
        <v>0.12857142857142856</v>
      </c>
      <c r="S291" s="28">
        <f>Master_Table[[#This Row],[Net Profit Variance]]/Master_Table[[#This Row],[Budget Net Profit]]</f>
        <v>-0.89271428571428579</v>
      </c>
      <c r="T291" s="28">
        <f>Master_Table[[#This Row],[Actual Net Profit]]/Master_Table[[#This Row],[Actual Sales]]</f>
        <v>0.19757958431991576</v>
      </c>
      <c r="U291" s="28" t="str">
        <f>_xlfn.TEXTJOIN(" - ", TRUE, Master_Table[[#This Row],[Product]], Master_Table[[#This Row],[Branch]])</f>
        <v>Apple - Ibadan</v>
      </c>
    </row>
    <row r="292" spans="1:21" ht="14.4" x14ac:dyDescent="0.3">
      <c r="A292" s="2">
        <v>291</v>
      </c>
      <c r="B292" s="2">
        <f t="shared" si="37"/>
        <v>104</v>
      </c>
      <c r="C292" s="1" t="str">
        <f>VLOOKUP(B292,Products!A:C,2,FALSE)</f>
        <v>Apple</v>
      </c>
      <c r="D292" s="1" t="str">
        <f t="shared" si="38"/>
        <v>Ibadan</v>
      </c>
      <c r="E292" s="4" t="str">
        <f>_xlfn.XLOOKUP(D292,'Sales Manager'!$A$2:$A$6,'Sales Manager'!$B$2:$B$6,"")</f>
        <v>Funmi Adeyemi</v>
      </c>
      <c r="F292" s="3">
        <f t="shared" si="45"/>
        <v>3</v>
      </c>
      <c r="G292" s="1" t="str">
        <f t="shared" si="45"/>
        <v>Mar</v>
      </c>
      <c r="H292" s="11">
        <v>5000</v>
      </c>
      <c r="I292" s="11">
        <v>4546</v>
      </c>
      <c r="J292" s="11" cm="1">
        <f t="array" ref="J292">_xlfn.XLOOKUP(C292&amp;D292&amp;F292,Expense!$C$2:$C$601&amp;Expense!$D$2:$D$601&amp;Expense!$E$2:$E$601,Expense!$G$2:$G$601,"")</f>
        <v>2500</v>
      </c>
      <c r="K292" s="11" cm="1">
        <f t="array" ref="K292">_xlfn.XLOOKUP(C292&amp;D292&amp;F292,Expense!$C$2:$C$601&amp;Expense!$D$2:$D$601&amp;Expense!$E$2:$E$601,Expense!$H$2:$H$601,"")</f>
        <v>2500</v>
      </c>
      <c r="L292" s="14">
        <f t="shared" si="42"/>
        <v>-454</v>
      </c>
      <c r="M292" s="14">
        <f>Master_Table[[#This Row],[Expense Budget]]-Master_Table[[#This Row],[Actual Expense]]</f>
        <v>0</v>
      </c>
      <c r="N292" s="16">
        <f t="shared" si="43"/>
        <v>2046</v>
      </c>
      <c r="O292" s="29">
        <f t="shared" si="40"/>
        <v>2500</v>
      </c>
      <c r="P292" s="16">
        <f t="shared" si="41"/>
        <v>-454</v>
      </c>
      <c r="Q292" s="28">
        <f>Master_Table[[#This Row],[△Sales Variance]]/Master_Table[[#This Row],[Sales Budget]]</f>
        <v>-9.0800000000000006E-2</v>
      </c>
      <c r="R292" s="28">
        <f>Master_Table[[#This Row],[△Expense  Variance]]/Master_Table[[#This Row],[Expense Budget]]</f>
        <v>0</v>
      </c>
      <c r="S292" s="28">
        <f>Master_Table[[#This Row],[Net Profit Variance]]/Master_Table[[#This Row],[Budget Net Profit]]</f>
        <v>-0.18160000000000001</v>
      </c>
      <c r="T292" s="28">
        <f>Master_Table[[#This Row],[Actual Net Profit]]/Master_Table[[#This Row],[Actual Sales]]</f>
        <v>0.45006599208095027</v>
      </c>
      <c r="U292" s="28" t="str">
        <f>_xlfn.TEXTJOIN(" - ", TRUE, Master_Table[[#This Row],[Product]], Master_Table[[#This Row],[Branch]])</f>
        <v>Apple - Ibadan</v>
      </c>
    </row>
    <row r="293" spans="1:21" ht="14.4" x14ac:dyDescent="0.3">
      <c r="A293" s="2">
        <v>292</v>
      </c>
      <c r="B293" s="2">
        <f t="shared" si="37"/>
        <v>104</v>
      </c>
      <c r="C293" s="1" t="str">
        <f>VLOOKUP(B293,Products!A:C,2,FALSE)</f>
        <v>Apple</v>
      </c>
      <c r="D293" s="1" t="str">
        <f t="shared" si="38"/>
        <v>Ibadan</v>
      </c>
      <c r="E293" s="4" t="str">
        <f>_xlfn.XLOOKUP(D293,'Sales Manager'!$A$2:$A$6,'Sales Manager'!$B$2:$B$6,"")</f>
        <v>Funmi Adeyemi</v>
      </c>
      <c r="F293" s="3">
        <f t="shared" si="45"/>
        <v>4</v>
      </c>
      <c r="G293" s="1" t="str">
        <f t="shared" si="45"/>
        <v>Apr</v>
      </c>
      <c r="H293" s="11">
        <v>3000</v>
      </c>
      <c r="I293" s="11">
        <v>2327</v>
      </c>
      <c r="J293" s="11" cm="1">
        <f t="array" ref="J293">_xlfn.XLOOKUP(C293&amp;D293&amp;F293,Expense!$C$2:$C$601&amp;Expense!$D$2:$D$601&amp;Expense!$E$2:$E$601,Expense!$G$2:$G$601,"")</f>
        <v>600</v>
      </c>
      <c r="K293" s="11" cm="1">
        <f t="array" ref="K293">_xlfn.XLOOKUP(C293&amp;D293&amp;F293,Expense!$C$2:$C$601&amp;Expense!$D$2:$D$601&amp;Expense!$E$2:$E$601,Expense!$H$2:$H$601,"")</f>
        <v>400</v>
      </c>
      <c r="L293" s="14">
        <f t="shared" si="42"/>
        <v>-673</v>
      </c>
      <c r="M293" s="14">
        <f>Master_Table[[#This Row],[Expense Budget]]-Master_Table[[#This Row],[Actual Expense]]</f>
        <v>200</v>
      </c>
      <c r="N293" s="16">
        <f t="shared" si="43"/>
        <v>1927</v>
      </c>
      <c r="O293" s="29">
        <f t="shared" si="40"/>
        <v>2400</v>
      </c>
      <c r="P293" s="16">
        <f t="shared" si="41"/>
        <v>-473</v>
      </c>
      <c r="Q293" s="28">
        <f>Master_Table[[#This Row],[△Sales Variance]]/Master_Table[[#This Row],[Sales Budget]]</f>
        <v>-0.22433333333333333</v>
      </c>
      <c r="R293" s="28">
        <f>Master_Table[[#This Row],[△Expense  Variance]]/Master_Table[[#This Row],[Expense Budget]]</f>
        <v>0.33333333333333331</v>
      </c>
      <c r="S293" s="28">
        <f>Master_Table[[#This Row],[Net Profit Variance]]/Master_Table[[#This Row],[Budget Net Profit]]</f>
        <v>-0.19708333333333333</v>
      </c>
      <c r="T293" s="28">
        <f>Master_Table[[#This Row],[Actual Net Profit]]/Master_Table[[#This Row],[Actual Sales]]</f>
        <v>0.82810485603781692</v>
      </c>
      <c r="U293" s="28" t="str">
        <f>_xlfn.TEXTJOIN(" - ", TRUE, Master_Table[[#This Row],[Product]], Master_Table[[#This Row],[Branch]])</f>
        <v>Apple - Ibadan</v>
      </c>
    </row>
    <row r="294" spans="1:21" ht="14.4" x14ac:dyDescent="0.3">
      <c r="A294" s="2">
        <v>293</v>
      </c>
      <c r="B294" s="2">
        <f t="shared" si="37"/>
        <v>104</v>
      </c>
      <c r="C294" s="1" t="str">
        <f>VLOOKUP(B294,Products!A:C,2,FALSE)</f>
        <v>Apple</v>
      </c>
      <c r="D294" s="1" t="str">
        <f t="shared" si="38"/>
        <v>Ibadan</v>
      </c>
      <c r="E294" s="4" t="str">
        <f>_xlfn.XLOOKUP(D294,'Sales Manager'!$A$2:$A$6,'Sales Manager'!$B$2:$B$6,"")</f>
        <v>Funmi Adeyemi</v>
      </c>
      <c r="F294" s="3">
        <f t="shared" si="45"/>
        <v>5</v>
      </c>
      <c r="G294" s="1" t="str">
        <f t="shared" si="45"/>
        <v>May</v>
      </c>
      <c r="H294" s="11">
        <v>4000</v>
      </c>
      <c r="I294" s="11">
        <v>6523</v>
      </c>
      <c r="J294" s="11" cm="1">
        <f t="array" ref="J294">_xlfn.XLOOKUP(C294&amp;D294&amp;F294,Expense!$C$2:$C$601&amp;Expense!$D$2:$D$601&amp;Expense!$E$2:$E$601,Expense!$G$2:$G$601,"")</f>
        <v>800</v>
      </c>
      <c r="K294" s="11" cm="1">
        <f t="array" ref="K294">_xlfn.XLOOKUP(C294&amp;D294&amp;F294,Expense!$C$2:$C$601&amp;Expense!$D$2:$D$601&amp;Expense!$E$2:$E$601,Expense!$H$2:$H$601,"")</f>
        <v>200</v>
      </c>
      <c r="L294" s="14">
        <f t="shared" si="42"/>
        <v>2523</v>
      </c>
      <c r="M294" s="14">
        <f>Master_Table[[#This Row],[Expense Budget]]-Master_Table[[#This Row],[Actual Expense]]</f>
        <v>600</v>
      </c>
      <c r="N294" s="16">
        <f t="shared" si="43"/>
        <v>6323</v>
      </c>
      <c r="O294" s="29">
        <f t="shared" si="40"/>
        <v>3200</v>
      </c>
      <c r="P294" s="16">
        <f t="shared" si="41"/>
        <v>3123</v>
      </c>
      <c r="Q294" s="28">
        <f>Master_Table[[#This Row],[△Sales Variance]]/Master_Table[[#This Row],[Sales Budget]]</f>
        <v>0.63075000000000003</v>
      </c>
      <c r="R294" s="28">
        <f>Master_Table[[#This Row],[△Expense  Variance]]/Master_Table[[#This Row],[Expense Budget]]</f>
        <v>0.75</v>
      </c>
      <c r="S294" s="28">
        <f>Master_Table[[#This Row],[Net Profit Variance]]/Master_Table[[#This Row],[Budget Net Profit]]</f>
        <v>0.97593750000000001</v>
      </c>
      <c r="T294" s="28">
        <f>Master_Table[[#This Row],[Actual Net Profit]]/Master_Table[[#This Row],[Actual Sales]]</f>
        <v>0.96933926107619195</v>
      </c>
      <c r="U294" s="28" t="str">
        <f>_xlfn.TEXTJOIN(" - ", TRUE, Master_Table[[#This Row],[Product]], Master_Table[[#This Row],[Branch]])</f>
        <v>Apple - Ibadan</v>
      </c>
    </row>
    <row r="295" spans="1:21" ht="14.4" x14ac:dyDescent="0.3">
      <c r="A295" s="2">
        <v>294</v>
      </c>
      <c r="B295" s="2">
        <f t="shared" si="37"/>
        <v>104</v>
      </c>
      <c r="C295" s="1" t="str">
        <f>VLOOKUP(B295,Products!A:C,2,FALSE)</f>
        <v>Apple</v>
      </c>
      <c r="D295" s="1" t="str">
        <f t="shared" si="38"/>
        <v>Ibadan</v>
      </c>
      <c r="E295" s="4" t="str">
        <f>_xlfn.XLOOKUP(D295,'Sales Manager'!$A$2:$A$6,'Sales Manager'!$B$2:$B$6,"")</f>
        <v>Funmi Adeyemi</v>
      </c>
      <c r="F295" s="3">
        <f t="shared" si="45"/>
        <v>6</v>
      </c>
      <c r="G295" s="1" t="str">
        <f t="shared" si="45"/>
        <v>Jun</v>
      </c>
      <c r="H295" s="11">
        <v>1000</v>
      </c>
      <c r="I295" s="11">
        <v>6162</v>
      </c>
      <c r="J295" s="11" cm="1">
        <f t="array" ref="J295">_xlfn.XLOOKUP(C295&amp;D295&amp;F295,Expense!$C$2:$C$601&amp;Expense!$D$2:$D$601&amp;Expense!$E$2:$E$601,Expense!$G$2:$G$601,"")</f>
        <v>333.33333333333331</v>
      </c>
      <c r="K295" s="11" cm="1">
        <f t="array" ref="K295">_xlfn.XLOOKUP(C295&amp;D295&amp;F295,Expense!$C$2:$C$601&amp;Expense!$D$2:$D$601&amp;Expense!$E$2:$E$601,Expense!$H$2:$H$601,"")</f>
        <v>133.33333333333331</v>
      </c>
      <c r="L295" s="14">
        <f t="shared" si="42"/>
        <v>5162</v>
      </c>
      <c r="M295" s="14">
        <f>Master_Table[[#This Row],[Expense Budget]]-Master_Table[[#This Row],[Actual Expense]]</f>
        <v>200</v>
      </c>
      <c r="N295" s="16">
        <f t="shared" si="43"/>
        <v>6028.666666666667</v>
      </c>
      <c r="O295" s="29">
        <f t="shared" si="40"/>
        <v>666.66666666666674</v>
      </c>
      <c r="P295" s="16">
        <f t="shared" si="41"/>
        <v>5362</v>
      </c>
      <c r="Q295" s="28">
        <f>Master_Table[[#This Row],[△Sales Variance]]/Master_Table[[#This Row],[Sales Budget]]</f>
        <v>5.1619999999999999</v>
      </c>
      <c r="R295" s="28">
        <f>Master_Table[[#This Row],[△Expense  Variance]]/Master_Table[[#This Row],[Expense Budget]]</f>
        <v>0.60000000000000009</v>
      </c>
      <c r="S295" s="28">
        <f>Master_Table[[#This Row],[Net Profit Variance]]/Master_Table[[#This Row],[Budget Net Profit]]</f>
        <v>8.0429999999999993</v>
      </c>
      <c r="T295" s="28">
        <f>Master_Table[[#This Row],[Actual Net Profit]]/Master_Table[[#This Row],[Actual Sales]]</f>
        <v>0.97836200367845938</v>
      </c>
      <c r="U295" s="28" t="str">
        <f>_xlfn.TEXTJOIN(" - ", TRUE, Master_Table[[#This Row],[Product]], Master_Table[[#This Row],[Branch]])</f>
        <v>Apple - Ibadan</v>
      </c>
    </row>
    <row r="296" spans="1:21" ht="14.4" x14ac:dyDescent="0.3">
      <c r="A296" s="2">
        <v>295</v>
      </c>
      <c r="B296" s="2">
        <f t="shared" si="37"/>
        <v>104</v>
      </c>
      <c r="C296" s="1" t="str">
        <f>VLOOKUP(B296,Products!A:C,2,FALSE)</f>
        <v>Apple</v>
      </c>
      <c r="D296" s="1" t="str">
        <f t="shared" si="38"/>
        <v>Ibadan</v>
      </c>
      <c r="E296" s="4" t="str">
        <f>_xlfn.XLOOKUP(D296,'Sales Manager'!$A$2:$A$6,'Sales Manager'!$B$2:$B$6,"")</f>
        <v>Funmi Adeyemi</v>
      </c>
      <c r="F296" s="3">
        <f t="shared" si="45"/>
        <v>7</v>
      </c>
      <c r="G296" s="1" t="str">
        <f t="shared" si="45"/>
        <v>Jul</v>
      </c>
      <c r="H296" s="11">
        <v>2000</v>
      </c>
      <c r="I296" s="11">
        <v>7572</v>
      </c>
      <c r="J296" s="11" cm="1">
        <f t="array" ref="J296">_xlfn.XLOOKUP(C296&amp;D296&amp;F296,Expense!$C$2:$C$601&amp;Expense!$D$2:$D$601&amp;Expense!$E$2:$E$601,Expense!$G$2:$G$601,"")</f>
        <v>500</v>
      </c>
      <c r="K296" s="11" cm="1">
        <f t="array" ref="K296">_xlfn.XLOOKUP(C296&amp;D296&amp;F296,Expense!$C$2:$C$601&amp;Expense!$D$2:$D$601&amp;Expense!$E$2:$E$601,Expense!$H$2:$H$601,"")</f>
        <v>200</v>
      </c>
      <c r="L296" s="14">
        <f t="shared" si="42"/>
        <v>5572</v>
      </c>
      <c r="M296" s="14">
        <f>Master_Table[[#This Row],[Expense Budget]]-Master_Table[[#This Row],[Actual Expense]]</f>
        <v>300</v>
      </c>
      <c r="N296" s="16">
        <f t="shared" si="43"/>
        <v>7372</v>
      </c>
      <c r="O296" s="29">
        <f t="shared" si="40"/>
        <v>1500</v>
      </c>
      <c r="P296" s="16">
        <f t="shared" si="41"/>
        <v>5872</v>
      </c>
      <c r="Q296" s="28">
        <f>Master_Table[[#This Row],[△Sales Variance]]/Master_Table[[#This Row],[Sales Budget]]</f>
        <v>2.786</v>
      </c>
      <c r="R296" s="28">
        <f>Master_Table[[#This Row],[△Expense  Variance]]/Master_Table[[#This Row],[Expense Budget]]</f>
        <v>0.6</v>
      </c>
      <c r="S296" s="28">
        <f>Master_Table[[#This Row],[Net Profit Variance]]/Master_Table[[#This Row],[Budget Net Profit]]</f>
        <v>3.9146666666666667</v>
      </c>
      <c r="T296" s="28">
        <f>Master_Table[[#This Row],[Actual Net Profit]]/Master_Table[[#This Row],[Actual Sales]]</f>
        <v>0.97358689910195462</v>
      </c>
      <c r="U296" s="28" t="str">
        <f>_xlfn.TEXTJOIN(" - ", TRUE, Master_Table[[#This Row],[Product]], Master_Table[[#This Row],[Branch]])</f>
        <v>Apple - Ibadan</v>
      </c>
    </row>
    <row r="297" spans="1:21" ht="14.4" x14ac:dyDescent="0.3">
      <c r="A297" s="2">
        <v>296</v>
      </c>
      <c r="B297" s="2">
        <f t="shared" si="37"/>
        <v>104</v>
      </c>
      <c r="C297" s="1" t="str">
        <f>VLOOKUP(B297,Products!A:C,2,FALSE)</f>
        <v>Apple</v>
      </c>
      <c r="D297" s="1" t="str">
        <f t="shared" si="38"/>
        <v>Ibadan</v>
      </c>
      <c r="E297" s="4" t="str">
        <f>_xlfn.XLOOKUP(D297,'Sales Manager'!$A$2:$A$6,'Sales Manager'!$B$2:$B$6,"")</f>
        <v>Funmi Adeyemi</v>
      </c>
      <c r="F297" s="3">
        <f t="shared" si="45"/>
        <v>8</v>
      </c>
      <c r="G297" s="1" t="str">
        <f t="shared" si="45"/>
        <v>Aug</v>
      </c>
      <c r="H297" s="11">
        <v>7000</v>
      </c>
      <c r="I297" s="11">
        <v>4422</v>
      </c>
      <c r="J297" s="11" cm="1">
        <f t="array" ref="J297">_xlfn.XLOOKUP(C297&amp;D297&amp;F297,Expense!$C$2:$C$601&amp;Expense!$D$2:$D$601&amp;Expense!$E$2:$E$601,Expense!$G$2:$G$601,"")</f>
        <v>2333.3333333333335</v>
      </c>
      <c r="K297" s="11" cm="1">
        <f t="array" ref="K297">_xlfn.XLOOKUP(C297&amp;D297&amp;F297,Expense!$C$2:$C$601&amp;Expense!$D$2:$D$601&amp;Expense!$E$2:$E$601,Expense!$H$2:$H$601,"")</f>
        <v>2133.3333333333335</v>
      </c>
      <c r="L297" s="14">
        <f t="shared" si="42"/>
        <v>-2578</v>
      </c>
      <c r="M297" s="14">
        <f>Master_Table[[#This Row],[Expense Budget]]-Master_Table[[#This Row],[Actual Expense]]</f>
        <v>200</v>
      </c>
      <c r="N297" s="16">
        <f t="shared" si="43"/>
        <v>2288.6666666666665</v>
      </c>
      <c r="O297" s="29">
        <f t="shared" si="40"/>
        <v>4666.6666666666661</v>
      </c>
      <c r="P297" s="16">
        <f t="shared" si="41"/>
        <v>-2377.9999999999995</v>
      </c>
      <c r="Q297" s="28">
        <f>Master_Table[[#This Row],[△Sales Variance]]/Master_Table[[#This Row],[Sales Budget]]</f>
        <v>-0.36828571428571427</v>
      </c>
      <c r="R297" s="28">
        <f>Master_Table[[#This Row],[△Expense  Variance]]/Master_Table[[#This Row],[Expense Budget]]</f>
        <v>8.5714285714285715E-2</v>
      </c>
      <c r="S297" s="28">
        <f>Master_Table[[#This Row],[Net Profit Variance]]/Master_Table[[#This Row],[Budget Net Profit]]</f>
        <v>-0.50957142857142856</v>
      </c>
      <c r="T297" s="28">
        <f>Master_Table[[#This Row],[Actual Net Profit]]/Master_Table[[#This Row],[Actual Sales]]</f>
        <v>0.51756369666817426</v>
      </c>
      <c r="U297" s="28" t="str">
        <f>_xlfn.TEXTJOIN(" - ", TRUE, Master_Table[[#This Row],[Product]], Master_Table[[#This Row],[Branch]])</f>
        <v>Apple - Ibadan</v>
      </c>
    </row>
    <row r="298" spans="1:21" ht="14.4" x14ac:dyDescent="0.3">
      <c r="A298" s="2">
        <v>297</v>
      </c>
      <c r="B298" s="2">
        <f t="shared" si="37"/>
        <v>104</v>
      </c>
      <c r="C298" s="1" t="str">
        <f>VLOOKUP(B298,Products!A:C,2,FALSE)</f>
        <v>Apple</v>
      </c>
      <c r="D298" s="1" t="str">
        <f t="shared" si="38"/>
        <v>Ibadan</v>
      </c>
      <c r="E298" s="4" t="str">
        <f>_xlfn.XLOOKUP(D298,'Sales Manager'!$A$2:$A$6,'Sales Manager'!$B$2:$B$6,"")</f>
        <v>Funmi Adeyemi</v>
      </c>
      <c r="F298" s="3">
        <f t="shared" si="45"/>
        <v>9</v>
      </c>
      <c r="G298" s="1" t="str">
        <f t="shared" si="45"/>
        <v>Sept</v>
      </c>
      <c r="H298" s="11">
        <v>6000</v>
      </c>
      <c r="I298" s="11">
        <v>9663</v>
      </c>
      <c r="J298" s="11" cm="1">
        <f t="array" ref="J298">_xlfn.XLOOKUP(C298&amp;D298&amp;F298,Expense!$C$2:$C$601&amp;Expense!$D$2:$D$601&amp;Expense!$E$2:$E$601,Expense!$G$2:$G$601,"")</f>
        <v>1200</v>
      </c>
      <c r="K298" s="11" cm="1">
        <f t="array" ref="K298">_xlfn.XLOOKUP(C298&amp;D298&amp;F298,Expense!$C$2:$C$601&amp;Expense!$D$2:$D$601&amp;Expense!$E$2:$E$601,Expense!$H$2:$H$601,"")</f>
        <v>800</v>
      </c>
      <c r="L298" s="14">
        <f t="shared" si="42"/>
        <v>3663</v>
      </c>
      <c r="M298" s="14">
        <f>Master_Table[[#This Row],[Expense Budget]]-Master_Table[[#This Row],[Actual Expense]]</f>
        <v>400</v>
      </c>
      <c r="N298" s="16">
        <f t="shared" si="43"/>
        <v>8863</v>
      </c>
      <c r="O298" s="29">
        <f t="shared" si="40"/>
        <v>4800</v>
      </c>
      <c r="P298" s="16">
        <f t="shared" si="41"/>
        <v>4063</v>
      </c>
      <c r="Q298" s="28">
        <f>Master_Table[[#This Row],[△Sales Variance]]/Master_Table[[#This Row],[Sales Budget]]</f>
        <v>0.61050000000000004</v>
      </c>
      <c r="R298" s="28">
        <f>Master_Table[[#This Row],[△Expense  Variance]]/Master_Table[[#This Row],[Expense Budget]]</f>
        <v>0.33333333333333331</v>
      </c>
      <c r="S298" s="28">
        <f>Master_Table[[#This Row],[Net Profit Variance]]/Master_Table[[#This Row],[Budget Net Profit]]</f>
        <v>0.84645833333333331</v>
      </c>
      <c r="T298" s="28">
        <f>Master_Table[[#This Row],[Actual Net Profit]]/Master_Table[[#This Row],[Actual Sales]]</f>
        <v>0.91720997619786815</v>
      </c>
      <c r="U298" s="28" t="str">
        <f>_xlfn.TEXTJOIN(" - ", TRUE, Master_Table[[#This Row],[Product]], Master_Table[[#This Row],[Branch]])</f>
        <v>Apple - Ibadan</v>
      </c>
    </row>
    <row r="299" spans="1:21" ht="14.4" x14ac:dyDescent="0.3">
      <c r="A299" s="2">
        <v>298</v>
      </c>
      <c r="B299" s="2">
        <f t="shared" si="37"/>
        <v>104</v>
      </c>
      <c r="C299" s="1" t="str">
        <f>VLOOKUP(B299,Products!A:C,2,FALSE)</f>
        <v>Apple</v>
      </c>
      <c r="D299" s="1" t="str">
        <f t="shared" si="38"/>
        <v>Ibadan</v>
      </c>
      <c r="E299" s="4" t="str">
        <f>_xlfn.XLOOKUP(D299,'Sales Manager'!$A$2:$A$6,'Sales Manager'!$B$2:$B$6,"")</f>
        <v>Funmi Adeyemi</v>
      </c>
      <c r="F299" s="3">
        <f t="shared" si="45"/>
        <v>10</v>
      </c>
      <c r="G299" s="1" t="str">
        <f t="shared" si="45"/>
        <v>Oct</v>
      </c>
      <c r="H299" s="11">
        <v>4000</v>
      </c>
      <c r="I299" s="11">
        <v>7238</v>
      </c>
      <c r="J299" s="11" cm="1">
        <f t="array" ref="J299">_xlfn.XLOOKUP(C299&amp;D299&amp;F299,Expense!$C$2:$C$601&amp;Expense!$D$2:$D$601&amp;Expense!$E$2:$E$601,Expense!$G$2:$G$601,"")</f>
        <v>800</v>
      </c>
      <c r="K299" s="11" cm="1">
        <f t="array" ref="K299">_xlfn.XLOOKUP(C299&amp;D299&amp;F299,Expense!$C$2:$C$601&amp;Expense!$D$2:$D$601&amp;Expense!$E$2:$E$601,Expense!$H$2:$H$601,"")</f>
        <v>100</v>
      </c>
      <c r="L299" s="14">
        <f t="shared" si="42"/>
        <v>3238</v>
      </c>
      <c r="M299" s="14">
        <f>Master_Table[[#This Row],[Expense Budget]]-Master_Table[[#This Row],[Actual Expense]]</f>
        <v>700</v>
      </c>
      <c r="N299" s="16">
        <f t="shared" si="43"/>
        <v>7138</v>
      </c>
      <c r="O299" s="29">
        <f t="shared" si="40"/>
        <v>3200</v>
      </c>
      <c r="P299" s="16">
        <f t="shared" si="41"/>
        <v>3938</v>
      </c>
      <c r="Q299" s="28">
        <f>Master_Table[[#This Row],[△Sales Variance]]/Master_Table[[#This Row],[Sales Budget]]</f>
        <v>0.8095</v>
      </c>
      <c r="R299" s="28">
        <f>Master_Table[[#This Row],[△Expense  Variance]]/Master_Table[[#This Row],[Expense Budget]]</f>
        <v>0.875</v>
      </c>
      <c r="S299" s="28">
        <f>Master_Table[[#This Row],[Net Profit Variance]]/Master_Table[[#This Row],[Budget Net Profit]]</f>
        <v>1.2306250000000001</v>
      </c>
      <c r="T299" s="28">
        <f>Master_Table[[#This Row],[Actual Net Profit]]/Master_Table[[#This Row],[Actual Sales]]</f>
        <v>0.98618402873722022</v>
      </c>
      <c r="U299" s="28" t="str">
        <f>_xlfn.TEXTJOIN(" - ", TRUE, Master_Table[[#This Row],[Product]], Master_Table[[#This Row],[Branch]])</f>
        <v>Apple - Ibadan</v>
      </c>
    </row>
    <row r="300" spans="1:21" ht="14.4" x14ac:dyDescent="0.3">
      <c r="A300" s="2">
        <v>299</v>
      </c>
      <c r="B300" s="2">
        <f t="shared" si="37"/>
        <v>104</v>
      </c>
      <c r="C300" s="1" t="str">
        <f>VLOOKUP(B300,Products!A:C,2,FALSE)</f>
        <v>Apple</v>
      </c>
      <c r="D300" s="1" t="str">
        <f t="shared" si="38"/>
        <v>Ibadan</v>
      </c>
      <c r="E300" s="4" t="str">
        <f>_xlfn.XLOOKUP(D300,'Sales Manager'!$A$2:$A$6,'Sales Manager'!$B$2:$B$6,"")</f>
        <v>Funmi Adeyemi</v>
      </c>
      <c r="F300" s="3">
        <f t="shared" si="45"/>
        <v>11</v>
      </c>
      <c r="G300" s="1" t="str">
        <f t="shared" si="45"/>
        <v>Nov</v>
      </c>
      <c r="H300" s="11">
        <v>5000</v>
      </c>
      <c r="I300" s="11">
        <v>8595</v>
      </c>
      <c r="J300" s="11" cm="1">
        <f t="array" ref="J300">_xlfn.XLOOKUP(C300&amp;D300&amp;F300,Expense!$C$2:$C$601&amp;Expense!$D$2:$D$601&amp;Expense!$E$2:$E$601,Expense!$G$2:$G$601,"")</f>
        <v>2500</v>
      </c>
      <c r="K300" s="11" cm="1">
        <f t="array" ref="K300">_xlfn.XLOOKUP(C300&amp;D300&amp;F300,Expense!$C$2:$C$601&amp;Expense!$D$2:$D$601&amp;Expense!$E$2:$E$601,Expense!$H$2:$H$601,"")</f>
        <v>2400</v>
      </c>
      <c r="L300" s="14">
        <f t="shared" si="42"/>
        <v>3595</v>
      </c>
      <c r="M300" s="14">
        <f>Master_Table[[#This Row],[Expense Budget]]-Master_Table[[#This Row],[Actual Expense]]</f>
        <v>100</v>
      </c>
      <c r="N300" s="16">
        <f t="shared" si="43"/>
        <v>6195</v>
      </c>
      <c r="O300" s="29">
        <f t="shared" si="40"/>
        <v>2500</v>
      </c>
      <c r="P300" s="16">
        <f t="shared" si="41"/>
        <v>3695</v>
      </c>
      <c r="Q300" s="28">
        <f>Master_Table[[#This Row],[△Sales Variance]]/Master_Table[[#This Row],[Sales Budget]]</f>
        <v>0.71899999999999997</v>
      </c>
      <c r="R300" s="28">
        <f>Master_Table[[#This Row],[△Expense  Variance]]/Master_Table[[#This Row],[Expense Budget]]</f>
        <v>0.04</v>
      </c>
      <c r="S300" s="28">
        <f>Master_Table[[#This Row],[Net Profit Variance]]/Master_Table[[#This Row],[Budget Net Profit]]</f>
        <v>1.478</v>
      </c>
      <c r="T300" s="28">
        <f>Master_Table[[#This Row],[Actual Net Profit]]/Master_Table[[#This Row],[Actual Sales]]</f>
        <v>0.72076788830715532</v>
      </c>
      <c r="U300" s="28" t="str">
        <f>_xlfn.TEXTJOIN(" - ", TRUE, Master_Table[[#This Row],[Product]], Master_Table[[#This Row],[Branch]])</f>
        <v>Apple - Ibadan</v>
      </c>
    </row>
    <row r="301" spans="1:21" ht="14.4" x14ac:dyDescent="0.3">
      <c r="A301" s="2">
        <v>300</v>
      </c>
      <c r="B301" s="2">
        <f t="shared" si="37"/>
        <v>104</v>
      </c>
      <c r="C301" s="1" t="str">
        <f>VLOOKUP(B301,Products!A:C,2,FALSE)</f>
        <v>Apple</v>
      </c>
      <c r="D301" s="1" t="str">
        <f t="shared" si="38"/>
        <v>Ibadan</v>
      </c>
      <c r="E301" s="4" t="str">
        <f>_xlfn.XLOOKUP(D301,'Sales Manager'!$A$2:$A$6,'Sales Manager'!$B$2:$B$6,"")</f>
        <v>Funmi Adeyemi</v>
      </c>
      <c r="F301" s="3">
        <f t="shared" si="45"/>
        <v>12</v>
      </c>
      <c r="G301" s="1" t="str">
        <f t="shared" si="45"/>
        <v>Dec</v>
      </c>
      <c r="H301" s="11">
        <v>7000</v>
      </c>
      <c r="I301" s="11">
        <v>4435</v>
      </c>
      <c r="J301" s="11" cm="1">
        <f t="array" ref="J301">_xlfn.XLOOKUP(C301&amp;D301&amp;F301,Expense!$C$2:$C$601&amp;Expense!$D$2:$D$601&amp;Expense!$E$2:$E$601,Expense!$G$2:$G$601,"")</f>
        <v>1750</v>
      </c>
      <c r="K301" s="11" cm="1">
        <f t="array" ref="K301">_xlfn.XLOOKUP(C301&amp;D301&amp;F301,Expense!$C$2:$C$601&amp;Expense!$D$2:$D$601&amp;Expense!$E$2:$E$601,Expense!$H$2:$H$601,"")</f>
        <v>1550</v>
      </c>
      <c r="L301" s="14">
        <f t="shared" si="42"/>
        <v>-2565</v>
      </c>
      <c r="M301" s="14">
        <f>Master_Table[[#This Row],[Expense Budget]]-Master_Table[[#This Row],[Actual Expense]]</f>
        <v>200</v>
      </c>
      <c r="N301" s="16">
        <f t="shared" si="43"/>
        <v>2885</v>
      </c>
      <c r="O301" s="29">
        <f t="shared" si="40"/>
        <v>5250</v>
      </c>
      <c r="P301" s="16">
        <f t="shared" si="41"/>
        <v>-2365</v>
      </c>
      <c r="Q301" s="28">
        <f>Master_Table[[#This Row],[△Sales Variance]]/Master_Table[[#This Row],[Sales Budget]]</f>
        <v>-0.36642857142857144</v>
      </c>
      <c r="R301" s="28">
        <f>Master_Table[[#This Row],[△Expense  Variance]]/Master_Table[[#This Row],[Expense Budget]]</f>
        <v>0.11428571428571428</v>
      </c>
      <c r="S301" s="28">
        <f>Master_Table[[#This Row],[Net Profit Variance]]/Master_Table[[#This Row],[Budget Net Profit]]</f>
        <v>-0.45047619047619047</v>
      </c>
      <c r="T301" s="28">
        <f>Master_Table[[#This Row],[Actual Net Profit]]/Master_Table[[#This Row],[Actual Sales]]</f>
        <v>0.65050732807215328</v>
      </c>
      <c r="U301" s="28" t="str">
        <f>_xlfn.TEXTJOIN(" - ", TRUE, Master_Table[[#This Row],[Product]], Master_Table[[#This Row],[Branch]])</f>
        <v>Apple - Ibadan</v>
      </c>
    </row>
    <row r="302" spans="1:21" ht="14.4" x14ac:dyDescent="0.3">
      <c r="A302" s="2">
        <v>301</v>
      </c>
      <c r="B302" s="2">
        <f t="shared" si="37"/>
        <v>105</v>
      </c>
      <c r="C302" s="1" t="str">
        <f>VLOOKUP(B302,Products!A:C,2,FALSE)</f>
        <v>Avocado</v>
      </c>
      <c r="D302" s="1" t="str">
        <f t="shared" si="38"/>
        <v>Lagos</v>
      </c>
      <c r="E302" s="4" t="str">
        <f>_xlfn.XLOOKUP(D302,'Sales Manager'!$A$2:$A$6,'Sales Manager'!$B$2:$B$6,"")</f>
        <v>Adaora Okafor</v>
      </c>
      <c r="F302" s="3">
        <f t="shared" si="45"/>
        <v>1</v>
      </c>
      <c r="G302" s="1" t="str">
        <f t="shared" si="45"/>
        <v>Jan</v>
      </c>
      <c r="H302" s="11">
        <v>2000</v>
      </c>
      <c r="I302" s="11">
        <v>2243</v>
      </c>
      <c r="J302" s="11" cm="1">
        <f t="array" ref="J302">_xlfn.XLOOKUP(C302&amp;D302&amp;F302,Expense!$C$2:$C$601&amp;Expense!$D$2:$D$601&amp;Expense!$E$2:$E$601,Expense!$G$2:$G$601,"")</f>
        <v>500</v>
      </c>
      <c r="K302" s="11" cm="1">
        <f t="array" ref="K302">_xlfn.XLOOKUP(C302&amp;D302&amp;F302,Expense!$C$2:$C$601&amp;Expense!$D$2:$D$601&amp;Expense!$E$2:$E$601,Expense!$H$2:$H$601,"")</f>
        <v>400</v>
      </c>
      <c r="L302" s="14">
        <f t="shared" si="42"/>
        <v>243</v>
      </c>
      <c r="M302" s="14">
        <f>Master_Table[[#This Row],[Expense Budget]]-Master_Table[[#This Row],[Actual Expense]]</f>
        <v>100</v>
      </c>
      <c r="N302" s="16">
        <f t="shared" si="43"/>
        <v>1843</v>
      </c>
      <c r="O302" s="29">
        <f t="shared" si="40"/>
        <v>1500</v>
      </c>
      <c r="P302" s="16">
        <f t="shared" si="41"/>
        <v>343</v>
      </c>
      <c r="Q302" s="28">
        <f>Master_Table[[#This Row],[△Sales Variance]]/Master_Table[[#This Row],[Sales Budget]]</f>
        <v>0.1215</v>
      </c>
      <c r="R302" s="28">
        <f>Master_Table[[#This Row],[△Expense  Variance]]/Master_Table[[#This Row],[Expense Budget]]</f>
        <v>0.2</v>
      </c>
      <c r="S302" s="28">
        <f>Master_Table[[#This Row],[Net Profit Variance]]/Master_Table[[#This Row],[Budget Net Profit]]</f>
        <v>0.22866666666666666</v>
      </c>
      <c r="T302" s="28">
        <f>Master_Table[[#This Row],[Actual Net Profit]]/Master_Table[[#This Row],[Actual Sales]]</f>
        <v>0.82166740971912622</v>
      </c>
      <c r="U302" s="28" t="str">
        <f>_xlfn.TEXTJOIN(" - ", TRUE, Master_Table[[#This Row],[Product]], Master_Table[[#This Row],[Branch]])</f>
        <v>Avocado - Lagos</v>
      </c>
    </row>
    <row r="303" spans="1:21" ht="14.4" x14ac:dyDescent="0.3">
      <c r="A303" s="2">
        <v>302</v>
      </c>
      <c r="B303" s="2">
        <f t="shared" si="37"/>
        <v>105</v>
      </c>
      <c r="C303" s="1" t="str">
        <f>VLOOKUP(B303,Products!A:C,2,FALSE)</f>
        <v>Avocado</v>
      </c>
      <c r="D303" s="1" t="str">
        <f t="shared" si="38"/>
        <v>Lagos</v>
      </c>
      <c r="E303" s="4" t="str">
        <f>_xlfn.XLOOKUP(D303,'Sales Manager'!$A$2:$A$6,'Sales Manager'!$B$2:$B$6,"")</f>
        <v>Adaora Okafor</v>
      </c>
      <c r="F303" s="3">
        <f t="shared" ref="F303:G318" si="46">F291</f>
        <v>2</v>
      </c>
      <c r="G303" s="1" t="str">
        <f t="shared" si="46"/>
        <v>Feb</v>
      </c>
      <c r="H303" s="11">
        <v>3000</v>
      </c>
      <c r="I303" s="11">
        <v>5267</v>
      </c>
      <c r="J303" s="11" cm="1">
        <f t="array" ref="J303">_xlfn.XLOOKUP(C303&amp;D303&amp;F303,Expense!$C$2:$C$601&amp;Expense!$D$2:$D$601&amp;Expense!$E$2:$E$601,Expense!$G$2:$G$601,"")</f>
        <v>1500</v>
      </c>
      <c r="K303" s="11" cm="1">
        <f t="array" ref="K303">_xlfn.XLOOKUP(C303&amp;D303&amp;F303,Expense!$C$2:$C$601&amp;Expense!$D$2:$D$601&amp;Expense!$E$2:$E$601,Expense!$H$2:$H$601,"")</f>
        <v>700</v>
      </c>
      <c r="L303" s="14">
        <f t="shared" si="42"/>
        <v>2267</v>
      </c>
      <c r="M303" s="14">
        <f>Master_Table[[#This Row],[Expense Budget]]-Master_Table[[#This Row],[Actual Expense]]</f>
        <v>800</v>
      </c>
      <c r="N303" s="16">
        <f t="shared" si="43"/>
        <v>4567</v>
      </c>
      <c r="O303" s="29">
        <f t="shared" si="40"/>
        <v>1500</v>
      </c>
      <c r="P303" s="16">
        <f t="shared" si="41"/>
        <v>3067</v>
      </c>
      <c r="Q303" s="28">
        <f>Master_Table[[#This Row],[△Sales Variance]]/Master_Table[[#This Row],[Sales Budget]]</f>
        <v>0.75566666666666671</v>
      </c>
      <c r="R303" s="28">
        <f>Master_Table[[#This Row],[△Expense  Variance]]/Master_Table[[#This Row],[Expense Budget]]</f>
        <v>0.53333333333333333</v>
      </c>
      <c r="S303" s="28">
        <f>Master_Table[[#This Row],[Net Profit Variance]]/Master_Table[[#This Row],[Budget Net Profit]]</f>
        <v>2.0446666666666666</v>
      </c>
      <c r="T303" s="28">
        <f>Master_Table[[#This Row],[Actual Net Profit]]/Master_Table[[#This Row],[Actual Sales]]</f>
        <v>0.86709701917600157</v>
      </c>
      <c r="U303" s="28" t="str">
        <f>_xlfn.TEXTJOIN(" - ", TRUE, Master_Table[[#This Row],[Product]], Master_Table[[#This Row],[Branch]])</f>
        <v>Avocado - Lagos</v>
      </c>
    </row>
    <row r="304" spans="1:21" ht="14.4" x14ac:dyDescent="0.3">
      <c r="A304" s="2">
        <v>303</v>
      </c>
      <c r="B304" s="2">
        <f t="shared" si="37"/>
        <v>105</v>
      </c>
      <c r="C304" s="1" t="str">
        <f>VLOOKUP(B304,Products!A:C,2,FALSE)</f>
        <v>Avocado</v>
      </c>
      <c r="D304" s="1" t="str">
        <f t="shared" si="38"/>
        <v>Lagos</v>
      </c>
      <c r="E304" s="4" t="str">
        <f>_xlfn.XLOOKUP(D304,'Sales Manager'!$A$2:$A$6,'Sales Manager'!$B$2:$B$6,"")</f>
        <v>Adaora Okafor</v>
      </c>
      <c r="F304" s="3">
        <f t="shared" si="46"/>
        <v>3</v>
      </c>
      <c r="G304" s="1" t="str">
        <f t="shared" si="46"/>
        <v>Mar</v>
      </c>
      <c r="H304" s="11">
        <v>7000</v>
      </c>
      <c r="I304" s="11">
        <v>4376</v>
      </c>
      <c r="J304" s="11" cm="1">
        <f t="array" ref="J304">_xlfn.XLOOKUP(C304&amp;D304&amp;F304,Expense!$C$2:$C$601&amp;Expense!$D$2:$D$601&amp;Expense!$E$2:$E$601,Expense!$G$2:$G$601,"")</f>
        <v>1400</v>
      </c>
      <c r="K304" s="11" cm="1">
        <f t="array" ref="K304">_xlfn.XLOOKUP(C304&amp;D304&amp;F304,Expense!$C$2:$C$601&amp;Expense!$D$2:$D$601&amp;Expense!$E$2:$E$601,Expense!$H$2:$H$601,"")</f>
        <v>900</v>
      </c>
      <c r="L304" s="14">
        <f t="shared" si="42"/>
        <v>-2624</v>
      </c>
      <c r="M304" s="14">
        <f>Master_Table[[#This Row],[Expense Budget]]-Master_Table[[#This Row],[Actual Expense]]</f>
        <v>500</v>
      </c>
      <c r="N304" s="16">
        <f t="shared" si="43"/>
        <v>3476</v>
      </c>
      <c r="O304" s="29">
        <f t="shared" si="40"/>
        <v>5600</v>
      </c>
      <c r="P304" s="16">
        <f t="shared" si="41"/>
        <v>-2124</v>
      </c>
      <c r="Q304" s="28">
        <f>Master_Table[[#This Row],[△Sales Variance]]/Master_Table[[#This Row],[Sales Budget]]</f>
        <v>-0.37485714285714283</v>
      </c>
      <c r="R304" s="28">
        <f>Master_Table[[#This Row],[△Expense  Variance]]/Master_Table[[#This Row],[Expense Budget]]</f>
        <v>0.35714285714285715</v>
      </c>
      <c r="S304" s="28">
        <f>Master_Table[[#This Row],[Net Profit Variance]]/Master_Table[[#This Row],[Budget Net Profit]]</f>
        <v>-0.37928571428571428</v>
      </c>
      <c r="T304" s="28">
        <f>Master_Table[[#This Row],[Actual Net Profit]]/Master_Table[[#This Row],[Actual Sales]]</f>
        <v>0.79433272394881171</v>
      </c>
      <c r="U304" s="28" t="str">
        <f>_xlfn.TEXTJOIN(" - ", TRUE, Master_Table[[#This Row],[Product]], Master_Table[[#This Row],[Branch]])</f>
        <v>Avocado - Lagos</v>
      </c>
    </row>
    <row r="305" spans="1:21" ht="14.4" x14ac:dyDescent="0.3">
      <c r="A305" s="2">
        <v>304</v>
      </c>
      <c r="B305" s="2">
        <f t="shared" si="37"/>
        <v>105</v>
      </c>
      <c r="C305" s="1" t="str">
        <f>VLOOKUP(B305,Products!A:C,2,FALSE)</f>
        <v>Avocado</v>
      </c>
      <c r="D305" s="1" t="str">
        <f t="shared" si="38"/>
        <v>Lagos</v>
      </c>
      <c r="E305" s="4" t="str">
        <f>_xlfn.XLOOKUP(D305,'Sales Manager'!$A$2:$A$6,'Sales Manager'!$B$2:$B$6,"")</f>
        <v>Adaora Okafor</v>
      </c>
      <c r="F305" s="3">
        <f t="shared" si="46"/>
        <v>4</v>
      </c>
      <c r="G305" s="1" t="str">
        <f t="shared" si="46"/>
        <v>Apr</v>
      </c>
      <c r="H305" s="11">
        <v>3000</v>
      </c>
      <c r="I305" s="11">
        <v>7067</v>
      </c>
      <c r="J305" s="11" cm="1">
        <f t="array" ref="J305">_xlfn.XLOOKUP(C305&amp;D305&amp;F305,Expense!$C$2:$C$601&amp;Expense!$D$2:$D$601&amp;Expense!$E$2:$E$601,Expense!$G$2:$G$601,"")</f>
        <v>1000</v>
      </c>
      <c r="K305" s="11" cm="1">
        <f t="array" ref="K305">_xlfn.XLOOKUP(C305&amp;D305&amp;F305,Expense!$C$2:$C$601&amp;Expense!$D$2:$D$601&amp;Expense!$E$2:$E$601,Expense!$H$2:$H$601,"")</f>
        <v>700</v>
      </c>
      <c r="L305" s="14">
        <f t="shared" si="42"/>
        <v>4067</v>
      </c>
      <c r="M305" s="14">
        <f>Master_Table[[#This Row],[Expense Budget]]-Master_Table[[#This Row],[Actual Expense]]</f>
        <v>300</v>
      </c>
      <c r="N305" s="16">
        <f t="shared" si="43"/>
        <v>6367</v>
      </c>
      <c r="O305" s="29">
        <f t="shared" si="40"/>
        <v>2000</v>
      </c>
      <c r="P305" s="16">
        <f t="shared" si="41"/>
        <v>4367</v>
      </c>
      <c r="Q305" s="28">
        <f>Master_Table[[#This Row],[△Sales Variance]]/Master_Table[[#This Row],[Sales Budget]]</f>
        <v>1.3556666666666666</v>
      </c>
      <c r="R305" s="28">
        <f>Master_Table[[#This Row],[△Expense  Variance]]/Master_Table[[#This Row],[Expense Budget]]</f>
        <v>0.3</v>
      </c>
      <c r="S305" s="28">
        <f>Master_Table[[#This Row],[Net Profit Variance]]/Master_Table[[#This Row],[Budget Net Profit]]</f>
        <v>2.1835</v>
      </c>
      <c r="T305" s="28">
        <f>Master_Table[[#This Row],[Actual Net Profit]]/Master_Table[[#This Row],[Actual Sales]]</f>
        <v>0.90094806848733555</v>
      </c>
      <c r="U305" s="28" t="str">
        <f>_xlfn.TEXTJOIN(" - ", TRUE, Master_Table[[#This Row],[Product]], Master_Table[[#This Row],[Branch]])</f>
        <v>Avocado - Lagos</v>
      </c>
    </row>
    <row r="306" spans="1:21" ht="14.4" x14ac:dyDescent="0.3">
      <c r="A306" s="2">
        <v>305</v>
      </c>
      <c r="B306" s="2">
        <f t="shared" si="37"/>
        <v>105</v>
      </c>
      <c r="C306" s="1" t="str">
        <f>VLOOKUP(B306,Products!A:C,2,FALSE)</f>
        <v>Avocado</v>
      </c>
      <c r="D306" s="1" t="str">
        <f t="shared" si="38"/>
        <v>Lagos</v>
      </c>
      <c r="E306" s="4" t="str">
        <f>_xlfn.XLOOKUP(D306,'Sales Manager'!$A$2:$A$6,'Sales Manager'!$B$2:$B$6,"")</f>
        <v>Adaora Okafor</v>
      </c>
      <c r="F306" s="3">
        <f t="shared" si="46"/>
        <v>5</v>
      </c>
      <c r="G306" s="1" t="str">
        <f t="shared" si="46"/>
        <v>May</v>
      </c>
      <c r="H306" s="11">
        <v>2000</v>
      </c>
      <c r="I306" s="11">
        <v>7514</v>
      </c>
      <c r="J306" s="11" cm="1">
        <f t="array" ref="J306">_xlfn.XLOOKUP(C306&amp;D306&amp;F306,Expense!$C$2:$C$601&amp;Expense!$D$2:$D$601&amp;Expense!$E$2:$E$601,Expense!$G$2:$G$601,"")</f>
        <v>400</v>
      </c>
      <c r="K306" s="11" cm="1">
        <f t="array" ref="K306">_xlfn.XLOOKUP(C306&amp;D306&amp;F306,Expense!$C$2:$C$601&amp;Expense!$D$2:$D$601&amp;Expense!$E$2:$E$601,Expense!$H$2:$H$601,"")</f>
        <v>200</v>
      </c>
      <c r="L306" s="14">
        <f t="shared" si="42"/>
        <v>5514</v>
      </c>
      <c r="M306" s="14">
        <f>Master_Table[[#This Row],[Expense Budget]]-Master_Table[[#This Row],[Actual Expense]]</f>
        <v>200</v>
      </c>
      <c r="N306" s="16">
        <f t="shared" si="43"/>
        <v>7314</v>
      </c>
      <c r="O306" s="29">
        <f t="shared" si="40"/>
        <v>1600</v>
      </c>
      <c r="P306" s="16">
        <f t="shared" si="41"/>
        <v>5714</v>
      </c>
      <c r="Q306" s="28">
        <f>Master_Table[[#This Row],[△Sales Variance]]/Master_Table[[#This Row],[Sales Budget]]</f>
        <v>2.7570000000000001</v>
      </c>
      <c r="R306" s="28">
        <f>Master_Table[[#This Row],[△Expense  Variance]]/Master_Table[[#This Row],[Expense Budget]]</f>
        <v>0.5</v>
      </c>
      <c r="S306" s="28">
        <f>Master_Table[[#This Row],[Net Profit Variance]]/Master_Table[[#This Row],[Budget Net Profit]]</f>
        <v>3.57125</v>
      </c>
      <c r="T306" s="28">
        <f>Master_Table[[#This Row],[Actual Net Profit]]/Master_Table[[#This Row],[Actual Sales]]</f>
        <v>0.97338301836571728</v>
      </c>
      <c r="U306" s="28" t="str">
        <f>_xlfn.TEXTJOIN(" - ", TRUE, Master_Table[[#This Row],[Product]], Master_Table[[#This Row],[Branch]])</f>
        <v>Avocado - Lagos</v>
      </c>
    </row>
    <row r="307" spans="1:21" ht="14.4" x14ac:dyDescent="0.3">
      <c r="A307" s="2">
        <v>306</v>
      </c>
      <c r="B307" s="2">
        <f t="shared" si="37"/>
        <v>105</v>
      </c>
      <c r="C307" s="1" t="str">
        <f>VLOOKUP(B307,Products!A:C,2,FALSE)</f>
        <v>Avocado</v>
      </c>
      <c r="D307" s="1" t="str">
        <f t="shared" si="38"/>
        <v>Lagos</v>
      </c>
      <c r="E307" s="4" t="str">
        <f>_xlfn.XLOOKUP(D307,'Sales Manager'!$A$2:$A$6,'Sales Manager'!$B$2:$B$6,"")</f>
        <v>Adaora Okafor</v>
      </c>
      <c r="F307" s="3">
        <f t="shared" si="46"/>
        <v>6</v>
      </c>
      <c r="G307" s="1" t="str">
        <f t="shared" si="46"/>
        <v>Jun</v>
      </c>
      <c r="H307" s="11">
        <v>4000</v>
      </c>
      <c r="I307" s="11">
        <v>6127</v>
      </c>
      <c r="J307" s="11" cm="1">
        <f t="array" ref="J307">_xlfn.XLOOKUP(C307&amp;D307&amp;F307,Expense!$C$2:$C$601&amp;Expense!$D$2:$D$601&amp;Expense!$E$2:$E$601,Expense!$G$2:$G$601,"")</f>
        <v>800</v>
      </c>
      <c r="K307" s="11" cm="1">
        <f t="array" ref="K307">_xlfn.XLOOKUP(C307&amp;D307&amp;F307,Expense!$C$2:$C$601&amp;Expense!$D$2:$D$601&amp;Expense!$E$2:$E$601,Expense!$H$2:$H$601,"")</f>
        <v>200</v>
      </c>
      <c r="L307" s="14">
        <f t="shared" si="42"/>
        <v>2127</v>
      </c>
      <c r="M307" s="14">
        <f>Master_Table[[#This Row],[Expense Budget]]-Master_Table[[#This Row],[Actual Expense]]</f>
        <v>600</v>
      </c>
      <c r="N307" s="16">
        <f t="shared" si="43"/>
        <v>5927</v>
      </c>
      <c r="O307" s="29">
        <f t="shared" si="40"/>
        <v>3200</v>
      </c>
      <c r="P307" s="16">
        <f t="shared" si="41"/>
        <v>2727</v>
      </c>
      <c r="Q307" s="28">
        <f>Master_Table[[#This Row],[△Sales Variance]]/Master_Table[[#This Row],[Sales Budget]]</f>
        <v>0.53174999999999994</v>
      </c>
      <c r="R307" s="28">
        <f>Master_Table[[#This Row],[△Expense  Variance]]/Master_Table[[#This Row],[Expense Budget]]</f>
        <v>0.75</v>
      </c>
      <c r="S307" s="28">
        <f>Master_Table[[#This Row],[Net Profit Variance]]/Master_Table[[#This Row],[Budget Net Profit]]</f>
        <v>0.85218749999999999</v>
      </c>
      <c r="T307" s="28">
        <f>Master_Table[[#This Row],[Actual Net Profit]]/Master_Table[[#This Row],[Actual Sales]]</f>
        <v>0.96735759751917738</v>
      </c>
      <c r="U307" s="28" t="str">
        <f>_xlfn.TEXTJOIN(" - ", TRUE, Master_Table[[#This Row],[Product]], Master_Table[[#This Row],[Branch]])</f>
        <v>Avocado - Lagos</v>
      </c>
    </row>
    <row r="308" spans="1:21" ht="14.4" x14ac:dyDescent="0.3">
      <c r="A308" s="2">
        <v>307</v>
      </c>
      <c r="B308" s="2">
        <f t="shared" si="37"/>
        <v>105</v>
      </c>
      <c r="C308" s="1" t="str">
        <f>VLOOKUP(B308,Products!A:C,2,FALSE)</f>
        <v>Avocado</v>
      </c>
      <c r="D308" s="1" t="str">
        <f t="shared" si="38"/>
        <v>Lagos</v>
      </c>
      <c r="E308" s="4" t="str">
        <f>_xlfn.XLOOKUP(D308,'Sales Manager'!$A$2:$A$6,'Sales Manager'!$B$2:$B$6,"")</f>
        <v>Adaora Okafor</v>
      </c>
      <c r="F308" s="3">
        <f t="shared" si="46"/>
        <v>7</v>
      </c>
      <c r="G308" s="1" t="str">
        <f t="shared" si="46"/>
        <v>Jul</v>
      </c>
      <c r="H308" s="11">
        <v>4000</v>
      </c>
      <c r="I308" s="11">
        <v>4343</v>
      </c>
      <c r="J308" s="11" cm="1">
        <f t="array" ref="J308">_xlfn.XLOOKUP(C308&amp;D308&amp;F308,Expense!$C$2:$C$601&amp;Expense!$D$2:$D$601&amp;Expense!$E$2:$E$601,Expense!$G$2:$G$601,"")</f>
        <v>1333.3333333333333</v>
      </c>
      <c r="K308" s="11" cm="1">
        <f t="array" ref="K308">_xlfn.XLOOKUP(C308&amp;D308&amp;F308,Expense!$C$2:$C$601&amp;Expense!$D$2:$D$601&amp;Expense!$E$2:$E$601,Expense!$H$2:$H$601,"")</f>
        <v>933.33333333333326</v>
      </c>
      <c r="L308" s="14">
        <f t="shared" si="42"/>
        <v>343</v>
      </c>
      <c r="M308" s="14">
        <f>Master_Table[[#This Row],[Expense Budget]]-Master_Table[[#This Row],[Actual Expense]]</f>
        <v>400</v>
      </c>
      <c r="N308" s="16">
        <f t="shared" si="43"/>
        <v>3409.666666666667</v>
      </c>
      <c r="O308" s="29">
        <f t="shared" si="40"/>
        <v>2666.666666666667</v>
      </c>
      <c r="P308" s="16">
        <f t="shared" si="41"/>
        <v>743</v>
      </c>
      <c r="Q308" s="28">
        <f>Master_Table[[#This Row],[△Sales Variance]]/Master_Table[[#This Row],[Sales Budget]]</f>
        <v>8.5750000000000007E-2</v>
      </c>
      <c r="R308" s="28">
        <f>Master_Table[[#This Row],[△Expense  Variance]]/Master_Table[[#This Row],[Expense Budget]]</f>
        <v>0.30000000000000004</v>
      </c>
      <c r="S308" s="28">
        <f>Master_Table[[#This Row],[Net Profit Variance]]/Master_Table[[#This Row],[Budget Net Profit]]</f>
        <v>0.27862499999999996</v>
      </c>
      <c r="T308" s="28">
        <f>Master_Table[[#This Row],[Actual Net Profit]]/Master_Table[[#This Row],[Actual Sales]]</f>
        <v>0.78509478854862236</v>
      </c>
      <c r="U308" s="28" t="str">
        <f>_xlfn.TEXTJOIN(" - ", TRUE, Master_Table[[#This Row],[Product]], Master_Table[[#This Row],[Branch]])</f>
        <v>Avocado - Lagos</v>
      </c>
    </row>
    <row r="309" spans="1:21" ht="14.4" x14ac:dyDescent="0.3">
      <c r="A309" s="2">
        <v>308</v>
      </c>
      <c r="B309" s="2">
        <f t="shared" si="37"/>
        <v>105</v>
      </c>
      <c r="C309" s="1" t="str">
        <f>VLOOKUP(B309,Products!A:C,2,FALSE)</f>
        <v>Avocado</v>
      </c>
      <c r="D309" s="1" t="str">
        <f t="shared" si="38"/>
        <v>Lagos</v>
      </c>
      <c r="E309" s="4" t="str">
        <f>_xlfn.XLOOKUP(D309,'Sales Manager'!$A$2:$A$6,'Sales Manager'!$B$2:$B$6,"")</f>
        <v>Adaora Okafor</v>
      </c>
      <c r="F309" s="3">
        <f t="shared" si="46"/>
        <v>8</v>
      </c>
      <c r="G309" s="1" t="str">
        <f t="shared" si="46"/>
        <v>Aug</v>
      </c>
      <c r="H309" s="11">
        <v>4000</v>
      </c>
      <c r="I309" s="11">
        <v>8721</v>
      </c>
      <c r="J309" s="11" cm="1">
        <f t="array" ref="J309">_xlfn.XLOOKUP(C309&amp;D309&amp;F309,Expense!$C$2:$C$601&amp;Expense!$D$2:$D$601&amp;Expense!$E$2:$E$601,Expense!$G$2:$G$601,"")</f>
        <v>1333.3333333333333</v>
      </c>
      <c r="K309" s="11" cm="1">
        <f t="array" ref="K309">_xlfn.XLOOKUP(C309&amp;D309&amp;F309,Expense!$C$2:$C$601&amp;Expense!$D$2:$D$601&amp;Expense!$E$2:$E$601,Expense!$H$2:$H$601,"")</f>
        <v>1233.3333333333333</v>
      </c>
      <c r="L309" s="14">
        <f t="shared" si="42"/>
        <v>4721</v>
      </c>
      <c r="M309" s="14">
        <f>Master_Table[[#This Row],[Expense Budget]]-Master_Table[[#This Row],[Actual Expense]]</f>
        <v>100</v>
      </c>
      <c r="N309" s="16">
        <f t="shared" si="43"/>
        <v>7487.666666666667</v>
      </c>
      <c r="O309" s="29">
        <f t="shared" si="40"/>
        <v>2666.666666666667</v>
      </c>
      <c r="P309" s="16">
        <f t="shared" si="41"/>
        <v>4821</v>
      </c>
      <c r="Q309" s="28">
        <f>Master_Table[[#This Row],[△Sales Variance]]/Master_Table[[#This Row],[Sales Budget]]</f>
        <v>1.18025</v>
      </c>
      <c r="R309" s="28">
        <f>Master_Table[[#This Row],[△Expense  Variance]]/Master_Table[[#This Row],[Expense Budget]]</f>
        <v>7.5000000000000011E-2</v>
      </c>
      <c r="S309" s="28">
        <f>Master_Table[[#This Row],[Net Profit Variance]]/Master_Table[[#This Row],[Budget Net Profit]]</f>
        <v>1.8078749999999999</v>
      </c>
      <c r="T309" s="28">
        <f>Master_Table[[#This Row],[Actual Net Profit]]/Master_Table[[#This Row],[Actual Sales]]</f>
        <v>0.85857890914650459</v>
      </c>
      <c r="U309" s="28" t="str">
        <f>_xlfn.TEXTJOIN(" - ", TRUE, Master_Table[[#This Row],[Product]], Master_Table[[#This Row],[Branch]])</f>
        <v>Avocado - Lagos</v>
      </c>
    </row>
    <row r="310" spans="1:21" ht="14.4" x14ac:dyDescent="0.3">
      <c r="A310" s="2">
        <v>309</v>
      </c>
      <c r="B310" s="2">
        <f t="shared" si="37"/>
        <v>105</v>
      </c>
      <c r="C310" s="1" t="str">
        <f>VLOOKUP(B310,Products!A:C,2,FALSE)</f>
        <v>Avocado</v>
      </c>
      <c r="D310" s="1" t="str">
        <f t="shared" si="38"/>
        <v>Lagos</v>
      </c>
      <c r="E310" s="4" t="str">
        <f>_xlfn.XLOOKUP(D310,'Sales Manager'!$A$2:$A$6,'Sales Manager'!$B$2:$B$6,"")</f>
        <v>Adaora Okafor</v>
      </c>
      <c r="F310" s="3">
        <f t="shared" si="46"/>
        <v>9</v>
      </c>
      <c r="G310" s="1" t="str">
        <f t="shared" si="46"/>
        <v>Sept</v>
      </c>
      <c r="H310" s="11">
        <v>7000</v>
      </c>
      <c r="I310" s="11">
        <v>8564</v>
      </c>
      <c r="J310" s="11" cm="1">
        <f t="array" ref="J310">_xlfn.XLOOKUP(C310&amp;D310&amp;F310,Expense!$C$2:$C$601&amp;Expense!$D$2:$D$601&amp;Expense!$E$2:$E$601,Expense!$G$2:$G$601,"")</f>
        <v>1750</v>
      </c>
      <c r="K310" s="11" cm="1">
        <f t="array" ref="K310">_xlfn.XLOOKUP(C310&amp;D310&amp;F310,Expense!$C$2:$C$601&amp;Expense!$D$2:$D$601&amp;Expense!$E$2:$E$601,Expense!$H$2:$H$601,"")</f>
        <v>1550</v>
      </c>
      <c r="L310" s="14">
        <f t="shared" si="42"/>
        <v>1564</v>
      </c>
      <c r="M310" s="14">
        <f>Master_Table[[#This Row],[Expense Budget]]-Master_Table[[#This Row],[Actual Expense]]</f>
        <v>200</v>
      </c>
      <c r="N310" s="16">
        <f t="shared" si="43"/>
        <v>7014</v>
      </c>
      <c r="O310" s="29">
        <f t="shared" si="40"/>
        <v>5250</v>
      </c>
      <c r="P310" s="16">
        <f t="shared" si="41"/>
        <v>1764</v>
      </c>
      <c r="Q310" s="28">
        <f>Master_Table[[#This Row],[△Sales Variance]]/Master_Table[[#This Row],[Sales Budget]]</f>
        <v>0.22342857142857142</v>
      </c>
      <c r="R310" s="28">
        <f>Master_Table[[#This Row],[△Expense  Variance]]/Master_Table[[#This Row],[Expense Budget]]</f>
        <v>0.11428571428571428</v>
      </c>
      <c r="S310" s="28">
        <f>Master_Table[[#This Row],[Net Profit Variance]]/Master_Table[[#This Row],[Budget Net Profit]]</f>
        <v>0.33600000000000002</v>
      </c>
      <c r="T310" s="28">
        <f>Master_Table[[#This Row],[Actual Net Profit]]/Master_Table[[#This Row],[Actual Sales]]</f>
        <v>0.8190098085007006</v>
      </c>
      <c r="U310" s="28" t="str">
        <f>_xlfn.TEXTJOIN(" - ", TRUE, Master_Table[[#This Row],[Product]], Master_Table[[#This Row],[Branch]])</f>
        <v>Avocado - Lagos</v>
      </c>
    </row>
    <row r="311" spans="1:21" ht="14.4" x14ac:dyDescent="0.3">
      <c r="A311" s="2">
        <v>310</v>
      </c>
      <c r="B311" s="2">
        <f t="shared" si="37"/>
        <v>105</v>
      </c>
      <c r="C311" s="1" t="str">
        <f>VLOOKUP(B311,Products!A:C,2,FALSE)</f>
        <v>Avocado</v>
      </c>
      <c r="D311" s="1" t="str">
        <f t="shared" si="38"/>
        <v>Lagos</v>
      </c>
      <c r="E311" s="4" t="str">
        <f>_xlfn.XLOOKUP(D311,'Sales Manager'!$A$2:$A$6,'Sales Manager'!$B$2:$B$6,"")</f>
        <v>Adaora Okafor</v>
      </c>
      <c r="F311" s="3">
        <f t="shared" si="46"/>
        <v>10</v>
      </c>
      <c r="G311" s="1" t="str">
        <f t="shared" si="46"/>
        <v>Oct</v>
      </c>
      <c r="H311" s="11">
        <v>3000</v>
      </c>
      <c r="I311" s="11">
        <v>2641</v>
      </c>
      <c r="J311" s="11" cm="1">
        <f t="array" ref="J311">_xlfn.XLOOKUP(C311&amp;D311&amp;F311,Expense!$C$2:$C$601&amp;Expense!$D$2:$D$601&amp;Expense!$E$2:$E$601,Expense!$G$2:$G$601,"")</f>
        <v>1000</v>
      </c>
      <c r="K311" s="11" cm="1">
        <f t="array" ref="K311">_xlfn.XLOOKUP(C311&amp;D311&amp;F311,Expense!$C$2:$C$601&amp;Expense!$D$2:$D$601&amp;Expense!$E$2:$E$601,Expense!$H$2:$H$601,"")</f>
        <v>900</v>
      </c>
      <c r="L311" s="14">
        <f t="shared" si="42"/>
        <v>-359</v>
      </c>
      <c r="M311" s="14">
        <f>Master_Table[[#This Row],[Expense Budget]]-Master_Table[[#This Row],[Actual Expense]]</f>
        <v>100</v>
      </c>
      <c r="N311" s="16">
        <f t="shared" si="43"/>
        <v>1741</v>
      </c>
      <c r="O311" s="29">
        <f t="shared" si="40"/>
        <v>2000</v>
      </c>
      <c r="P311" s="16">
        <f t="shared" si="41"/>
        <v>-259</v>
      </c>
      <c r="Q311" s="28">
        <f>Master_Table[[#This Row],[△Sales Variance]]/Master_Table[[#This Row],[Sales Budget]]</f>
        <v>-0.11966666666666667</v>
      </c>
      <c r="R311" s="28">
        <f>Master_Table[[#This Row],[△Expense  Variance]]/Master_Table[[#This Row],[Expense Budget]]</f>
        <v>0.1</v>
      </c>
      <c r="S311" s="28">
        <f>Master_Table[[#This Row],[Net Profit Variance]]/Master_Table[[#This Row],[Budget Net Profit]]</f>
        <v>-0.1295</v>
      </c>
      <c r="T311" s="28">
        <f>Master_Table[[#This Row],[Actual Net Profit]]/Master_Table[[#This Row],[Actual Sales]]</f>
        <v>0.65921999242711093</v>
      </c>
      <c r="U311" s="28" t="str">
        <f>_xlfn.TEXTJOIN(" - ", TRUE, Master_Table[[#This Row],[Product]], Master_Table[[#This Row],[Branch]])</f>
        <v>Avocado - Lagos</v>
      </c>
    </row>
    <row r="312" spans="1:21" ht="14.4" x14ac:dyDescent="0.3">
      <c r="A312" s="2">
        <v>311</v>
      </c>
      <c r="B312" s="2">
        <f t="shared" si="37"/>
        <v>105</v>
      </c>
      <c r="C312" s="1" t="str">
        <f>VLOOKUP(B312,Products!A:C,2,FALSE)</f>
        <v>Avocado</v>
      </c>
      <c r="D312" s="1" t="str">
        <f t="shared" si="38"/>
        <v>Lagos</v>
      </c>
      <c r="E312" s="4" t="str">
        <f>_xlfn.XLOOKUP(D312,'Sales Manager'!$A$2:$A$6,'Sales Manager'!$B$2:$B$6,"")</f>
        <v>Adaora Okafor</v>
      </c>
      <c r="F312" s="3">
        <f t="shared" si="46"/>
        <v>11</v>
      </c>
      <c r="G312" s="1" t="str">
        <f t="shared" si="46"/>
        <v>Nov</v>
      </c>
      <c r="H312" s="11">
        <v>5000</v>
      </c>
      <c r="I312" s="11">
        <v>7826</v>
      </c>
      <c r="J312" s="11" cm="1">
        <f t="array" ref="J312">_xlfn.XLOOKUP(C312&amp;D312&amp;F312,Expense!$C$2:$C$601&amp;Expense!$D$2:$D$601&amp;Expense!$E$2:$E$601,Expense!$G$2:$G$601,"")</f>
        <v>1666.6666666666667</v>
      </c>
      <c r="K312" s="11" cm="1">
        <f t="array" ref="K312">_xlfn.XLOOKUP(C312&amp;D312&amp;F312,Expense!$C$2:$C$601&amp;Expense!$D$2:$D$601&amp;Expense!$E$2:$E$601,Expense!$H$2:$H$601,"")</f>
        <v>966.66666666666674</v>
      </c>
      <c r="L312" s="14">
        <f t="shared" si="42"/>
        <v>2826</v>
      </c>
      <c r="M312" s="14">
        <f>Master_Table[[#This Row],[Expense Budget]]-Master_Table[[#This Row],[Actual Expense]]</f>
        <v>700</v>
      </c>
      <c r="N312" s="16">
        <f t="shared" si="43"/>
        <v>6859.333333333333</v>
      </c>
      <c r="O312" s="29">
        <f t="shared" si="40"/>
        <v>3333.333333333333</v>
      </c>
      <c r="P312" s="16">
        <f t="shared" si="41"/>
        <v>3526</v>
      </c>
      <c r="Q312" s="28">
        <f>Master_Table[[#This Row],[△Sales Variance]]/Master_Table[[#This Row],[Sales Budget]]</f>
        <v>0.56520000000000004</v>
      </c>
      <c r="R312" s="28">
        <f>Master_Table[[#This Row],[△Expense  Variance]]/Master_Table[[#This Row],[Expense Budget]]</f>
        <v>0.42</v>
      </c>
      <c r="S312" s="28">
        <f>Master_Table[[#This Row],[Net Profit Variance]]/Master_Table[[#This Row],[Budget Net Profit]]</f>
        <v>1.0578000000000001</v>
      </c>
      <c r="T312" s="28">
        <f>Master_Table[[#This Row],[Actual Net Profit]]/Master_Table[[#This Row],[Actual Sales]]</f>
        <v>0.87648010903824858</v>
      </c>
      <c r="U312" s="28" t="str">
        <f>_xlfn.TEXTJOIN(" - ", TRUE, Master_Table[[#This Row],[Product]], Master_Table[[#This Row],[Branch]])</f>
        <v>Avocado - Lagos</v>
      </c>
    </row>
    <row r="313" spans="1:21" ht="14.4" x14ac:dyDescent="0.3">
      <c r="A313" s="2">
        <v>312</v>
      </c>
      <c r="B313" s="2">
        <f t="shared" si="37"/>
        <v>105</v>
      </c>
      <c r="C313" s="1" t="str">
        <f>VLOOKUP(B313,Products!A:C,2,FALSE)</f>
        <v>Avocado</v>
      </c>
      <c r="D313" s="1" t="str">
        <f t="shared" si="38"/>
        <v>Lagos</v>
      </c>
      <c r="E313" s="4" t="str">
        <f>_xlfn.XLOOKUP(D313,'Sales Manager'!$A$2:$A$6,'Sales Manager'!$B$2:$B$6,"")</f>
        <v>Adaora Okafor</v>
      </c>
      <c r="F313" s="3">
        <f t="shared" si="46"/>
        <v>12</v>
      </c>
      <c r="G313" s="1" t="str">
        <f t="shared" si="46"/>
        <v>Dec</v>
      </c>
      <c r="H313" s="11">
        <v>4000</v>
      </c>
      <c r="I313" s="11">
        <v>3583</v>
      </c>
      <c r="J313" s="11" cm="1">
        <f t="array" ref="J313">_xlfn.XLOOKUP(C313&amp;D313&amp;F313,Expense!$C$2:$C$601&amp;Expense!$D$2:$D$601&amp;Expense!$E$2:$E$601,Expense!$G$2:$G$601,"")</f>
        <v>800</v>
      </c>
      <c r="K313" s="11" cm="1">
        <f t="array" ref="K313">_xlfn.XLOOKUP(C313&amp;D313&amp;F313,Expense!$C$2:$C$601&amp;Expense!$D$2:$D$601&amp;Expense!$E$2:$E$601,Expense!$H$2:$H$601,"")</f>
        <v>700</v>
      </c>
      <c r="L313" s="14">
        <f t="shared" si="42"/>
        <v>-417</v>
      </c>
      <c r="M313" s="14">
        <f>Master_Table[[#This Row],[Expense Budget]]-Master_Table[[#This Row],[Actual Expense]]</f>
        <v>100</v>
      </c>
      <c r="N313" s="16">
        <f t="shared" si="43"/>
        <v>2883</v>
      </c>
      <c r="O313" s="29">
        <f t="shared" si="40"/>
        <v>3200</v>
      </c>
      <c r="P313" s="16">
        <f t="shared" si="41"/>
        <v>-317</v>
      </c>
      <c r="Q313" s="28">
        <f>Master_Table[[#This Row],[△Sales Variance]]/Master_Table[[#This Row],[Sales Budget]]</f>
        <v>-0.10425</v>
      </c>
      <c r="R313" s="28">
        <f>Master_Table[[#This Row],[△Expense  Variance]]/Master_Table[[#This Row],[Expense Budget]]</f>
        <v>0.125</v>
      </c>
      <c r="S313" s="28">
        <f>Master_Table[[#This Row],[Net Profit Variance]]/Master_Table[[#This Row],[Budget Net Profit]]</f>
        <v>-9.9062499999999998E-2</v>
      </c>
      <c r="T313" s="28">
        <f>Master_Table[[#This Row],[Actual Net Profit]]/Master_Table[[#This Row],[Actual Sales]]</f>
        <v>0.80463298911526648</v>
      </c>
      <c r="U313" s="28" t="str">
        <f>_xlfn.TEXTJOIN(" - ", TRUE, Master_Table[[#This Row],[Product]], Master_Table[[#This Row],[Branch]])</f>
        <v>Avocado - Lagos</v>
      </c>
    </row>
    <row r="314" spans="1:21" ht="14.4" x14ac:dyDescent="0.3">
      <c r="A314" s="2">
        <v>313</v>
      </c>
      <c r="B314" s="2">
        <f t="shared" si="37"/>
        <v>105</v>
      </c>
      <c r="C314" s="1" t="str">
        <f>VLOOKUP(B314,Products!A:C,2,FALSE)</f>
        <v>Avocado</v>
      </c>
      <c r="D314" s="1" t="str">
        <f t="shared" si="38"/>
        <v>Abuja</v>
      </c>
      <c r="E314" s="4" t="str">
        <f>_xlfn.XLOOKUP(D314,'Sales Manager'!$A$2:$A$6,'Sales Manager'!$B$2:$B$6,"")</f>
        <v>Emeka Nwosu</v>
      </c>
      <c r="F314" s="3">
        <f t="shared" si="46"/>
        <v>1</v>
      </c>
      <c r="G314" s="1" t="str">
        <f t="shared" si="46"/>
        <v>Jan</v>
      </c>
      <c r="H314" s="11">
        <v>5000</v>
      </c>
      <c r="I314" s="11">
        <v>7576</v>
      </c>
      <c r="J314" s="11" cm="1">
        <f t="array" ref="J314">_xlfn.XLOOKUP(C314&amp;D314&amp;F314,Expense!$C$2:$C$601&amp;Expense!$D$2:$D$601&amp;Expense!$E$2:$E$601,Expense!$G$2:$G$601,"")</f>
        <v>1250</v>
      </c>
      <c r="K314" s="11" cm="1">
        <f t="array" ref="K314">_xlfn.XLOOKUP(C314&amp;D314&amp;F314,Expense!$C$2:$C$601&amp;Expense!$D$2:$D$601&amp;Expense!$E$2:$E$601,Expense!$H$2:$H$601,"")</f>
        <v>1250</v>
      </c>
      <c r="L314" s="14">
        <f t="shared" si="42"/>
        <v>2576</v>
      </c>
      <c r="M314" s="14">
        <f>Master_Table[[#This Row],[Expense Budget]]-Master_Table[[#This Row],[Actual Expense]]</f>
        <v>0</v>
      </c>
      <c r="N314" s="16">
        <f t="shared" si="43"/>
        <v>6326</v>
      </c>
      <c r="O314" s="29">
        <f t="shared" si="40"/>
        <v>3750</v>
      </c>
      <c r="P314" s="16">
        <f t="shared" si="41"/>
        <v>2576</v>
      </c>
      <c r="Q314" s="28">
        <f>Master_Table[[#This Row],[△Sales Variance]]/Master_Table[[#This Row],[Sales Budget]]</f>
        <v>0.51519999999999999</v>
      </c>
      <c r="R314" s="28">
        <f>Master_Table[[#This Row],[△Expense  Variance]]/Master_Table[[#This Row],[Expense Budget]]</f>
        <v>0</v>
      </c>
      <c r="S314" s="28">
        <f>Master_Table[[#This Row],[Net Profit Variance]]/Master_Table[[#This Row],[Budget Net Profit]]</f>
        <v>0.68693333333333328</v>
      </c>
      <c r="T314" s="28">
        <f>Master_Table[[#This Row],[Actual Net Profit]]/Master_Table[[#This Row],[Actual Sales]]</f>
        <v>0.83500527983104544</v>
      </c>
      <c r="U314" s="28" t="str">
        <f>_xlfn.TEXTJOIN(" - ", TRUE, Master_Table[[#This Row],[Product]], Master_Table[[#This Row],[Branch]])</f>
        <v>Avocado - Abuja</v>
      </c>
    </row>
    <row r="315" spans="1:21" ht="14.4" x14ac:dyDescent="0.3">
      <c r="A315" s="2">
        <v>314</v>
      </c>
      <c r="B315" s="2">
        <f t="shared" si="37"/>
        <v>105</v>
      </c>
      <c r="C315" s="1" t="str">
        <f>VLOOKUP(B315,Products!A:C,2,FALSE)</f>
        <v>Avocado</v>
      </c>
      <c r="D315" s="1" t="str">
        <f t="shared" si="38"/>
        <v>Abuja</v>
      </c>
      <c r="E315" s="4" t="str">
        <f>_xlfn.XLOOKUP(D315,'Sales Manager'!$A$2:$A$6,'Sales Manager'!$B$2:$B$6,"")</f>
        <v>Emeka Nwosu</v>
      </c>
      <c r="F315" s="3">
        <f t="shared" si="46"/>
        <v>2</v>
      </c>
      <c r="G315" s="1" t="str">
        <f t="shared" si="46"/>
        <v>Feb</v>
      </c>
      <c r="H315" s="11">
        <v>4000</v>
      </c>
      <c r="I315" s="11">
        <v>5322</v>
      </c>
      <c r="J315" s="11" cm="1">
        <f t="array" ref="J315">_xlfn.XLOOKUP(C315&amp;D315&amp;F315,Expense!$C$2:$C$601&amp;Expense!$D$2:$D$601&amp;Expense!$E$2:$E$601,Expense!$G$2:$G$601,"")</f>
        <v>800</v>
      </c>
      <c r="K315" s="11" cm="1">
        <f t="array" ref="K315">_xlfn.XLOOKUP(C315&amp;D315&amp;F315,Expense!$C$2:$C$601&amp;Expense!$D$2:$D$601&amp;Expense!$E$2:$E$601,Expense!$H$2:$H$601,"")</f>
        <v>800</v>
      </c>
      <c r="L315" s="14">
        <f t="shared" si="42"/>
        <v>1322</v>
      </c>
      <c r="M315" s="14">
        <f>Master_Table[[#This Row],[Expense Budget]]-Master_Table[[#This Row],[Actual Expense]]</f>
        <v>0</v>
      </c>
      <c r="N315" s="16">
        <f t="shared" si="43"/>
        <v>4522</v>
      </c>
      <c r="O315" s="29">
        <f t="shared" si="40"/>
        <v>3200</v>
      </c>
      <c r="P315" s="16">
        <f t="shared" si="41"/>
        <v>1322</v>
      </c>
      <c r="Q315" s="28">
        <f>Master_Table[[#This Row],[△Sales Variance]]/Master_Table[[#This Row],[Sales Budget]]</f>
        <v>0.33050000000000002</v>
      </c>
      <c r="R315" s="28">
        <f>Master_Table[[#This Row],[△Expense  Variance]]/Master_Table[[#This Row],[Expense Budget]]</f>
        <v>0</v>
      </c>
      <c r="S315" s="28">
        <f>Master_Table[[#This Row],[Net Profit Variance]]/Master_Table[[#This Row],[Budget Net Profit]]</f>
        <v>0.41312500000000002</v>
      </c>
      <c r="T315" s="28">
        <f>Master_Table[[#This Row],[Actual Net Profit]]/Master_Table[[#This Row],[Actual Sales]]</f>
        <v>0.84968057121382934</v>
      </c>
      <c r="U315" s="28" t="str">
        <f>_xlfn.TEXTJOIN(" - ", TRUE, Master_Table[[#This Row],[Product]], Master_Table[[#This Row],[Branch]])</f>
        <v>Avocado - Abuja</v>
      </c>
    </row>
    <row r="316" spans="1:21" ht="14.4" x14ac:dyDescent="0.3">
      <c r="A316" s="2">
        <v>315</v>
      </c>
      <c r="B316" s="2">
        <f t="shared" si="37"/>
        <v>105</v>
      </c>
      <c r="C316" s="1" t="str">
        <f>VLOOKUP(B316,Products!A:C,2,FALSE)</f>
        <v>Avocado</v>
      </c>
      <c r="D316" s="1" t="str">
        <f t="shared" si="38"/>
        <v>Abuja</v>
      </c>
      <c r="E316" s="4" t="str">
        <f>_xlfn.XLOOKUP(D316,'Sales Manager'!$A$2:$A$6,'Sales Manager'!$B$2:$B$6,"")</f>
        <v>Emeka Nwosu</v>
      </c>
      <c r="F316" s="3">
        <f t="shared" si="46"/>
        <v>3</v>
      </c>
      <c r="G316" s="1" t="str">
        <f t="shared" si="46"/>
        <v>Mar</v>
      </c>
      <c r="H316" s="11">
        <v>7000</v>
      </c>
      <c r="I316" s="11">
        <v>2411</v>
      </c>
      <c r="J316" s="11" cm="1">
        <f t="array" ref="J316">_xlfn.XLOOKUP(C316&amp;D316&amp;F316,Expense!$C$2:$C$601&amp;Expense!$D$2:$D$601&amp;Expense!$E$2:$E$601,Expense!$G$2:$G$601,"")</f>
        <v>2333.3333333333335</v>
      </c>
      <c r="K316" s="11" cm="1">
        <f t="array" ref="K316">_xlfn.XLOOKUP(C316&amp;D316&amp;F316,Expense!$C$2:$C$601&amp;Expense!$D$2:$D$601&amp;Expense!$E$2:$E$601,Expense!$H$2:$H$601,"")</f>
        <v>2233.3333333333335</v>
      </c>
      <c r="L316" s="14">
        <f t="shared" si="42"/>
        <v>-4589</v>
      </c>
      <c r="M316" s="14">
        <f>Master_Table[[#This Row],[Expense Budget]]-Master_Table[[#This Row],[Actual Expense]]</f>
        <v>100</v>
      </c>
      <c r="N316" s="16">
        <f t="shared" si="43"/>
        <v>177.66666666666652</v>
      </c>
      <c r="O316" s="29">
        <f t="shared" si="40"/>
        <v>4666.6666666666661</v>
      </c>
      <c r="P316" s="16">
        <f t="shared" si="41"/>
        <v>-4489</v>
      </c>
      <c r="Q316" s="28">
        <f>Master_Table[[#This Row],[△Sales Variance]]/Master_Table[[#This Row],[Sales Budget]]</f>
        <v>-0.65557142857142858</v>
      </c>
      <c r="R316" s="28">
        <f>Master_Table[[#This Row],[△Expense  Variance]]/Master_Table[[#This Row],[Expense Budget]]</f>
        <v>4.2857142857142858E-2</v>
      </c>
      <c r="S316" s="28">
        <f>Master_Table[[#This Row],[Net Profit Variance]]/Master_Table[[#This Row],[Budget Net Profit]]</f>
        <v>-0.96192857142857158</v>
      </c>
      <c r="T316" s="28">
        <f>Master_Table[[#This Row],[Actual Net Profit]]/Master_Table[[#This Row],[Actual Sales]]</f>
        <v>7.3690031798700331E-2</v>
      </c>
      <c r="U316" s="28" t="str">
        <f>_xlfn.TEXTJOIN(" - ", TRUE, Master_Table[[#This Row],[Product]], Master_Table[[#This Row],[Branch]])</f>
        <v>Avocado - Abuja</v>
      </c>
    </row>
    <row r="317" spans="1:21" ht="14.4" x14ac:dyDescent="0.3">
      <c r="A317" s="2">
        <v>316</v>
      </c>
      <c r="B317" s="2">
        <f t="shared" si="37"/>
        <v>105</v>
      </c>
      <c r="C317" s="1" t="str">
        <f>VLOOKUP(B317,Products!A:C,2,FALSE)</f>
        <v>Avocado</v>
      </c>
      <c r="D317" s="1" t="str">
        <f t="shared" si="38"/>
        <v>Abuja</v>
      </c>
      <c r="E317" s="4" t="str">
        <f>_xlfn.XLOOKUP(D317,'Sales Manager'!$A$2:$A$6,'Sales Manager'!$B$2:$B$6,"")</f>
        <v>Emeka Nwosu</v>
      </c>
      <c r="F317" s="3">
        <f t="shared" si="46"/>
        <v>4</v>
      </c>
      <c r="G317" s="1" t="str">
        <f t="shared" si="46"/>
        <v>Apr</v>
      </c>
      <c r="H317" s="11">
        <v>5000</v>
      </c>
      <c r="I317" s="11">
        <v>5151</v>
      </c>
      <c r="J317" s="11" cm="1">
        <f t="array" ref="J317">_xlfn.XLOOKUP(C317&amp;D317&amp;F317,Expense!$C$2:$C$601&amp;Expense!$D$2:$D$601&amp;Expense!$E$2:$E$601,Expense!$G$2:$G$601,"")</f>
        <v>2500</v>
      </c>
      <c r="K317" s="11" cm="1">
        <f t="array" ref="K317">_xlfn.XLOOKUP(C317&amp;D317&amp;F317,Expense!$C$2:$C$601&amp;Expense!$D$2:$D$601&amp;Expense!$E$2:$E$601,Expense!$H$2:$H$601,"")</f>
        <v>1700</v>
      </c>
      <c r="L317" s="14">
        <f t="shared" si="42"/>
        <v>151</v>
      </c>
      <c r="M317" s="14">
        <f>Master_Table[[#This Row],[Expense Budget]]-Master_Table[[#This Row],[Actual Expense]]</f>
        <v>800</v>
      </c>
      <c r="N317" s="16">
        <f t="shared" si="43"/>
        <v>3451</v>
      </c>
      <c r="O317" s="29">
        <f t="shared" si="40"/>
        <v>2500</v>
      </c>
      <c r="P317" s="16">
        <f t="shared" si="41"/>
        <v>951</v>
      </c>
      <c r="Q317" s="28">
        <f>Master_Table[[#This Row],[△Sales Variance]]/Master_Table[[#This Row],[Sales Budget]]</f>
        <v>3.0200000000000001E-2</v>
      </c>
      <c r="R317" s="28">
        <f>Master_Table[[#This Row],[△Expense  Variance]]/Master_Table[[#This Row],[Expense Budget]]</f>
        <v>0.32</v>
      </c>
      <c r="S317" s="28">
        <f>Master_Table[[#This Row],[Net Profit Variance]]/Master_Table[[#This Row],[Budget Net Profit]]</f>
        <v>0.38040000000000002</v>
      </c>
      <c r="T317" s="28">
        <f>Master_Table[[#This Row],[Actual Net Profit]]/Master_Table[[#This Row],[Actual Sales]]</f>
        <v>0.66996699669966997</v>
      </c>
      <c r="U317" s="28" t="str">
        <f>_xlfn.TEXTJOIN(" - ", TRUE, Master_Table[[#This Row],[Product]], Master_Table[[#This Row],[Branch]])</f>
        <v>Avocado - Abuja</v>
      </c>
    </row>
    <row r="318" spans="1:21" ht="14.4" x14ac:dyDescent="0.3">
      <c r="A318" s="2">
        <v>317</v>
      </c>
      <c r="B318" s="2">
        <f t="shared" si="37"/>
        <v>105</v>
      </c>
      <c r="C318" s="1" t="str">
        <f>VLOOKUP(B318,Products!A:C,2,FALSE)</f>
        <v>Avocado</v>
      </c>
      <c r="D318" s="1" t="str">
        <f t="shared" si="38"/>
        <v>Abuja</v>
      </c>
      <c r="E318" s="4" t="str">
        <f>_xlfn.XLOOKUP(D318,'Sales Manager'!$A$2:$A$6,'Sales Manager'!$B$2:$B$6,"")</f>
        <v>Emeka Nwosu</v>
      </c>
      <c r="F318" s="3">
        <f t="shared" si="46"/>
        <v>5</v>
      </c>
      <c r="G318" s="1" t="str">
        <f t="shared" si="46"/>
        <v>May</v>
      </c>
      <c r="H318" s="11">
        <v>4000</v>
      </c>
      <c r="I318" s="11">
        <v>7272</v>
      </c>
      <c r="J318" s="11" cm="1">
        <f t="array" ref="J318">_xlfn.XLOOKUP(C318&amp;D318&amp;F318,Expense!$C$2:$C$601&amp;Expense!$D$2:$D$601&amp;Expense!$E$2:$E$601,Expense!$G$2:$G$601,"")</f>
        <v>2000</v>
      </c>
      <c r="K318" s="11" cm="1">
        <f t="array" ref="K318">_xlfn.XLOOKUP(C318&amp;D318&amp;F318,Expense!$C$2:$C$601&amp;Expense!$D$2:$D$601&amp;Expense!$E$2:$E$601,Expense!$H$2:$H$601,"")</f>
        <v>1800</v>
      </c>
      <c r="L318" s="14">
        <f t="shared" si="42"/>
        <v>3272</v>
      </c>
      <c r="M318" s="14">
        <f>Master_Table[[#This Row],[Expense Budget]]-Master_Table[[#This Row],[Actual Expense]]</f>
        <v>200</v>
      </c>
      <c r="N318" s="16">
        <f t="shared" si="43"/>
        <v>5472</v>
      </c>
      <c r="O318" s="29">
        <f t="shared" si="40"/>
        <v>2000</v>
      </c>
      <c r="P318" s="16">
        <f t="shared" si="41"/>
        <v>3472</v>
      </c>
      <c r="Q318" s="28">
        <f>Master_Table[[#This Row],[△Sales Variance]]/Master_Table[[#This Row],[Sales Budget]]</f>
        <v>0.81799999999999995</v>
      </c>
      <c r="R318" s="28">
        <f>Master_Table[[#This Row],[△Expense  Variance]]/Master_Table[[#This Row],[Expense Budget]]</f>
        <v>0.1</v>
      </c>
      <c r="S318" s="28">
        <f>Master_Table[[#This Row],[Net Profit Variance]]/Master_Table[[#This Row],[Budget Net Profit]]</f>
        <v>1.736</v>
      </c>
      <c r="T318" s="28">
        <f>Master_Table[[#This Row],[Actual Net Profit]]/Master_Table[[#This Row],[Actual Sales]]</f>
        <v>0.75247524752475248</v>
      </c>
      <c r="U318" s="28" t="str">
        <f>_xlfn.TEXTJOIN(" - ", TRUE, Master_Table[[#This Row],[Product]], Master_Table[[#This Row],[Branch]])</f>
        <v>Avocado - Abuja</v>
      </c>
    </row>
    <row r="319" spans="1:21" ht="14.4" x14ac:dyDescent="0.3">
      <c r="A319" s="2">
        <v>318</v>
      </c>
      <c r="B319" s="2">
        <f t="shared" ref="B319:B382" si="47">B259+1</f>
        <v>105</v>
      </c>
      <c r="C319" s="1" t="str">
        <f>VLOOKUP(B319,Products!A:C,2,FALSE)</f>
        <v>Avocado</v>
      </c>
      <c r="D319" s="1" t="str">
        <f t="shared" ref="D319:D382" si="48">D259</f>
        <v>Abuja</v>
      </c>
      <c r="E319" s="4" t="str">
        <f>_xlfn.XLOOKUP(D319,'Sales Manager'!$A$2:$A$6,'Sales Manager'!$B$2:$B$6,"")</f>
        <v>Emeka Nwosu</v>
      </c>
      <c r="F319" s="3">
        <f t="shared" ref="F319:G334" si="49">F307</f>
        <v>6</v>
      </c>
      <c r="G319" s="1" t="str">
        <f t="shared" si="49"/>
        <v>Jun</v>
      </c>
      <c r="H319" s="11">
        <v>1000</v>
      </c>
      <c r="I319" s="11">
        <v>5268</v>
      </c>
      <c r="J319" s="11" cm="1">
        <f t="array" ref="J319">_xlfn.XLOOKUP(C319&amp;D319&amp;F319,Expense!$C$2:$C$601&amp;Expense!$D$2:$D$601&amp;Expense!$E$2:$E$601,Expense!$G$2:$G$601,"")</f>
        <v>250</v>
      </c>
      <c r="K319" s="11" cm="1">
        <f t="array" ref="K319">_xlfn.XLOOKUP(C319&amp;D319&amp;F319,Expense!$C$2:$C$601&amp;Expense!$D$2:$D$601&amp;Expense!$E$2:$E$601,Expense!$H$2:$H$601,"")</f>
        <v>850</v>
      </c>
      <c r="L319" s="14">
        <f t="shared" si="42"/>
        <v>4268</v>
      </c>
      <c r="M319" s="14">
        <f>Master_Table[[#This Row],[Expense Budget]]-Master_Table[[#This Row],[Actual Expense]]</f>
        <v>-600</v>
      </c>
      <c r="N319" s="16">
        <f t="shared" si="43"/>
        <v>4418</v>
      </c>
      <c r="O319" s="29">
        <f t="shared" si="40"/>
        <v>750</v>
      </c>
      <c r="P319" s="16">
        <f t="shared" si="41"/>
        <v>3668</v>
      </c>
      <c r="Q319" s="28">
        <f>Master_Table[[#This Row],[△Sales Variance]]/Master_Table[[#This Row],[Sales Budget]]</f>
        <v>4.2679999999999998</v>
      </c>
      <c r="R319" s="28">
        <f>Master_Table[[#This Row],[△Expense  Variance]]/Master_Table[[#This Row],[Expense Budget]]</f>
        <v>-2.4</v>
      </c>
      <c r="S319" s="28">
        <f>Master_Table[[#This Row],[Net Profit Variance]]/Master_Table[[#This Row],[Budget Net Profit]]</f>
        <v>4.8906666666666663</v>
      </c>
      <c r="T319" s="28">
        <f>Master_Table[[#This Row],[Actual Net Profit]]/Master_Table[[#This Row],[Actual Sales]]</f>
        <v>0.83864844343204248</v>
      </c>
      <c r="U319" s="28" t="str">
        <f>_xlfn.TEXTJOIN(" - ", TRUE, Master_Table[[#This Row],[Product]], Master_Table[[#This Row],[Branch]])</f>
        <v>Avocado - Abuja</v>
      </c>
    </row>
    <row r="320" spans="1:21" ht="14.4" x14ac:dyDescent="0.3">
      <c r="A320" s="2">
        <v>319</v>
      </c>
      <c r="B320" s="2">
        <f t="shared" si="47"/>
        <v>105</v>
      </c>
      <c r="C320" s="1" t="str">
        <f>VLOOKUP(B320,Products!A:C,2,FALSE)</f>
        <v>Avocado</v>
      </c>
      <c r="D320" s="1" t="str">
        <f t="shared" si="48"/>
        <v>Abuja</v>
      </c>
      <c r="E320" s="4" t="str">
        <f>_xlfn.XLOOKUP(D320,'Sales Manager'!$A$2:$A$6,'Sales Manager'!$B$2:$B$6,"")</f>
        <v>Emeka Nwosu</v>
      </c>
      <c r="F320" s="3">
        <f t="shared" si="49"/>
        <v>7</v>
      </c>
      <c r="G320" s="1" t="str">
        <f t="shared" si="49"/>
        <v>Jul</v>
      </c>
      <c r="H320" s="11">
        <v>3000</v>
      </c>
      <c r="I320" s="11">
        <v>5134</v>
      </c>
      <c r="J320" s="11" cm="1">
        <f t="array" ref="J320">_xlfn.XLOOKUP(C320&amp;D320&amp;F320,Expense!$C$2:$C$601&amp;Expense!$D$2:$D$601&amp;Expense!$E$2:$E$601,Expense!$G$2:$G$601,"")</f>
        <v>1500</v>
      </c>
      <c r="K320" s="11" cm="1">
        <f t="array" ref="K320">_xlfn.XLOOKUP(C320&amp;D320&amp;F320,Expense!$C$2:$C$601&amp;Expense!$D$2:$D$601&amp;Expense!$E$2:$E$601,Expense!$H$2:$H$601,"")</f>
        <v>1100</v>
      </c>
      <c r="L320" s="14">
        <f t="shared" si="42"/>
        <v>2134</v>
      </c>
      <c r="M320" s="14">
        <f>Master_Table[[#This Row],[Expense Budget]]-Master_Table[[#This Row],[Actual Expense]]</f>
        <v>400</v>
      </c>
      <c r="N320" s="16">
        <f t="shared" si="43"/>
        <v>4034</v>
      </c>
      <c r="O320" s="29">
        <f t="shared" si="40"/>
        <v>1500</v>
      </c>
      <c r="P320" s="16">
        <f t="shared" si="41"/>
        <v>2534</v>
      </c>
      <c r="Q320" s="28">
        <f>Master_Table[[#This Row],[△Sales Variance]]/Master_Table[[#This Row],[Sales Budget]]</f>
        <v>0.71133333333333337</v>
      </c>
      <c r="R320" s="28">
        <f>Master_Table[[#This Row],[△Expense  Variance]]/Master_Table[[#This Row],[Expense Budget]]</f>
        <v>0.26666666666666666</v>
      </c>
      <c r="S320" s="28">
        <f>Master_Table[[#This Row],[Net Profit Variance]]/Master_Table[[#This Row],[Budget Net Profit]]</f>
        <v>1.6893333333333334</v>
      </c>
      <c r="T320" s="28">
        <f>Master_Table[[#This Row],[Actual Net Profit]]/Master_Table[[#This Row],[Actual Sales]]</f>
        <v>0.78574211141410211</v>
      </c>
      <c r="U320" s="28" t="str">
        <f>_xlfn.TEXTJOIN(" - ", TRUE, Master_Table[[#This Row],[Product]], Master_Table[[#This Row],[Branch]])</f>
        <v>Avocado - Abuja</v>
      </c>
    </row>
    <row r="321" spans="1:21" ht="14.4" x14ac:dyDescent="0.3">
      <c r="A321" s="2">
        <v>320</v>
      </c>
      <c r="B321" s="2">
        <f t="shared" si="47"/>
        <v>105</v>
      </c>
      <c r="C321" s="1" t="str">
        <f>VLOOKUP(B321,Products!A:C,2,FALSE)</f>
        <v>Avocado</v>
      </c>
      <c r="D321" s="1" t="str">
        <f t="shared" si="48"/>
        <v>Abuja</v>
      </c>
      <c r="E321" s="4" t="str">
        <f>_xlfn.XLOOKUP(D321,'Sales Manager'!$A$2:$A$6,'Sales Manager'!$B$2:$B$6,"")</f>
        <v>Emeka Nwosu</v>
      </c>
      <c r="F321" s="3">
        <f t="shared" si="49"/>
        <v>8</v>
      </c>
      <c r="G321" s="1" t="str">
        <f t="shared" si="49"/>
        <v>Aug</v>
      </c>
      <c r="H321" s="11">
        <v>5000</v>
      </c>
      <c r="I321" s="11">
        <v>5456</v>
      </c>
      <c r="J321" s="11" cm="1">
        <f t="array" ref="J321">_xlfn.XLOOKUP(C321&amp;D321&amp;F321,Expense!$C$2:$C$601&amp;Expense!$D$2:$D$601&amp;Expense!$E$2:$E$601,Expense!$G$2:$G$601,"")</f>
        <v>1666.6666666666667</v>
      </c>
      <c r="K321" s="11" cm="1">
        <f t="array" ref="K321">_xlfn.XLOOKUP(C321&amp;D321&amp;F321,Expense!$C$2:$C$601&amp;Expense!$D$2:$D$601&amp;Expense!$E$2:$E$601,Expense!$H$2:$H$601,"")</f>
        <v>1266.6666666666667</v>
      </c>
      <c r="L321" s="14">
        <f t="shared" si="42"/>
        <v>456</v>
      </c>
      <c r="M321" s="14">
        <f>Master_Table[[#This Row],[Expense Budget]]-Master_Table[[#This Row],[Actual Expense]]</f>
        <v>400</v>
      </c>
      <c r="N321" s="16">
        <f t="shared" si="43"/>
        <v>4189.333333333333</v>
      </c>
      <c r="O321" s="29">
        <f t="shared" si="40"/>
        <v>3333.333333333333</v>
      </c>
      <c r="P321" s="16">
        <f t="shared" si="41"/>
        <v>856</v>
      </c>
      <c r="Q321" s="28">
        <f>Master_Table[[#This Row],[△Sales Variance]]/Master_Table[[#This Row],[Sales Budget]]</f>
        <v>9.1200000000000003E-2</v>
      </c>
      <c r="R321" s="28">
        <f>Master_Table[[#This Row],[△Expense  Variance]]/Master_Table[[#This Row],[Expense Budget]]</f>
        <v>0.24</v>
      </c>
      <c r="S321" s="28">
        <f>Master_Table[[#This Row],[Net Profit Variance]]/Master_Table[[#This Row],[Budget Net Profit]]</f>
        <v>0.25680000000000003</v>
      </c>
      <c r="T321" s="28">
        <f>Master_Table[[#This Row],[Actual Net Profit]]/Master_Table[[#This Row],[Actual Sales]]</f>
        <v>0.76783968719452589</v>
      </c>
      <c r="U321" s="28" t="str">
        <f>_xlfn.TEXTJOIN(" - ", TRUE, Master_Table[[#This Row],[Product]], Master_Table[[#This Row],[Branch]])</f>
        <v>Avocado - Abuja</v>
      </c>
    </row>
    <row r="322" spans="1:21" ht="14.4" x14ac:dyDescent="0.3">
      <c r="A322" s="2">
        <v>321</v>
      </c>
      <c r="B322" s="2">
        <f t="shared" si="47"/>
        <v>105</v>
      </c>
      <c r="C322" s="1" t="str">
        <f>VLOOKUP(B322,Products!A:C,2,FALSE)</f>
        <v>Avocado</v>
      </c>
      <c r="D322" s="1" t="str">
        <f t="shared" si="48"/>
        <v>Abuja</v>
      </c>
      <c r="E322" s="4" t="str">
        <f>_xlfn.XLOOKUP(D322,'Sales Manager'!$A$2:$A$6,'Sales Manager'!$B$2:$B$6,"")</f>
        <v>Emeka Nwosu</v>
      </c>
      <c r="F322" s="3">
        <f t="shared" si="49"/>
        <v>9</v>
      </c>
      <c r="G322" s="1" t="str">
        <f t="shared" si="49"/>
        <v>Sept</v>
      </c>
      <c r="H322" s="11">
        <v>2000</v>
      </c>
      <c r="I322" s="11">
        <v>3114</v>
      </c>
      <c r="J322" s="11" cm="1">
        <f t="array" ref="J322">_xlfn.XLOOKUP(C322&amp;D322&amp;F322,Expense!$C$2:$C$601&amp;Expense!$D$2:$D$601&amp;Expense!$E$2:$E$601,Expense!$G$2:$G$601,"")</f>
        <v>500</v>
      </c>
      <c r="K322" s="11" cm="1">
        <f t="array" ref="K322">_xlfn.XLOOKUP(C322&amp;D322&amp;F322,Expense!$C$2:$C$601&amp;Expense!$D$2:$D$601&amp;Expense!$E$2:$E$601,Expense!$H$2:$H$601,"")</f>
        <v>500</v>
      </c>
      <c r="L322" s="14">
        <f t="shared" si="42"/>
        <v>1114</v>
      </c>
      <c r="M322" s="14">
        <f>Master_Table[[#This Row],[Expense Budget]]-Master_Table[[#This Row],[Actual Expense]]</f>
        <v>0</v>
      </c>
      <c r="N322" s="16">
        <f t="shared" si="43"/>
        <v>2614</v>
      </c>
      <c r="O322" s="29">
        <f t="shared" ref="O322:O385" si="50">H322-J322</f>
        <v>1500</v>
      </c>
      <c r="P322" s="16">
        <f t="shared" ref="P322:P385" si="51">N322-O322</f>
        <v>1114</v>
      </c>
      <c r="Q322" s="28">
        <f>Master_Table[[#This Row],[△Sales Variance]]/Master_Table[[#This Row],[Sales Budget]]</f>
        <v>0.55700000000000005</v>
      </c>
      <c r="R322" s="28">
        <f>Master_Table[[#This Row],[△Expense  Variance]]/Master_Table[[#This Row],[Expense Budget]]</f>
        <v>0</v>
      </c>
      <c r="S322" s="28">
        <f>Master_Table[[#This Row],[Net Profit Variance]]/Master_Table[[#This Row],[Budget Net Profit]]</f>
        <v>0.7426666666666667</v>
      </c>
      <c r="T322" s="28">
        <f>Master_Table[[#This Row],[Actual Net Profit]]/Master_Table[[#This Row],[Actual Sales]]</f>
        <v>0.83943481053307645</v>
      </c>
      <c r="U322" s="28" t="str">
        <f>_xlfn.TEXTJOIN(" - ", TRUE, Master_Table[[#This Row],[Product]], Master_Table[[#This Row],[Branch]])</f>
        <v>Avocado - Abuja</v>
      </c>
    </row>
    <row r="323" spans="1:21" ht="14.4" x14ac:dyDescent="0.3">
      <c r="A323" s="2">
        <v>322</v>
      </c>
      <c r="B323" s="2">
        <f t="shared" si="47"/>
        <v>105</v>
      </c>
      <c r="C323" s="1" t="str">
        <f>VLOOKUP(B323,Products!A:C,2,FALSE)</f>
        <v>Avocado</v>
      </c>
      <c r="D323" s="1" t="str">
        <f t="shared" si="48"/>
        <v>Abuja</v>
      </c>
      <c r="E323" s="4" t="str">
        <f>_xlfn.XLOOKUP(D323,'Sales Manager'!$A$2:$A$6,'Sales Manager'!$B$2:$B$6,"")</f>
        <v>Emeka Nwosu</v>
      </c>
      <c r="F323" s="3">
        <f t="shared" si="49"/>
        <v>10</v>
      </c>
      <c r="G323" s="1" t="str">
        <f t="shared" si="49"/>
        <v>Oct</v>
      </c>
      <c r="H323" s="11">
        <v>3000</v>
      </c>
      <c r="I323" s="11">
        <v>4536</v>
      </c>
      <c r="J323" s="11" cm="1">
        <f t="array" ref="J323">_xlfn.XLOOKUP(C323&amp;D323&amp;F323,Expense!$C$2:$C$601&amp;Expense!$D$2:$D$601&amp;Expense!$E$2:$E$601,Expense!$G$2:$G$601,"")</f>
        <v>1000</v>
      </c>
      <c r="K323" s="11" cm="1">
        <f t="array" ref="K323">_xlfn.XLOOKUP(C323&amp;D323&amp;F323,Expense!$C$2:$C$601&amp;Expense!$D$2:$D$601&amp;Expense!$E$2:$E$601,Expense!$H$2:$H$601,"")</f>
        <v>800</v>
      </c>
      <c r="L323" s="14">
        <f t="shared" ref="L323:L386" si="52">I323-H323</f>
        <v>1536</v>
      </c>
      <c r="M323" s="14">
        <f>Master_Table[[#This Row],[Expense Budget]]-Master_Table[[#This Row],[Actual Expense]]</f>
        <v>200</v>
      </c>
      <c r="N323" s="16">
        <f t="shared" ref="N323:N386" si="53">I323-K323</f>
        <v>3736</v>
      </c>
      <c r="O323" s="29">
        <f t="shared" si="50"/>
        <v>2000</v>
      </c>
      <c r="P323" s="16">
        <f t="shared" si="51"/>
        <v>1736</v>
      </c>
      <c r="Q323" s="28">
        <f>Master_Table[[#This Row],[△Sales Variance]]/Master_Table[[#This Row],[Sales Budget]]</f>
        <v>0.51200000000000001</v>
      </c>
      <c r="R323" s="28">
        <f>Master_Table[[#This Row],[△Expense  Variance]]/Master_Table[[#This Row],[Expense Budget]]</f>
        <v>0.2</v>
      </c>
      <c r="S323" s="28">
        <f>Master_Table[[#This Row],[Net Profit Variance]]/Master_Table[[#This Row],[Budget Net Profit]]</f>
        <v>0.86799999999999999</v>
      </c>
      <c r="T323" s="28">
        <f>Master_Table[[#This Row],[Actual Net Profit]]/Master_Table[[#This Row],[Actual Sales]]</f>
        <v>0.82363315696649031</v>
      </c>
      <c r="U323" s="28" t="str">
        <f>_xlfn.TEXTJOIN(" - ", TRUE, Master_Table[[#This Row],[Product]], Master_Table[[#This Row],[Branch]])</f>
        <v>Avocado - Abuja</v>
      </c>
    </row>
    <row r="324" spans="1:21" ht="14.4" x14ac:dyDescent="0.3">
      <c r="A324" s="2">
        <v>323</v>
      </c>
      <c r="B324" s="2">
        <f t="shared" si="47"/>
        <v>105</v>
      </c>
      <c r="C324" s="1" t="str">
        <f>VLOOKUP(B324,Products!A:C,2,FALSE)</f>
        <v>Avocado</v>
      </c>
      <c r="D324" s="1" t="str">
        <f t="shared" si="48"/>
        <v>Abuja</v>
      </c>
      <c r="E324" s="4" t="str">
        <f>_xlfn.XLOOKUP(D324,'Sales Manager'!$A$2:$A$6,'Sales Manager'!$B$2:$B$6,"")</f>
        <v>Emeka Nwosu</v>
      </c>
      <c r="F324" s="3">
        <f t="shared" si="49"/>
        <v>11</v>
      </c>
      <c r="G324" s="1" t="str">
        <f t="shared" si="49"/>
        <v>Nov</v>
      </c>
      <c r="H324" s="11">
        <v>6000</v>
      </c>
      <c r="I324" s="11">
        <v>3242</v>
      </c>
      <c r="J324" s="11" cm="1">
        <f t="array" ref="J324">_xlfn.XLOOKUP(C324&amp;D324&amp;F324,Expense!$C$2:$C$601&amp;Expense!$D$2:$D$601&amp;Expense!$E$2:$E$601,Expense!$G$2:$G$601,"")</f>
        <v>1500</v>
      </c>
      <c r="K324" s="11" cm="1">
        <f t="array" ref="K324">_xlfn.XLOOKUP(C324&amp;D324&amp;F324,Expense!$C$2:$C$601&amp;Expense!$D$2:$D$601&amp;Expense!$E$2:$E$601,Expense!$H$2:$H$601,"")</f>
        <v>1100</v>
      </c>
      <c r="L324" s="14">
        <f t="shared" si="52"/>
        <v>-2758</v>
      </c>
      <c r="M324" s="14">
        <f>Master_Table[[#This Row],[Expense Budget]]-Master_Table[[#This Row],[Actual Expense]]</f>
        <v>400</v>
      </c>
      <c r="N324" s="16">
        <f t="shared" si="53"/>
        <v>2142</v>
      </c>
      <c r="O324" s="29">
        <f t="shared" si="50"/>
        <v>4500</v>
      </c>
      <c r="P324" s="16">
        <f t="shared" si="51"/>
        <v>-2358</v>
      </c>
      <c r="Q324" s="28">
        <f>Master_Table[[#This Row],[△Sales Variance]]/Master_Table[[#This Row],[Sales Budget]]</f>
        <v>-0.45966666666666667</v>
      </c>
      <c r="R324" s="28">
        <f>Master_Table[[#This Row],[△Expense  Variance]]/Master_Table[[#This Row],[Expense Budget]]</f>
        <v>0.26666666666666666</v>
      </c>
      <c r="S324" s="28">
        <f>Master_Table[[#This Row],[Net Profit Variance]]/Master_Table[[#This Row],[Budget Net Profit]]</f>
        <v>-0.52400000000000002</v>
      </c>
      <c r="T324" s="28">
        <f>Master_Table[[#This Row],[Actual Net Profit]]/Master_Table[[#This Row],[Actual Sales]]</f>
        <v>0.66070326958667491</v>
      </c>
      <c r="U324" s="28" t="str">
        <f>_xlfn.TEXTJOIN(" - ", TRUE, Master_Table[[#This Row],[Product]], Master_Table[[#This Row],[Branch]])</f>
        <v>Avocado - Abuja</v>
      </c>
    </row>
    <row r="325" spans="1:21" ht="14.4" x14ac:dyDescent="0.3">
      <c r="A325" s="2">
        <v>324</v>
      </c>
      <c r="B325" s="2">
        <f t="shared" si="47"/>
        <v>105</v>
      </c>
      <c r="C325" s="1" t="str">
        <f>VLOOKUP(B325,Products!A:C,2,FALSE)</f>
        <v>Avocado</v>
      </c>
      <c r="D325" s="1" t="str">
        <f t="shared" si="48"/>
        <v>Abuja</v>
      </c>
      <c r="E325" s="4" t="str">
        <f>_xlfn.XLOOKUP(D325,'Sales Manager'!$A$2:$A$6,'Sales Manager'!$B$2:$B$6,"")</f>
        <v>Emeka Nwosu</v>
      </c>
      <c r="F325" s="3">
        <f t="shared" si="49"/>
        <v>12</v>
      </c>
      <c r="G325" s="1" t="str">
        <f t="shared" si="49"/>
        <v>Dec</v>
      </c>
      <c r="H325" s="11">
        <v>6000</v>
      </c>
      <c r="I325" s="11">
        <v>6216</v>
      </c>
      <c r="J325" s="11" cm="1">
        <f t="array" ref="J325">_xlfn.XLOOKUP(C325&amp;D325&amp;F325,Expense!$C$2:$C$601&amp;Expense!$D$2:$D$601&amp;Expense!$E$2:$E$601,Expense!$G$2:$G$601,"")</f>
        <v>1500</v>
      </c>
      <c r="K325" s="11" cm="1">
        <f t="array" ref="K325">_xlfn.XLOOKUP(C325&amp;D325&amp;F325,Expense!$C$2:$C$601&amp;Expense!$D$2:$D$601&amp;Expense!$E$2:$E$601,Expense!$H$2:$H$601,"")</f>
        <v>1100</v>
      </c>
      <c r="L325" s="14">
        <f t="shared" si="52"/>
        <v>216</v>
      </c>
      <c r="M325" s="14">
        <f>Master_Table[[#This Row],[Expense Budget]]-Master_Table[[#This Row],[Actual Expense]]</f>
        <v>400</v>
      </c>
      <c r="N325" s="16">
        <f t="shared" si="53"/>
        <v>5116</v>
      </c>
      <c r="O325" s="29">
        <f t="shared" si="50"/>
        <v>4500</v>
      </c>
      <c r="P325" s="16">
        <f t="shared" si="51"/>
        <v>616</v>
      </c>
      <c r="Q325" s="28">
        <f>Master_Table[[#This Row],[△Sales Variance]]/Master_Table[[#This Row],[Sales Budget]]</f>
        <v>3.5999999999999997E-2</v>
      </c>
      <c r="R325" s="28">
        <f>Master_Table[[#This Row],[△Expense  Variance]]/Master_Table[[#This Row],[Expense Budget]]</f>
        <v>0.26666666666666666</v>
      </c>
      <c r="S325" s="28">
        <f>Master_Table[[#This Row],[Net Profit Variance]]/Master_Table[[#This Row],[Budget Net Profit]]</f>
        <v>0.13688888888888889</v>
      </c>
      <c r="T325" s="28">
        <f>Master_Table[[#This Row],[Actual Net Profit]]/Master_Table[[#This Row],[Actual Sales]]</f>
        <v>0.82303732303732302</v>
      </c>
      <c r="U325" s="28" t="str">
        <f>_xlfn.TEXTJOIN(" - ", TRUE, Master_Table[[#This Row],[Product]], Master_Table[[#This Row],[Branch]])</f>
        <v>Avocado - Abuja</v>
      </c>
    </row>
    <row r="326" spans="1:21" ht="14.4" x14ac:dyDescent="0.3">
      <c r="A326" s="2">
        <v>325</v>
      </c>
      <c r="B326" s="2">
        <f t="shared" si="47"/>
        <v>105</v>
      </c>
      <c r="C326" s="1" t="str">
        <f>VLOOKUP(B326,Products!A:C,2,FALSE)</f>
        <v>Avocado</v>
      </c>
      <c r="D326" s="1" t="str">
        <f t="shared" si="48"/>
        <v>Warri</v>
      </c>
      <c r="E326" s="4" t="str">
        <f>_xlfn.XLOOKUP(D326,'Sales Manager'!$A$2:$A$6,'Sales Manager'!$B$2:$B$6,"")</f>
        <v>Gbenga Adesanya</v>
      </c>
      <c r="F326" s="3">
        <f t="shared" si="49"/>
        <v>1</v>
      </c>
      <c r="G326" s="1" t="str">
        <f t="shared" si="49"/>
        <v>Jan</v>
      </c>
      <c r="H326" s="11">
        <v>5000</v>
      </c>
      <c r="I326" s="11">
        <v>3554</v>
      </c>
      <c r="J326" s="11" cm="1">
        <f t="array" ref="J326">_xlfn.XLOOKUP(C326&amp;D326&amp;F326,Expense!$C$2:$C$601&amp;Expense!$D$2:$D$601&amp;Expense!$E$2:$E$601,Expense!$G$2:$G$601,"")</f>
        <v>2500</v>
      </c>
      <c r="K326" s="11" cm="1">
        <f t="array" ref="K326">_xlfn.XLOOKUP(C326&amp;D326&amp;F326,Expense!$C$2:$C$601&amp;Expense!$D$2:$D$601&amp;Expense!$E$2:$E$601,Expense!$H$2:$H$601,"")</f>
        <v>2000</v>
      </c>
      <c r="L326" s="14">
        <f t="shared" si="52"/>
        <v>-1446</v>
      </c>
      <c r="M326" s="14">
        <f>Master_Table[[#This Row],[Expense Budget]]-Master_Table[[#This Row],[Actual Expense]]</f>
        <v>500</v>
      </c>
      <c r="N326" s="16">
        <f t="shared" si="53"/>
        <v>1554</v>
      </c>
      <c r="O326" s="29">
        <f t="shared" si="50"/>
        <v>2500</v>
      </c>
      <c r="P326" s="16">
        <f t="shared" si="51"/>
        <v>-946</v>
      </c>
      <c r="Q326" s="28">
        <f>Master_Table[[#This Row],[△Sales Variance]]/Master_Table[[#This Row],[Sales Budget]]</f>
        <v>-0.28920000000000001</v>
      </c>
      <c r="R326" s="28">
        <f>Master_Table[[#This Row],[△Expense  Variance]]/Master_Table[[#This Row],[Expense Budget]]</f>
        <v>0.2</v>
      </c>
      <c r="S326" s="28">
        <f>Master_Table[[#This Row],[Net Profit Variance]]/Master_Table[[#This Row],[Budget Net Profit]]</f>
        <v>-0.37840000000000001</v>
      </c>
      <c r="T326" s="28">
        <f>Master_Table[[#This Row],[Actual Net Profit]]/Master_Table[[#This Row],[Actual Sales]]</f>
        <v>0.43725379853685986</v>
      </c>
      <c r="U326" s="28" t="str">
        <f>_xlfn.TEXTJOIN(" - ", TRUE, Master_Table[[#This Row],[Product]], Master_Table[[#This Row],[Branch]])</f>
        <v>Avocado - Warri</v>
      </c>
    </row>
    <row r="327" spans="1:21" ht="14.4" x14ac:dyDescent="0.3">
      <c r="A327" s="2">
        <v>326</v>
      </c>
      <c r="B327" s="2">
        <f t="shared" si="47"/>
        <v>105</v>
      </c>
      <c r="C327" s="1" t="str">
        <f>VLOOKUP(B327,Products!A:C,2,FALSE)</f>
        <v>Avocado</v>
      </c>
      <c r="D327" s="1" t="str">
        <f t="shared" si="48"/>
        <v>Warri</v>
      </c>
      <c r="E327" s="4" t="str">
        <f>_xlfn.XLOOKUP(D327,'Sales Manager'!$A$2:$A$6,'Sales Manager'!$B$2:$B$6,"")</f>
        <v>Gbenga Adesanya</v>
      </c>
      <c r="F327" s="3">
        <f t="shared" si="49"/>
        <v>2</v>
      </c>
      <c r="G327" s="1" t="str">
        <f t="shared" si="49"/>
        <v>Feb</v>
      </c>
      <c r="H327" s="11">
        <v>4000</v>
      </c>
      <c r="I327" s="11">
        <v>5185</v>
      </c>
      <c r="J327" s="11" cm="1">
        <f t="array" ref="J327">_xlfn.XLOOKUP(C327&amp;D327&amp;F327,Expense!$C$2:$C$601&amp;Expense!$D$2:$D$601&amp;Expense!$E$2:$E$601,Expense!$G$2:$G$601,"")</f>
        <v>2000</v>
      </c>
      <c r="K327" s="11" cm="1">
        <f t="array" ref="K327">_xlfn.XLOOKUP(C327&amp;D327&amp;F327,Expense!$C$2:$C$601&amp;Expense!$D$2:$D$601&amp;Expense!$E$2:$E$601,Expense!$H$2:$H$601,"")</f>
        <v>1500</v>
      </c>
      <c r="L327" s="14">
        <f t="shared" si="52"/>
        <v>1185</v>
      </c>
      <c r="M327" s="14">
        <f>Master_Table[[#This Row],[Expense Budget]]-Master_Table[[#This Row],[Actual Expense]]</f>
        <v>500</v>
      </c>
      <c r="N327" s="16">
        <f t="shared" si="53"/>
        <v>3685</v>
      </c>
      <c r="O327" s="29">
        <f t="shared" si="50"/>
        <v>2000</v>
      </c>
      <c r="P327" s="16">
        <f t="shared" si="51"/>
        <v>1685</v>
      </c>
      <c r="Q327" s="28">
        <f>Master_Table[[#This Row],[△Sales Variance]]/Master_Table[[#This Row],[Sales Budget]]</f>
        <v>0.29625000000000001</v>
      </c>
      <c r="R327" s="28">
        <f>Master_Table[[#This Row],[△Expense  Variance]]/Master_Table[[#This Row],[Expense Budget]]</f>
        <v>0.25</v>
      </c>
      <c r="S327" s="28">
        <f>Master_Table[[#This Row],[Net Profit Variance]]/Master_Table[[#This Row],[Budget Net Profit]]</f>
        <v>0.84250000000000003</v>
      </c>
      <c r="T327" s="28">
        <f>Master_Table[[#This Row],[Actual Net Profit]]/Master_Table[[#This Row],[Actual Sales]]</f>
        <v>0.71070395371263262</v>
      </c>
      <c r="U327" s="28" t="str">
        <f>_xlfn.TEXTJOIN(" - ", TRUE, Master_Table[[#This Row],[Product]], Master_Table[[#This Row],[Branch]])</f>
        <v>Avocado - Warri</v>
      </c>
    </row>
    <row r="328" spans="1:21" ht="14.4" x14ac:dyDescent="0.3">
      <c r="A328" s="2">
        <v>327</v>
      </c>
      <c r="B328" s="2">
        <f t="shared" si="47"/>
        <v>105</v>
      </c>
      <c r="C328" s="1" t="str">
        <f>VLOOKUP(B328,Products!A:C,2,FALSE)</f>
        <v>Avocado</v>
      </c>
      <c r="D328" s="1" t="str">
        <f t="shared" si="48"/>
        <v>Warri</v>
      </c>
      <c r="E328" s="4" t="str">
        <f>_xlfn.XLOOKUP(D328,'Sales Manager'!$A$2:$A$6,'Sales Manager'!$B$2:$B$6,"")</f>
        <v>Gbenga Adesanya</v>
      </c>
      <c r="F328" s="3">
        <f t="shared" si="49"/>
        <v>3</v>
      </c>
      <c r="G328" s="1" t="str">
        <f t="shared" si="49"/>
        <v>Mar</v>
      </c>
      <c r="H328" s="11">
        <v>5000</v>
      </c>
      <c r="I328" s="11">
        <v>8814</v>
      </c>
      <c r="J328" s="11" cm="1">
        <f t="array" ref="J328">_xlfn.XLOOKUP(C328&amp;D328&amp;F328,Expense!$C$2:$C$601&amp;Expense!$D$2:$D$601&amp;Expense!$E$2:$E$601,Expense!$G$2:$G$601,"")</f>
        <v>1000</v>
      </c>
      <c r="K328" s="11" cm="1">
        <f t="array" ref="K328">_xlfn.XLOOKUP(C328&amp;D328&amp;F328,Expense!$C$2:$C$601&amp;Expense!$D$2:$D$601&amp;Expense!$E$2:$E$601,Expense!$H$2:$H$601,"")</f>
        <v>700</v>
      </c>
      <c r="L328" s="14">
        <f t="shared" si="52"/>
        <v>3814</v>
      </c>
      <c r="M328" s="14">
        <f>Master_Table[[#This Row],[Expense Budget]]-Master_Table[[#This Row],[Actual Expense]]</f>
        <v>300</v>
      </c>
      <c r="N328" s="16">
        <f t="shared" si="53"/>
        <v>8114</v>
      </c>
      <c r="O328" s="29">
        <f t="shared" si="50"/>
        <v>4000</v>
      </c>
      <c r="P328" s="16">
        <f t="shared" si="51"/>
        <v>4114</v>
      </c>
      <c r="Q328" s="28">
        <f>Master_Table[[#This Row],[△Sales Variance]]/Master_Table[[#This Row],[Sales Budget]]</f>
        <v>0.76280000000000003</v>
      </c>
      <c r="R328" s="28">
        <f>Master_Table[[#This Row],[△Expense  Variance]]/Master_Table[[#This Row],[Expense Budget]]</f>
        <v>0.3</v>
      </c>
      <c r="S328" s="28">
        <f>Master_Table[[#This Row],[Net Profit Variance]]/Master_Table[[#This Row],[Budget Net Profit]]</f>
        <v>1.0285</v>
      </c>
      <c r="T328" s="28">
        <f>Master_Table[[#This Row],[Actual Net Profit]]/Master_Table[[#This Row],[Actual Sales]]</f>
        <v>0.92058089403222143</v>
      </c>
      <c r="U328" s="28" t="str">
        <f>_xlfn.TEXTJOIN(" - ", TRUE, Master_Table[[#This Row],[Product]], Master_Table[[#This Row],[Branch]])</f>
        <v>Avocado - Warri</v>
      </c>
    </row>
    <row r="329" spans="1:21" ht="14.4" x14ac:dyDescent="0.3">
      <c r="A329" s="2">
        <v>328</v>
      </c>
      <c r="B329" s="2">
        <f t="shared" si="47"/>
        <v>105</v>
      </c>
      <c r="C329" s="1" t="str">
        <f>VLOOKUP(B329,Products!A:C,2,FALSE)</f>
        <v>Avocado</v>
      </c>
      <c r="D329" s="1" t="str">
        <f t="shared" si="48"/>
        <v>Warri</v>
      </c>
      <c r="E329" s="4" t="str">
        <f>_xlfn.XLOOKUP(D329,'Sales Manager'!$A$2:$A$6,'Sales Manager'!$B$2:$B$6,"")</f>
        <v>Gbenga Adesanya</v>
      </c>
      <c r="F329" s="3">
        <f t="shared" si="49"/>
        <v>4</v>
      </c>
      <c r="G329" s="1" t="str">
        <f t="shared" si="49"/>
        <v>Apr</v>
      </c>
      <c r="H329" s="11">
        <v>3000</v>
      </c>
      <c r="I329" s="11">
        <v>6111</v>
      </c>
      <c r="J329" s="11" cm="1">
        <f t="array" ref="J329">_xlfn.XLOOKUP(C329&amp;D329&amp;F329,Expense!$C$2:$C$601&amp;Expense!$D$2:$D$601&amp;Expense!$E$2:$E$601,Expense!$G$2:$G$601,"")</f>
        <v>750</v>
      </c>
      <c r="K329" s="11" cm="1">
        <f t="array" ref="K329">_xlfn.XLOOKUP(C329&amp;D329&amp;F329,Expense!$C$2:$C$601&amp;Expense!$D$2:$D$601&amp;Expense!$E$2:$E$601,Expense!$H$2:$H$601,"")</f>
        <v>350</v>
      </c>
      <c r="L329" s="14">
        <f t="shared" si="52"/>
        <v>3111</v>
      </c>
      <c r="M329" s="14">
        <f>Master_Table[[#This Row],[Expense Budget]]-Master_Table[[#This Row],[Actual Expense]]</f>
        <v>400</v>
      </c>
      <c r="N329" s="16">
        <f t="shared" si="53"/>
        <v>5761</v>
      </c>
      <c r="O329" s="29">
        <f t="shared" si="50"/>
        <v>2250</v>
      </c>
      <c r="P329" s="16">
        <f t="shared" si="51"/>
        <v>3511</v>
      </c>
      <c r="Q329" s="28">
        <f>Master_Table[[#This Row],[△Sales Variance]]/Master_Table[[#This Row],[Sales Budget]]</f>
        <v>1.0369999999999999</v>
      </c>
      <c r="R329" s="28">
        <f>Master_Table[[#This Row],[△Expense  Variance]]/Master_Table[[#This Row],[Expense Budget]]</f>
        <v>0.53333333333333333</v>
      </c>
      <c r="S329" s="28">
        <f>Master_Table[[#This Row],[Net Profit Variance]]/Master_Table[[#This Row],[Budget Net Profit]]</f>
        <v>1.5604444444444445</v>
      </c>
      <c r="T329" s="28">
        <f>Master_Table[[#This Row],[Actual Net Profit]]/Master_Table[[#This Row],[Actual Sales]]</f>
        <v>0.94272623138602518</v>
      </c>
      <c r="U329" s="28" t="str">
        <f>_xlfn.TEXTJOIN(" - ", TRUE, Master_Table[[#This Row],[Product]], Master_Table[[#This Row],[Branch]])</f>
        <v>Avocado - Warri</v>
      </c>
    </row>
    <row r="330" spans="1:21" ht="14.4" x14ac:dyDescent="0.3">
      <c r="A330" s="2">
        <v>329</v>
      </c>
      <c r="B330" s="2">
        <f t="shared" si="47"/>
        <v>105</v>
      </c>
      <c r="C330" s="1" t="str">
        <f>VLOOKUP(B330,Products!A:C,2,FALSE)</f>
        <v>Avocado</v>
      </c>
      <c r="D330" s="1" t="str">
        <f t="shared" si="48"/>
        <v>Warri</v>
      </c>
      <c r="E330" s="4" t="str">
        <f>_xlfn.XLOOKUP(D330,'Sales Manager'!$A$2:$A$6,'Sales Manager'!$B$2:$B$6,"")</f>
        <v>Gbenga Adesanya</v>
      </c>
      <c r="F330" s="3">
        <f t="shared" si="49"/>
        <v>5</v>
      </c>
      <c r="G330" s="1" t="str">
        <f t="shared" si="49"/>
        <v>May</v>
      </c>
      <c r="H330" s="11">
        <v>4000</v>
      </c>
      <c r="I330" s="11">
        <v>8811</v>
      </c>
      <c r="J330" s="11" cm="1">
        <f t="array" ref="J330">_xlfn.XLOOKUP(C330&amp;D330&amp;F330,Expense!$C$2:$C$601&amp;Expense!$D$2:$D$601&amp;Expense!$E$2:$E$601,Expense!$G$2:$G$601,"")</f>
        <v>1000</v>
      </c>
      <c r="K330" s="11" cm="1">
        <f t="array" ref="K330">_xlfn.XLOOKUP(C330&amp;D330&amp;F330,Expense!$C$2:$C$601&amp;Expense!$D$2:$D$601&amp;Expense!$E$2:$E$601,Expense!$H$2:$H$601,"")</f>
        <v>900</v>
      </c>
      <c r="L330" s="14">
        <f t="shared" si="52"/>
        <v>4811</v>
      </c>
      <c r="M330" s="14">
        <f>Master_Table[[#This Row],[Expense Budget]]-Master_Table[[#This Row],[Actual Expense]]</f>
        <v>100</v>
      </c>
      <c r="N330" s="16">
        <f t="shared" si="53"/>
        <v>7911</v>
      </c>
      <c r="O330" s="29">
        <f t="shared" si="50"/>
        <v>3000</v>
      </c>
      <c r="P330" s="16">
        <f t="shared" si="51"/>
        <v>4911</v>
      </c>
      <c r="Q330" s="28">
        <f>Master_Table[[#This Row],[△Sales Variance]]/Master_Table[[#This Row],[Sales Budget]]</f>
        <v>1.20275</v>
      </c>
      <c r="R330" s="28">
        <f>Master_Table[[#This Row],[△Expense  Variance]]/Master_Table[[#This Row],[Expense Budget]]</f>
        <v>0.1</v>
      </c>
      <c r="S330" s="28">
        <f>Master_Table[[#This Row],[Net Profit Variance]]/Master_Table[[#This Row],[Budget Net Profit]]</f>
        <v>1.637</v>
      </c>
      <c r="T330" s="28">
        <f>Master_Table[[#This Row],[Actual Net Profit]]/Master_Table[[#This Row],[Actual Sales]]</f>
        <v>0.89785495403472937</v>
      </c>
      <c r="U330" s="28" t="str">
        <f>_xlfn.TEXTJOIN(" - ", TRUE, Master_Table[[#This Row],[Product]], Master_Table[[#This Row],[Branch]])</f>
        <v>Avocado - Warri</v>
      </c>
    </row>
    <row r="331" spans="1:21" ht="14.4" x14ac:dyDescent="0.3">
      <c r="A331" s="2">
        <v>330</v>
      </c>
      <c r="B331" s="2">
        <f t="shared" si="47"/>
        <v>105</v>
      </c>
      <c r="C331" s="1" t="str">
        <f>VLOOKUP(B331,Products!A:C,2,FALSE)</f>
        <v>Avocado</v>
      </c>
      <c r="D331" s="1" t="str">
        <f t="shared" si="48"/>
        <v>Warri</v>
      </c>
      <c r="E331" s="4" t="str">
        <f>_xlfn.XLOOKUP(D331,'Sales Manager'!$A$2:$A$6,'Sales Manager'!$B$2:$B$6,"")</f>
        <v>Gbenga Adesanya</v>
      </c>
      <c r="F331" s="3">
        <f t="shared" si="49"/>
        <v>6</v>
      </c>
      <c r="G331" s="1" t="str">
        <f t="shared" si="49"/>
        <v>Jun</v>
      </c>
      <c r="H331" s="11">
        <v>10000</v>
      </c>
      <c r="I331" s="11">
        <v>3432</v>
      </c>
      <c r="J331" s="11" cm="1">
        <f t="array" ref="J331">_xlfn.XLOOKUP(C331&amp;D331&amp;F331,Expense!$C$2:$C$601&amp;Expense!$D$2:$D$601&amp;Expense!$E$2:$E$601,Expense!$G$2:$G$601,"")</f>
        <v>5000</v>
      </c>
      <c r="K331" s="11" cm="1">
        <f t="array" ref="K331">_xlfn.XLOOKUP(C331&amp;D331&amp;F331,Expense!$C$2:$C$601&amp;Expense!$D$2:$D$601&amp;Expense!$E$2:$E$601,Expense!$H$2:$H$601,"")</f>
        <v>4800</v>
      </c>
      <c r="L331" s="14">
        <f t="shared" si="52"/>
        <v>-6568</v>
      </c>
      <c r="M331" s="14">
        <f>Master_Table[[#This Row],[Expense Budget]]-Master_Table[[#This Row],[Actual Expense]]</f>
        <v>200</v>
      </c>
      <c r="N331" s="16">
        <f t="shared" si="53"/>
        <v>-1368</v>
      </c>
      <c r="O331" s="29">
        <f t="shared" si="50"/>
        <v>5000</v>
      </c>
      <c r="P331" s="16">
        <f t="shared" si="51"/>
        <v>-6368</v>
      </c>
      <c r="Q331" s="28">
        <f>Master_Table[[#This Row],[△Sales Variance]]/Master_Table[[#This Row],[Sales Budget]]</f>
        <v>-0.65680000000000005</v>
      </c>
      <c r="R331" s="28">
        <f>Master_Table[[#This Row],[△Expense  Variance]]/Master_Table[[#This Row],[Expense Budget]]</f>
        <v>0.04</v>
      </c>
      <c r="S331" s="28">
        <f>Master_Table[[#This Row],[Net Profit Variance]]/Master_Table[[#This Row],[Budget Net Profit]]</f>
        <v>-1.2736000000000001</v>
      </c>
      <c r="T331" s="28">
        <f>Master_Table[[#This Row],[Actual Net Profit]]/Master_Table[[#This Row],[Actual Sales]]</f>
        <v>-0.39860139860139859</v>
      </c>
      <c r="U331" s="28" t="str">
        <f>_xlfn.TEXTJOIN(" - ", TRUE, Master_Table[[#This Row],[Product]], Master_Table[[#This Row],[Branch]])</f>
        <v>Avocado - Warri</v>
      </c>
    </row>
    <row r="332" spans="1:21" ht="14.4" x14ac:dyDescent="0.3">
      <c r="A332" s="2">
        <v>331</v>
      </c>
      <c r="B332" s="2">
        <f t="shared" si="47"/>
        <v>105</v>
      </c>
      <c r="C332" s="1" t="str">
        <f>VLOOKUP(B332,Products!A:C,2,FALSE)</f>
        <v>Avocado</v>
      </c>
      <c r="D332" s="1" t="str">
        <f t="shared" si="48"/>
        <v>Warri</v>
      </c>
      <c r="E332" s="4" t="str">
        <f>_xlfn.XLOOKUP(D332,'Sales Manager'!$A$2:$A$6,'Sales Manager'!$B$2:$B$6,"")</f>
        <v>Gbenga Adesanya</v>
      </c>
      <c r="F332" s="3">
        <f t="shared" si="49"/>
        <v>7</v>
      </c>
      <c r="G332" s="1" t="str">
        <f t="shared" si="49"/>
        <v>Jul</v>
      </c>
      <c r="H332" s="11">
        <v>3000</v>
      </c>
      <c r="I332" s="11">
        <v>4266</v>
      </c>
      <c r="J332" s="11" cm="1">
        <f t="array" ref="J332">_xlfn.XLOOKUP(C332&amp;D332&amp;F332,Expense!$C$2:$C$601&amp;Expense!$D$2:$D$601&amp;Expense!$E$2:$E$601,Expense!$G$2:$G$601,"")</f>
        <v>750</v>
      </c>
      <c r="K332" s="11" cm="1">
        <f t="array" ref="K332">_xlfn.XLOOKUP(C332&amp;D332&amp;F332,Expense!$C$2:$C$601&amp;Expense!$D$2:$D$601&amp;Expense!$E$2:$E$601,Expense!$H$2:$H$601,"")</f>
        <v>550</v>
      </c>
      <c r="L332" s="14">
        <f t="shared" si="52"/>
        <v>1266</v>
      </c>
      <c r="M332" s="14">
        <f>Master_Table[[#This Row],[Expense Budget]]-Master_Table[[#This Row],[Actual Expense]]</f>
        <v>200</v>
      </c>
      <c r="N332" s="16">
        <f t="shared" si="53"/>
        <v>3716</v>
      </c>
      <c r="O332" s="29">
        <f t="shared" si="50"/>
        <v>2250</v>
      </c>
      <c r="P332" s="16">
        <f t="shared" si="51"/>
        <v>1466</v>
      </c>
      <c r="Q332" s="28">
        <f>Master_Table[[#This Row],[△Sales Variance]]/Master_Table[[#This Row],[Sales Budget]]</f>
        <v>0.42199999999999999</v>
      </c>
      <c r="R332" s="28">
        <f>Master_Table[[#This Row],[△Expense  Variance]]/Master_Table[[#This Row],[Expense Budget]]</f>
        <v>0.26666666666666666</v>
      </c>
      <c r="S332" s="28">
        <f>Master_Table[[#This Row],[Net Profit Variance]]/Master_Table[[#This Row],[Budget Net Profit]]</f>
        <v>0.65155555555555555</v>
      </c>
      <c r="T332" s="28">
        <f>Master_Table[[#This Row],[Actual Net Profit]]/Master_Table[[#This Row],[Actual Sales]]</f>
        <v>0.87107360525082045</v>
      </c>
      <c r="U332" s="28" t="str">
        <f>_xlfn.TEXTJOIN(" - ", TRUE, Master_Table[[#This Row],[Product]], Master_Table[[#This Row],[Branch]])</f>
        <v>Avocado - Warri</v>
      </c>
    </row>
    <row r="333" spans="1:21" ht="14.4" x14ac:dyDescent="0.3">
      <c r="A333" s="2">
        <v>332</v>
      </c>
      <c r="B333" s="2">
        <f t="shared" si="47"/>
        <v>105</v>
      </c>
      <c r="C333" s="1" t="str">
        <f>VLOOKUP(B333,Products!A:C,2,FALSE)</f>
        <v>Avocado</v>
      </c>
      <c r="D333" s="1" t="str">
        <f t="shared" si="48"/>
        <v>Warri</v>
      </c>
      <c r="E333" s="4" t="str">
        <f>_xlfn.XLOOKUP(D333,'Sales Manager'!$A$2:$A$6,'Sales Manager'!$B$2:$B$6,"")</f>
        <v>Gbenga Adesanya</v>
      </c>
      <c r="F333" s="3">
        <f t="shared" si="49"/>
        <v>8</v>
      </c>
      <c r="G333" s="1" t="str">
        <f t="shared" si="49"/>
        <v>Aug</v>
      </c>
      <c r="H333" s="11">
        <v>2000</v>
      </c>
      <c r="I333" s="11">
        <v>3576</v>
      </c>
      <c r="J333" s="11" cm="1">
        <f t="array" ref="J333">_xlfn.XLOOKUP(C333&amp;D333&amp;F333,Expense!$C$2:$C$601&amp;Expense!$D$2:$D$601&amp;Expense!$E$2:$E$601,Expense!$G$2:$G$601,"")</f>
        <v>1000</v>
      </c>
      <c r="K333" s="11" cm="1">
        <f t="array" ref="K333">_xlfn.XLOOKUP(C333&amp;D333&amp;F333,Expense!$C$2:$C$601&amp;Expense!$D$2:$D$601&amp;Expense!$E$2:$E$601,Expense!$H$2:$H$601,"")</f>
        <v>700</v>
      </c>
      <c r="L333" s="14">
        <f t="shared" si="52"/>
        <v>1576</v>
      </c>
      <c r="M333" s="14">
        <f>Master_Table[[#This Row],[Expense Budget]]-Master_Table[[#This Row],[Actual Expense]]</f>
        <v>300</v>
      </c>
      <c r="N333" s="16">
        <f t="shared" si="53"/>
        <v>2876</v>
      </c>
      <c r="O333" s="29">
        <f t="shared" si="50"/>
        <v>1000</v>
      </c>
      <c r="P333" s="16">
        <f t="shared" si="51"/>
        <v>1876</v>
      </c>
      <c r="Q333" s="28">
        <f>Master_Table[[#This Row],[△Sales Variance]]/Master_Table[[#This Row],[Sales Budget]]</f>
        <v>0.78800000000000003</v>
      </c>
      <c r="R333" s="28">
        <f>Master_Table[[#This Row],[△Expense  Variance]]/Master_Table[[#This Row],[Expense Budget]]</f>
        <v>0.3</v>
      </c>
      <c r="S333" s="28">
        <f>Master_Table[[#This Row],[Net Profit Variance]]/Master_Table[[#This Row],[Budget Net Profit]]</f>
        <v>1.8759999999999999</v>
      </c>
      <c r="T333" s="28">
        <f>Master_Table[[#This Row],[Actual Net Profit]]/Master_Table[[#This Row],[Actual Sales]]</f>
        <v>0.80425055928411637</v>
      </c>
      <c r="U333" s="28" t="str">
        <f>_xlfn.TEXTJOIN(" - ", TRUE, Master_Table[[#This Row],[Product]], Master_Table[[#This Row],[Branch]])</f>
        <v>Avocado - Warri</v>
      </c>
    </row>
    <row r="334" spans="1:21" ht="14.4" x14ac:dyDescent="0.3">
      <c r="A334" s="2">
        <v>333</v>
      </c>
      <c r="B334" s="2">
        <f t="shared" si="47"/>
        <v>105</v>
      </c>
      <c r="C334" s="1" t="str">
        <f>VLOOKUP(B334,Products!A:C,2,FALSE)</f>
        <v>Avocado</v>
      </c>
      <c r="D334" s="1" t="str">
        <f t="shared" si="48"/>
        <v>Warri</v>
      </c>
      <c r="E334" s="4" t="str">
        <f>_xlfn.XLOOKUP(D334,'Sales Manager'!$A$2:$A$6,'Sales Manager'!$B$2:$B$6,"")</f>
        <v>Gbenga Adesanya</v>
      </c>
      <c r="F334" s="3">
        <f t="shared" si="49"/>
        <v>9</v>
      </c>
      <c r="G334" s="1" t="str">
        <f t="shared" si="49"/>
        <v>Sept</v>
      </c>
      <c r="H334" s="11">
        <v>2000</v>
      </c>
      <c r="I334" s="11">
        <v>6678</v>
      </c>
      <c r="J334" s="11" cm="1">
        <f t="array" ref="J334">_xlfn.XLOOKUP(C334&amp;D334&amp;F334,Expense!$C$2:$C$601&amp;Expense!$D$2:$D$601&amp;Expense!$E$2:$E$601,Expense!$G$2:$G$601,"")</f>
        <v>666.66666666666663</v>
      </c>
      <c r="K334" s="11" cm="1">
        <f t="array" ref="K334">_xlfn.XLOOKUP(C334&amp;D334&amp;F334,Expense!$C$2:$C$601&amp;Expense!$D$2:$D$601&amp;Expense!$E$2:$E$601,Expense!$H$2:$H$601,"")</f>
        <v>566.66666666666663</v>
      </c>
      <c r="L334" s="14">
        <f t="shared" si="52"/>
        <v>4678</v>
      </c>
      <c r="M334" s="14">
        <f>Master_Table[[#This Row],[Expense Budget]]-Master_Table[[#This Row],[Actual Expense]]</f>
        <v>100</v>
      </c>
      <c r="N334" s="16">
        <f t="shared" si="53"/>
        <v>6111.333333333333</v>
      </c>
      <c r="O334" s="29">
        <f t="shared" si="50"/>
        <v>1333.3333333333335</v>
      </c>
      <c r="P334" s="16">
        <f t="shared" si="51"/>
        <v>4778</v>
      </c>
      <c r="Q334" s="28">
        <f>Master_Table[[#This Row],[△Sales Variance]]/Master_Table[[#This Row],[Sales Budget]]</f>
        <v>2.339</v>
      </c>
      <c r="R334" s="28">
        <f>Master_Table[[#This Row],[△Expense  Variance]]/Master_Table[[#This Row],[Expense Budget]]</f>
        <v>0.15000000000000002</v>
      </c>
      <c r="S334" s="28">
        <f>Master_Table[[#This Row],[Net Profit Variance]]/Master_Table[[#This Row],[Budget Net Profit]]</f>
        <v>3.5834999999999995</v>
      </c>
      <c r="T334" s="28">
        <f>Master_Table[[#This Row],[Actual Net Profit]]/Master_Table[[#This Row],[Actual Sales]]</f>
        <v>0.9151442547668962</v>
      </c>
      <c r="U334" s="28" t="str">
        <f>_xlfn.TEXTJOIN(" - ", TRUE, Master_Table[[#This Row],[Product]], Master_Table[[#This Row],[Branch]])</f>
        <v>Avocado - Warri</v>
      </c>
    </row>
    <row r="335" spans="1:21" ht="14.4" x14ac:dyDescent="0.3">
      <c r="A335" s="2">
        <v>334</v>
      </c>
      <c r="B335" s="2">
        <f t="shared" si="47"/>
        <v>105</v>
      </c>
      <c r="C335" s="1" t="str">
        <f>VLOOKUP(B335,Products!A:C,2,FALSE)</f>
        <v>Avocado</v>
      </c>
      <c r="D335" s="1" t="str">
        <f t="shared" si="48"/>
        <v>Warri</v>
      </c>
      <c r="E335" s="4" t="str">
        <f>_xlfn.XLOOKUP(D335,'Sales Manager'!$A$2:$A$6,'Sales Manager'!$B$2:$B$6,"")</f>
        <v>Gbenga Adesanya</v>
      </c>
      <c r="F335" s="3">
        <f t="shared" ref="F335:G350" si="54">F323</f>
        <v>10</v>
      </c>
      <c r="G335" s="1" t="str">
        <f t="shared" si="54"/>
        <v>Oct</v>
      </c>
      <c r="H335" s="11">
        <v>8000</v>
      </c>
      <c r="I335" s="11">
        <v>2334</v>
      </c>
      <c r="J335" s="11" cm="1">
        <f t="array" ref="J335">_xlfn.XLOOKUP(C335&amp;D335&amp;F335,Expense!$C$2:$C$601&amp;Expense!$D$2:$D$601&amp;Expense!$E$2:$E$601,Expense!$G$2:$G$601,"")</f>
        <v>2000</v>
      </c>
      <c r="K335" s="11" cm="1">
        <f t="array" ref="K335">_xlfn.XLOOKUP(C335&amp;D335&amp;F335,Expense!$C$2:$C$601&amp;Expense!$D$2:$D$601&amp;Expense!$E$2:$E$601,Expense!$H$2:$H$601,"")</f>
        <v>2000</v>
      </c>
      <c r="L335" s="14">
        <f t="shared" si="52"/>
        <v>-5666</v>
      </c>
      <c r="M335" s="14">
        <f>Master_Table[[#This Row],[Expense Budget]]-Master_Table[[#This Row],[Actual Expense]]</f>
        <v>0</v>
      </c>
      <c r="N335" s="16">
        <f t="shared" si="53"/>
        <v>334</v>
      </c>
      <c r="O335" s="29">
        <f t="shared" si="50"/>
        <v>6000</v>
      </c>
      <c r="P335" s="16">
        <f t="shared" si="51"/>
        <v>-5666</v>
      </c>
      <c r="Q335" s="28">
        <f>Master_Table[[#This Row],[△Sales Variance]]/Master_Table[[#This Row],[Sales Budget]]</f>
        <v>-0.70825000000000005</v>
      </c>
      <c r="R335" s="28">
        <f>Master_Table[[#This Row],[△Expense  Variance]]/Master_Table[[#This Row],[Expense Budget]]</f>
        <v>0</v>
      </c>
      <c r="S335" s="28">
        <f>Master_Table[[#This Row],[Net Profit Variance]]/Master_Table[[#This Row],[Budget Net Profit]]</f>
        <v>-0.94433333333333336</v>
      </c>
      <c r="T335" s="28">
        <f>Master_Table[[#This Row],[Actual Net Profit]]/Master_Table[[#This Row],[Actual Sales]]</f>
        <v>0.143101970865467</v>
      </c>
      <c r="U335" s="28" t="str">
        <f>_xlfn.TEXTJOIN(" - ", TRUE, Master_Table[[#This Row],[Product]], Master_Table[[#This Row],[Branch]])</f>
        <v>Avocado - Warri</v>
      </c>
    </row>
    <row r="336" spans="1:21" ht="14.4" x14ac:dyDescent="0.3">
      <c r="A336" s="2">
        <v>335</v>
      </c>
      <c r="B336" s="2">
        <f t="shared" si="47"/>
        <v>105</v>
      </c>
      <c r="C336" s="1" t="str">
        <f>VLOOKUP(B336,Products!A:C,2,FALSE)</f>
        <v>Avocado</v>
      </c>
      <c r="D336" s="1" t="str">
        <f t="shared" si="48"/>
        <v>Warri</v>
      </c>
      <c r="E336" s="4" t="str">
        <f>_xlfn.XLOOKUP(D336,'Sales Manager'!$A$2:$A$6,'Sales Manager'!$B$2:$B$6,"")</f>
        <v>Gbenga Adesanya</v>
      </c>
      <c r="F336" s="3">
        <f t="shared" si="54"/>
        <v>11</v>
      </c>
      <c r="G336" s="1" t="str">
        <f t="shared" si="54"/>
        <v>Nov</v>
      </c>
      <c r="H336" s="11">
        <v>1000</v>
      </c>
      <c r="I336" s="11">
        <v>3225</v>
      </c>
      <c r="J336" s="11" cm="1">
        <f t="array" ref="J336">_xlfn.XLOOKUP(C336&amp;D336&amp;F336,Expense!$C$2:$C$601&amp;Expense!$D$2:$D$601&amp;Expense!$E$2:$E$601,Expense!$G$2:$G$601,"")</f>
        <v>333.33333333333331</v>
      </c>
      <c r="K336" s="11" cm="1">
        <f t="array" ref="K336">_xlfn.XLOOKUP(C336&amp;D336&amp;F336,Expense!$C$2:$C$601&amp;Expense!$D$2:$D$601&amp;Expense!$E$2:$E$601,Expense!$H$2:$H$601,"")</f>
        <v>166.66666666666669</v>
      </c>
      <c r="L336" s="14">
        <f t="shared" si="52"/>
        <v>2225</v>
      </c>
      <c r="M336" s="14">
        <f>Master_Table[[#This Row],[Expense Budget]]-Master_Table[[#This Row],[Actual Expense]]</f>
        <v>166.66666666666663</v>
      </c>
      <c r="N336" s="16">
        <f t="shared" si="53"/>
        <v>3058.3333333333335</v>
      </c>
      <c r="O336" s="29">
        <f t="shared" si="50"/>
        <v>666.66666666666674</v>
      </c>
      <c r="P336" s="16">
        <f t="shared" si="51"/>
        <v>2391.666666666667</v>
      </c>
      <c r="Q336" s="28">
        <f>Master_Table[[#This Row],[△Sales Variance]]/Master_Table[[#This Row],[Sales Budget]]</f>
        <v>2.2250000000000001</v>
      </c>
      <c r="R336" s="28">
        <f>Master_Table[[#This Row],[△Expense  Variance]]/Master_Table[[#This Row],[Expense Budget]]</f>
        <v>0.49999999999999989</v>
      </c>
      <c r="S336" s="28">
        <f>Master_Table[[#This Row],[Net Profit Variance]]/Master_Table[[#This Row],[Budget Net Profit]]</f>
        <v>3.5874999999999999</v>
      </c>
      <c r="T336" s="28">
        <f>Master_Table[[#This Row],[Actual Net Profit]]/Master_Table[[#This Row],[Actual Sales]]</f>
        <v>0.9483204134366926</v>
      </c>
      <c r="U336" s="28" t="str">
        <f>_xlfn.TEXTJOIN(" - ", TRUE, Master_Table[[#This Row],[Product]], Master_Table[[#This Row],[Branch]])</f>
        <v>Avocado - Warri</v>
      </c>
    </row>
    <row r="337" spans="1:21" ht="14.4" x14ac:dyDescent="0.3">
      <c r="A337" s="2">
        <v>336</v>
      </c>
      <c r="B337" s="2">
        <f t="shared" si="47"/>
        <v>105</v>
      </c>
      <c r="C337" s="1" t="str">
        <f>VLOOKUP(B337,Products!A:C,2,FALSE)</f>
        <v>Avocado</v>
      </c>
      <c r="D337" s="1" t="str">
        <f t="shared" si="48"/>
        <v>Warri</v>
      </c>
      <c r="E337" s="4" t="str">
        <f>_xlfn.XLOOKUP(D337,'Sales Manager'!$A$2:$A$6,'Sales Manager'!$B$2:$B$6,"")</f>
        <v>Gbenga Adesanya</v>
      </c>
      <c r="F337" s="3">
        <f t="shared" si="54"/>
        <v>12</v>
      </c>
      <c r="G337" s="1" t="str">
        <f t="shared" si="54"/>
        <v>Dec</v>
      </c>
      <c r="H337" s="11">
        <v>6000</v>
      </c>
      <c r="I337" s="11">
        <v>5786</v>
      </c>
      <c r="J337" s="11" cm="1">
        <f t="array" ref="J337">_xlfn.XLOOKUP(C337&amp;D337&amp;F337,Expense!$C$2:$C$601&amp;Expense!$D$2:$D$601&amp;Expense!$E$2:$E$601,Expense!$G$2:$G$601,"")</f>
        <v>3000</v>
      </c>
      <c r="K337" s="11" cm="1">
        <f t="array" ref="K337">_xlfn.XLOOKUP(C337&amp;D337&amp;F337,Expense!$C$2:$C$601&amp;Expense!$D$2:$D$601&amp;Expense!$E$2:$E$601,Expense!$H$2:$H$601,"")</f>
        <v>2500</v>
      </c>
      <c r="L337" s="14">
        <f t="shared" si="52"/>
        <v>-214</v>
      </c>
      <c r="M337" s="14">
        <f>Master_Table[[#This Row],[Expense Budget]]-Master_Table[[#This Row],[Actual Expense]]</f>
        <v>500</v>
      </c>
      <c r="N337" s="16">
        <f t="shared" si="53"/>
        <v>3286</v>
      </c>
      <c r="O337" s="29">
        <f t="shared" si="50"/>
        <v>3000</v>
      </c>
      <c r="P337" s="16">
        <f t="shared" si="51"/>
        <v>286</v>
      </c>
      <c r="Q337" s="28">
        <f>Master_Table[[#This Row],[△Sales Variance]]/Master_Table[[#This Row],[Sales Budget]]</f>
        <v>-3.5666666666666666E-2</v>
      </c>
      <c r="R337" s="28">
        <f>Master_Table[[#This Row],[△Expense  Variance]]/Master_Table[[#This Row],[Expense Budget]]</f>
        <v>0.16666666666666666</v>
      </c>
      <c r="S337" s="28">
        <f>Master_Table[[#This Row],[Net Profit Variance]]/Master_Table[[#This Row],[Budget Net Profit]]</f>
        <v>9.5333333333333339E-2</v>
      </c>
      <c r="T337" s="28">
        <f>Master_Table[[#This Row],[Actual Net Profit]]/Master_Table[[#This Row],[Actual Sales]]</f>
        <v>0.56792257172485305</v>
      </c>
      <c r="U337" s="28" t="str">
        <f>_xlfn.TEXTJOIN(" - ", TRUE, Master_Table[[#This Row],[Product]], Master_Table[[#This Row],[Branch]])</f>
        <v>Avocado - Warri</v>
      </c>
    </row>
    <row r="338" spans="1:21" ht="14.4" x14ac:dyDescent="0.3">
      <c r="A338" s="2">
        <v>337</v>
      </c>
      <c r="B338" s="2">
        <f t="shared" si="47"/>
        <v>105</v>
      </c>
      <c r="C338" s="1" t="str">
        <f>VLOOKUP(B338,Products!A:C,2,FALSE)</f>
        <v>Avocado</v>
      </c>
      <c r="D338" s="1" t="str">
        <f t="shared" si="48"/>
        <v>Kaduna</v>
      </c>
      <c r="E338" s="4" t="str">
        <f>_xlfn.XLOOKUP(D338,'Sales Manager'!$A$2:$A$6,'Sales Manager'!$B$2:$B$6,"")</f>
        <v>Musa Garba</v>
      </c>
      <c r="F338" s="3">
        <f t="shared" si="54"/>
        <v>1</v>
      </c>
      <c r="G338" s="1" t="str">
        <f t="shared" si="54"/>
        <v>Jan</v>
      </c>
      <c r="H338" s="11">
        <v>1000</v>
      </c>
      <c r="I338" s="11">
        <v>2474</v>
      </c>
      <c r="J338" s="11" cm="1">
        <f t="array" ref="J338">_xlfn.XLOOKUP(C338&amp;D338&amp;F338,Expense!$C$2:$C$601&amp;Expense!$D$2:$D$601&amp;Expense!$E$2:$E$601,Expense!$G$2:$G$601,"")</f>
        <v>333.33333333333331</v>
      </c>
      <c r="K338" s="11" cm="1">
        <f t="array" ref="K338">_xlfn.XLOOKUP(C338&amp;D338&amp;F338,Expense!$C$2:$C$601&amp;Expense!$D$2:$D$601&amp;Expense!$E$2:$E$601,Expense!$H$2:$H$601,"")</f>
        <v>333.33333333333331</v>
      </c>
      <c r="L338" s="14">
        <f t="shared" si="52"/>
        <v>1474</v>
      </c>
      <c r="M338" s="14">
        <f>Master_Table[[#This Row],[Expense Budget]]-Master_Table[[#This Row],[Actual Expense]]</f>
        <v>0</v>
      </c>
      <c r="N338" s="16">
        <f t="shared" si="53"/>
        <v>2140.6666666666665</v>
      </c>
      <c r="O338" s="29">
        <f t="shared" si="50"/>
        <v>666.66666666666674</v>
      </c>
      <c r="P338" s="16">
        <f t="shared" si="51"/>
        <v>1473.9999999999998</v>
      </c>
      <c r="Q338" s="28">
        <f>Master_Table[[#This Row],[△Sales Variance]]/Master_Table[[#This Row],[Sales Budget]]</f>
        <v>1.474</v>
      </c>
      <c r="R338" s="28">
        <f>Master_Table[[#This Row],[△Expense  Variance]]/Master_Table[[#This Row],[Expense Budget]]</f>
        <v>0</v>
      </c>
      <c r="S338" s="28">
        <f>Master_Table[[#This Row],[Net Profit Variance]]/Master_Table[[#This Row],[Budget Net Profit]]</f>
        <v>2.2109999999999994</v>
      </c>
      <c r="T338" s="28">
        <f>Master_Table[[#This Row],[Actual Net Profit]]/Master_Table[[#This Row],[Actual Sales]]</f>
        <v>0.865265427108596</v>
      </c>
      <c r="U338" s="28" t="str">
        <f>_xlfn.TEXTJOIN(" - ", TRUE, Master_Table[[#This Row],[Product]], Master_Table[[#This Row],[Branch]])</f>
        <v>Avocado - Kaduna</v>
      </c>
    </row>
    <row r="339" spans="1:21" ht="14.4" x14ac:dyDescent="0.3">
      <c r="A339" s="2">
        <v>338</v>
      </c>
      <c r="B339" s="2">
        <f t="shared" si="47"/>
        <v>105</v>
      </c>
      <c r="C339" s="1" t="str">
        <f>VLOOKUP(B339,Products!A:C,2,FALSE)</f>
        <v>Avocado</v>
      </c>
      <c r="D339" s="1" t="str">
        <f t="shared" si="48"/>
        <v>Kaduna</v>
      </c>
      <c r="E339" s="4" t="str">
        <f>_xlfn.XLOOKUP(D339,'Sales Manager'!$A$2:$A$6,'Sales Manager'!$B$2:$B$6,"")</f>
        <v>Musa Garba</v>
      </c>
      <c r="F339" s="3">
        <f t="shared" si="54"/>
        <v>2</v>
      </c>
      <c r="G339" s="1" t="str">
        <f t="shared" si="54"/>
        <v>Feb</v>
      </c>
      <c r="H339" s="11">
        <v>10000</v>
      </c>
      <c r="I339" s="11">
        <v>2962</v>
      </c>
      <c r="J339" s="11" cm="1">
        <f t="array" ref="J339">_xlfn.XLOOKUP(C339&amp;D339&amp;F339,Expense!$C$2:$C$601&amp;Expense!$D$2:$D$601&amp;Expense!$E$2:$E$601,Expense!$G$2:$G$601,"")</f>
        <v>3333.3333333333335</v>
      </c>
      <c r="K339" s="11" cm="1">
        <f t="array" ref="K339">_xlfn.XLOOKUP(C339&amp;D339&amp;F339,Expense!$C$2:$C$601&amp;Expense!$D$2:$D$601&amp;Expense!$E$2:$E$601,Expense!$H$2:$H$601,"")</f>
        <v>2933.3333333333335</v>
      </c>
      <c r="L339" s="14">
        <f t="shared" si="52"/>
        <v>-7038</v>
      </c>
      <c r="M339" s="14">
        <f>Master_Table[[#This Row],[Expense Budget]]-Master_Table[[#This Row],[Actual Expense]]</f>
        <v>400</v>
      </c>
      <c r="N339" s="16">
        <f t="shared" si="53"/>
        <v>28.666666666666515</v>
      </c>
      <c r="O339" s="29">
        <f t="shared" si="50"/>
        <v>6666.6666666666661</v>
      </c>
      <c r="P339" s="16">
        <f t="shared" si="51"/>
        <v>-6638</v>
      </c>
      <c r="Q339" s="28">
        <f>Master_Table[[#This Row],[△Sales Variance]]/Master_Table[[#This Row],[Sales Budget]]</f>
        <v>-0.70379999999999998</v>
      </c>
      <c r="R339" s="28">
        <f>Master_Table[[#This Row],[△Expense  Variance]]/Master_Table[[#This Row],[Expense Budget]]</f>
        <v>0.12</v>
      </c>
      <c r="S339" s="28">
        <f>Master_Table[[#This Row],[Net Profit Variance]]/Master_Table[[#This Row],[Budget Net Profit]]</f>
        <v>-0.99570000000000014</v>
      </c>
      <c r="T339" s="28">
        <f>Master_Table[[#This Row],[Actual Net Profit]]/Master_Table[[#This Row],[Actual Sales]]</f>
        <v>9.6781453972540569E-3</v>
      </c>
      <c r="U339" s="28" t="str">
        <f>_xlfn.TEXTJOIN(" - ", TRUE, Master_Table[[#This Row],[Product]], Master_Table[[#This Row],[Branch]])</f>
        <v>Avocado - Kaduna</v>
      </c>
    </row>
    <row r="340" spans="1:21" ht="14.4" x14ac:dyDescent="0.3">
      <c r="A340" s="2">
        <v>339</v>
      </c>
      <c r="B340" s="2">
        <f t="shared" si="47"/>
        <v>105</v>
      </c>
      <c r="C340" s="1" t="str">
        <f>VLOOKUP(B340,Products!A:C,2,FALSE)</f>
        <v>Avocado</v>
      </c>
      <c r="D340" s="1" t="str">
        <f t="shared" si="48"/>
        <v>Kaduna</v>
      </c>
      <c r="E340" s="4" t="str">
        <f>_xlfn.XLOOKUP(D340,'Sales Manager'!$A$2:$A$6,'Sales Manager'!$B$2:$B$6,"")</f>
        <v>Musa Garba</v>
      </c>
      <c r="F340" s="3">
        <f t="shared" si="54"/>
        <v>3</v>
      </c>
      <c r="G340" s="1" t="str">
        <f t="shared" si="54"/>
        <v>Mar</v>
      </c>
      <c r="H340" s="11">
        <v>5000</v>
      </c>
      <c r="I340" s="11">
        <v>5322</v>
      </c>
      <c r="J340" s="11" cm="1">
        <f t="array" ref="J340">_xlfn.XLOOKUP(C340&amp;D340&amp;F340,Expense!$C$2:$C$601&amp;Expense!$D$2:$D$601&amp;Expense!$E$2:$E$601,Expense!$G$2:$G$601,"")</f>
        <v>1000</v>
      </c>
      <c r="K340" s="11" cm="1">
        <f t="array" ref="K340">_xlfn.XLOOKUP(C340&amp;D340&amp;F340,Expense!$C$2:$C$601&amp;Expense!$D$2:$D$601&amp;Expense!$E$2:$E$601,Expense!$H$2:$H$601,"")</f>
        <v>500</v>
      </c>
      <c r="L340" s="14">
        <f t="shared" si="52"/>
        <v>322</v>
      </c>
      <c r="M340" s="14">
        <f>Master_Table[[#This Row],[Expense Budget]]-Master_Table[[#This Row],[Actual Expense]]</f>
        <v>500</v>
      </c>
      <c r="N340" s="16">
        <f t="shared" si="53"/>
        <v>4822</v>
      </c>
      <c r="O340" s="29">
        <f t="shared" si="50"/>
        <v>4000</v>
      </c>
      <c r="P340" s="16">
        <f t="shared" si="51"/>
        <v>822</v>
      </c>
      <c r="Q340" s="28">
        <f>Master_Table[[#This Row],[△Sales Variance]]/Master_Table[[#This Row],[Sales Budget]]</f>
        <v>6.4399999999999999E-2</v>
      </c>
      <c r="R340" s="28">
        <f>Master_Table[[#This Row],[△Expense  Variance]]/Master_Table[[#This Row],[Expense Budget]]</f>
        <v>0.5</v>
      </c>
      <c r="S340" s="28">
        <f>Master_Table[[#This Row],[Net Profit Variance]]/Master_Table[[#This Row],[Budget Net Profit]]</f>
        <v>0.20549999999999999</v>
      </c>
      <c r="T340" s="28">
        <f>Master_Table[[#This Row],[Actual Net Profit]]/Master_Table[[#This Row],[Actual Sales]]</f>
        <v>0.90605035700864334</v>
      </c>
      <c r="U340" s="28" t="str">
        <f>_xlfn.TEXTJOIN(" - ", TRUE, Master_Table[[#This Row],[Product]], Master_Table[[#This Row],[Branch]])</f>
        <v>Avocado - Kaduna</v>
      </c>
    </row>
    <row r="341" spans="1:21" ht="14.4" x14ac:dyDescent="0.3">
      <c r="A341" s="2">
        <v>340</v>
      </c>
      <c r="B341" s="2">
        <f t="shared" si="47"/>
        <v>105</v>
      </c>
      <c r="C341" s="1" t="str">
        <f>VLOOKUP(B341,Products!A:C,2,FALSE)</f>
        <v>Avocado</v>
      </c>
      <c r="D341" s="1" t="str">
        <f t="shared" si="48"/>
        <v>Kaduna</v>
      </c>
      <c r="E341" s="4" t="str">
        <f>_xlfn.XLOOKUP(D341,'Sales Manager'!$A$2:$A$6,'Sales Manager'!$B$2:$B$6,"")</f>
        <v>Musa Garba</v>
      </c>
      <c r="F341" s="3">
        <f t="shared" si="54"/>
        <v>4</v>
      </c>
      <c r="G341" s="1" t="str">
        <f t="shared" si="54"/>
        <v>Apr</v>
      </c>
      <c r="H341" s="11">
        <v>5000</v>
      </c>
      <c r="I341" s="11">
        <v>6264</v>
      </c>
      <c r="J341" s="11" cm="1">
        <f t="array" ref="J341">_xlfn.XLOOKUP(C341&amp;D341&amp;F341,Expense!$C$2:$C$601&amp;Expense!$D$2:$D$601&amp;Expense!$E$2:$E$601,Expense!$G$2:$G$601,"")</f>
        <v>1666.6666666666667</v>
      </c>
      <c r="K341" s="11" cm="1">
        <f t="array" ref="K341">_xlfn.XLOOKUP(C341&amp;D341&amp;F341,Expense!$C$2:$C$601&amp;Expense!$D$2:$D$601&amp;Expense!$E$2:$E$601,Expense!$H$2:$H$601,"")</f>
        <v>1566.6666666666667</v>
      </c>
      <c r="L341" s="14">
        <f t="shared" si="52"/>
        <v>1264</v>
      </c>
      <c r="M341" s="14">
        <f>Master_Table[[#This Row],[Expense Budget]]-Master_Table[[#This Row],[Actual Expense]]</f>
        <v>100</v>
      </c>
      <c r="N341" s="16">
        <f t="shared" si="53"/>
        <v>4697.333333333333</v>
      </c>
      <c r="O341" s="29">
        <f t="shared" si="50"/>
        <v>3333.333333333333</v>
      </c>
      <c r="P341" s="16">
        <f t="shared" si="51"/>
        <v>1364</v>
      </c>
      <c r="Q341" s="28">
        <f>Master_Table[[#This Row],[△Sales Variance]]/Master_Table[[#This Row],[Sales Budget]]</f>
        <v>0.25280000000000002</v>
      </c>
      <c r="R341" s="28">
        <f>Master_Table[[#This Row],[△Expense  Variance]]/Master_Table[[#This Row],[Expense Budget]]</f>
        <v>0.06</v>
      </c>
      <c r="S341" s="28">
        <f>Master_Table[[#This Row],[Net Profit Variance]]/Master_Table[[#This Row],[Budget Net Profit]]</f>
        <v>0.40920000000000006</v>
      </c>
      <c r="T341" s="28">
        <f>Master_Table[[#This Row],[Actual Net Profit]]/Master_Table[[#This Row],[Actual Sales]]</f>
        <v>0.74989357173265214</v>
      </c>
      <c r="U341" s="28" t="str">
        <f>_xlfn.TEXTJOIN(" - ", TRUE, Master_Table[[#This Row],[Product]], Master_Table[[#This Row],[Branch]])</f>
        <v>Avocado - Kaduna</v>
      </c>
    </row>
    <row r="342" spans="1:21" ht="14.4" x14ac:dyDescent="0.3">
      <c r="A342" s="2">
        <v>341</v>
      </c>
      <c r="B342" s="2">
        <f t="shared" si="47"/>
        <v>105</v>
      </c>
      <c r="C342" s="1" t="str">
        <f>VLOOKUP(B342,Products!A:C,2,FALSE)</f>
        <v>Avocado</v>
      </c>
      <c r="D342" s="1" t="str">
        <f t="shared" si="48"/>
        <v>Kaduna</v>
      </c>
      <c r="E342" s="4" t="str">
        <f>_xlfn.XLOOKUP(D342,'Sales Manager'!$A$2:$A$6,'Sales Manager'!$B$2:$B$6,"")</f>
        <v>Musa Garba</v>
      </c>
      <c r="F342" s="3">
        <f t="shared" si="54"/>
        <v>5</v>
      </c>
      <c r="G342" s="1" t="str">
        <f t="shared" si="54"/>
        <v>May</v>
      </c>
      <c r="H342" s="11">
        <v>4000</v>
      </c>
      <c r="I342" s="11">
        <v>4595</v>
      </c>
      <c r="J342" s="11" cm="1">
        <f t="array" ref="J342">_xlfn.XLOOKUP(C342&amp;D342&amp;F342,Expense!$C$2:$C$601&amp;Expense!$D$2:$D$601&amp;Expense!$E$2:$E$601,Expense!$G$2:$G$601,"")</f>
        <v>1333.3333333333333</v>
      </c>
      <c r="K342" s="11" cm="1">
        <f t="array" ref="K342">_xlfn.XLOOKUP(C342&amp;D342&amp;F342,Expense!$C$2:$C$601&amp;Expense!$D$2:$D$601&amp;Expense!$E$2:$E$601,Expense!$H$2:$H$601,"")</f>
        <v>933.33333333333326</v>
      </c>
      <c r="L342" s="14">
        <f t="shared" si="52"/>
        <v>595</v>
      </c>
      <c r="M342" s="14">
        <f>Master_Table[[#This Row],[Expense Budget]]-Master_Table[[#This Row],[Actual Expense]]</f>
        <v>400</v>
      </c>
      <c r="N342" s="16">
        <f t="shared" si="53"/>
        <v>3661.666666666667</v>
      </c>
      <c r="O342" s="29">
        <f t="shared" si="50"/>
        <v>2666.666666666667</v>
      </c>
      <c r="P342" s="16">
        <f t="shared" si="51"/>
        <v>995</v>
      </c>
      <c r="Q342" s="28">
        <f>Master_Table[[#This Row],[△Sales Variance]]/Master_Table[[#This Row],[Sales Budget]]</f>
        <v>0.14874999999999999</v>
      </c>
      <c r="R342" s="28">
        <f>Master_Table[[#This Row],[△Expense  Variance]]/Master_Table[[#This Row],[Expense Budget]]</f>
        <v>0.30000000000000004</v>
      </c>
      <c r="S342" s="28">
        <f>Master_Table[[#This Row],[Net Profit Variance]]/Master_Table[[#This Row],[Budget Net Profit]]</f>
        <v>0.37312499999999998</v>
      </c>
      <c r="T342" s="28">
        <f>Master_Table[[#This Row],[Actual Net Profit]]/Master_Table[[#This Row],[Actual Sales]]</f>
        <v>0.79688066739209296</v>
      </c>
      <c r="U342" s="28" t="str">
        <f>_xlfn.TEXTJOIN(" - ", TRUE, Master_Table[[#This Row],[Product]], Master_Table[[#This Row],[Branch]])</f>
        <v>Avocado - Kaduna</v>
      </c>
    </row>
    <row r="343" spans="1:21" ht="14.4" x14ac:dyDescent="0.3">
      <c r="A343" s="2">
        <v>342</v>
      </c>
      <c r="B343" s="2">
        <f t="shared" si="47"/>
        <v>105</v>
      </c>
      <c r="C343" s="1" t="str">
        <f>VLOOKUP(B343,Products!A:C,2,FALSE)</f>
        <v>Avocado</v>
      </c>
      <c r="D343" s="1" t="str">
        <f t="shared" si="48"/>
        <v>Kaduna</v>
      </c>
      <c r="E343" s="4" t="str">
        <f>_xlfn.XLOOKUP(D343,'Sales Manager'!$A$2:$A$6,'Sales Manager'!$B$2:$B$6,"")</f>
        <v>Musa Garba</v>
      </c>
      <c r="F343" s="3">
        <f t="shared" si="54"/>
        <v>6</v>
      </c>
      <c r="G343" s="1" t="str">
        <f t="shared" si="54"/>
        <v>Jun</v>
      </c>
      <c r="H343" s="11">
        <v>5000</v>
      </c>
      <c r="I343" s="11">
        <v>6672</v>
      </c>
      <c r="J343" s="11" cm="1">
        <f t="array" ref="J343">_xlfn.XLOOKUP(C343&amp;D343&amp;F343,Expense!$C$2:$C$601&amp;Expense!$D$2:$D$601&amp;Expense!$E$2:$E$601,Expense!$G$2:$G$601,"")</f>
        <v>1000</v>
      </c>
      <c r="K343" s="11" cm="1">
        <f t="array" ref="K343">_xlfn.XLOOKUP(C343&amp;D343&amp;F343,Expense!$C$2:$C$601&amp;Expense!$D$2:$D$601&amp;Expense!$E$2:$E$601,Expense!$H$2:$H$601,"")</f>
        <v>800</v>
      </c>
      <c r="L343" s="14">
        <f t="shared" si="52"/>
        <v>1672</v>
      </c>
      <c r="M343" s="14">
        <f>Master_Table[[#This Row],[Expense Budget]]-Master_Table[[#This Row],[Actual Expense]]</f>
        <v>200</v>
      </c>
      <c r="N343" s="16">
        <f t="shared" si="53"/>
        <v>5872</v>
      </c>
      <c r="O343" s="29">
        <f t="shared" si="50"/>
        <v>4000</v>
      </c>
      <c r="P343" s="16">
        <f t="shared" si="51"/>
        <v>1872</v>
      </c>
      <c r="Q343" s="28">
        <f>Master_Table[[#This Row],[△Sales Variance]]/Master_Table[[#This Row],[Sales Budget]]</f>
        <v>0.33439999999999998</v>
      </c>
      <c r="R343" s="28">
        <f>Master_Table[[#This Row],[△Expense  Variance]]/Master_Table[[#This Row],[Expense Budget]]</f>
        <v>0.2</v>
      </c>
      <c r="S343" s="28">
        <f>Master_Table[[#This Row],[Net Profit Variance]]/Master_Table[[#This Row],[Budget Net Profit]]</f>
        <v>0.46800000000000003</v>
      </c>
      <c r="T343" s="28">
        <f>Master_Table[[#This Row],[Actual Net Profit]]/Master_Table[[#This Row],[Actual Sales]]</f>
        <v>0.88009592326139086</v>
      </c>
      <c r="U343" s="28" t="str">
        <f>_xlfn.TEXTJOIN(" - ", TRUE, Master_Table[[#This Row],[Product]], Master_Table[[#This Row],[Branch]])</f>
        <v>Avocado - Kaduna</v>
      </c>
    </row>
    <row r="344" spans="1:21" ht="14.4" x14ac:dyDescent="0.3">
      <c r="A344" s="2">
        <v>343</v>
      </c>
      <c r="B344" s="2">
        <f t="shared" si="47"/>
        <v>105</v>
      </c>
      <c r="C344" s="1" t="str">
        <f>VLOOKUP(B344,Products!A:C,2,FALSE)</f>
        <v>Avocado</v>
      </c>
      <c r="D344" s="1" t="str">
        <f t="shared" si="48"/>
        <v>Kaduna</v>
      </c>
      <c r="E344" s="4" t="str">
        <f>_xlfn.XLOOKUP(D344,'Sales Manager'!$A$2:$A$6,'Sales Manager'!$B$2:$B$6,"")</f>
        <v>Musa Garba</v>
      </c>
      <c r="F344" s="3">
        <f t="shared" si="54"/>
        <v>7</v>
      </c>
      <c r="G344" s="1" t="str">
        <f t="shared" si="54"/>
        <v>Jul</v>
      </c>
      <c r="H344" s="11">
        <v>3000</v>
      </c>
      <c r="I344" s="11">
        <v>9576</v>
      </c>
      <c r="J344" s="11" cm="1">
        <f t="array" ref="J344">_xlfn.XLOOKUP(C344&amp;D344&amp;F344,Expense!$C$2:$C$601&amp;Expense!$D$2:$D$601&amp;Expense!$E$2:$E$601,Expense!$G$2:$G$601,"")</f>
        <v>1500</v>
      </c>
      <c r="K344" s="11" cm="1">
        <f t="array" ref="K344">_xlfn.XLOOKUP(C344&amp;D344&amp;F344,Expense!$C$2:$C$601&amp;Expense!$D$2:$D$601&amp;Expense!$E$2:$E$601,Expense!$H$2:$H$601,"")</f>
        <v>1200</v>
      </c>
      <c r="L344" s="14">
        <f t="shared" si="52"/>
        <v>6576</v>
      </c>
      <c r="M344" s="14">
        <f>Master_Table[[#This Row],[Expense Budget]]-Master_Table[[#This Row],[Actual Expense]]</f>
        <v>300</v>
      </c>
      <c r="N344" s="16">
        <f t="shared" si="53"/>
        <v>8376</v>
      </c>
      <c r="O344" s="29">
        <f t="shared" si="50"/>
        <v>1500</v>
      </c>
      <c r="P344" s="16">
        <f t="shared" si="51"/>
        <v>6876</v>
      </c>
      <c r="Q344" s="28">
        <f>Master_Table[[#This Row],[△Sales Variance]]/Master_Table[[#This Row],[Sales Budget]]</f>
        <v>2.1920000000000002</v>
      </c>
      <c r="R344" s="28">
        <f>Master_Table[[#This Row],[△Expense  Variance]]/Master_Table[[#This Row],[Expense Budget]]</f>
        <v>0.2</v>
      </c>
      <c r="S344" s="28">
        <f>Master_Table[[#This Row],[Net Profit Variance]]/Master_Table[[#This Row],[Budget Net Profit]]</f>
        <v>4.5839999999999996</v>
      </c>
      <c r="T344" s="28">
        <f>Master_Table[[#This Row],[Actual Net Profit]]/Master_Table[[#This Row],[Actual Sales]]</f>
        <v>0.87468671679197996</v>
      </c>
      <c r="U344" s="28" t="str">
        <f>_xlfn.TEXTJOIN(" - ", TRUE, Master_Table[[#This Row],[Product]], Master_Table[[#This Row],[Branch]])</f>
        <v>Avocado - Kaduna</v>
      </c>
    </row>
    <row r="345" spans="1:21" ht="14.4" x14ac:dyDescent="0.3">
      <c r="A345" s="2">
        <v>344</v>
      </c>
      <c r="B345" s="2">
        <f t="shared" si="47"/>
        <v>105</v>
      </c>
      <c r="C345" s="1" t="str">
        <f>VLOOKUP(B345,Products!A:C,2,FALSE)</f>
        <v>Avocado</v>
      </c>
      <c r="D345" s="1" t="str">
        <f t="shared" si="48"/>
        <v>Kaduna</v>
      </c>
      <c r="E345" s="4" t="str">
        <f>_xlfn.XLOOKUP(D345,'Sales Manager'!$A$2:$A$6,'Sales Manager'!$B$2:$B$6,"")</f>
        <v>Musa Garba</v>
      </c>
      <c r="F345" s="3">
        <f t="shared" si="54"/>
        <v>8</v>
      </c>
      <c r="G345" s="1" t="str">
        <f t="shared" si="54"/>
        <v>Aug</v>
      </c>
      <c r="H345" s="11">
        <v>5000</v>
      </c>
      <c r="I345" s="11">
        <v>7818</v>
      </c>
      <c r="J345" s="11" cm="1">
        <f t="array" ref="J345">_xlfn.XLOOKUP(C345&amp;D345&amp;F345,Expense!$C$2:$C$601&amp;Expense!$D$2:$D$601&amp;Expense!$E$2:$E$601,Expense!$G$2:$G$601,"")</f>
        <v>1250</v>
      </c>
      <c r="K345" s="11" cm="1">
        <f t="array" ref="K345">_xlfn.XLOOKUP(C345&amp;D345&amp;F345,Expense!$C$2:$C$601&amp;Expense!$D$2:$D$601&amp;Expense!$E$2:$E$601,Expense!$H$2:$H$601,"")</f>
        <v>950</v>
      </c>
      <c r="L345" s="14">
        <f t="shared" si="52"/>
        <v>2818</v>
      </c>
      <c r="M345" s="14">
        <f>Master_Table[[#This Row],[Expense Budget]]-Master_Table[[#This Row],[Actual Expense]]</f>
        <v>300</v>
      </c>
      <c r="N345" s="16">
        <f t="shared" si="53"/>
        <v>6868</v>
      </c>
      <c r="O345" s="29">
        <f t="shared" si="50"/>
        <v>3750</v>
      </c>
      <c r="P345" s="16">
        <f t="shared" si="51"/>
        <v>3118</v>
      </c>
      <c r="Q345" s="28">
        <f>Master_Table[[#This Row],[△Sales Variance]]/Master_Table[[#This Row],[Sales Budget]]</f>
        <v>0.56359999999999999</v>
      </c>
      <c r="R345" s="28">
        <f>Master_Table[[#This Row],[△Expense  Variance]]/Master_Table[[#This Row],[Expense Budget]]</f>
        <v>0.24</v>
      </c>
      <c r="S345" s="28">
        <f>Master_Table[[#This Row],[Net Profit Variance]]/Master_Table[[#This Row],[Budget Net Profit]]</f>
        <v>0.83146666666666669</v>
      </c>
      <c r="T345" s="28">
        <f>Master_Table[[#This Row],[Actual Net Profit]]/Master_Table[[#This Row],[Actual Sales]]</f>
        <v>0.87848554617549246</v>
      </c>
      <c r="U345" s="28" t="str">
        <f>_xlfn.TEXTJOIN(" - ", TRUE, Master_Table[[#This Row],[Product]], Master_Table[[#This Row],[Branch]])</f>
        <v>Avocado - Kaduna</v>
      </c>
    </row>
    <row r="346" spans="1:21" ht="14.4" x14ac:dyDescent="0.3">
      <c r="A346" s="2">
        <v>345</v>
      </c>
      <c r="B346" s="2">
        <f t="shared" si="47"/>
        <v>105</v>
      </c>
      <c r="C346" s="1" t="str">
        <f>VLOOKUP(B346,Products!A:C,2,FALSE)</f>
        <v>Avocado</v>
      </c>
      <c r="D346" s="1" t="str">
        <f t="shared" si="48"/>
        <v>Kaduna</v>
      </c>
      <c r="E346" s="4" t="str">
        <f>_xlfn.XLOOKUP(D346,'Sales Manager'!$A$2:$A$6,'Sales Manager'!$B$2:$B$6,"")</f>
        <v>Musa Garba</v>
      </c>
      <c r="F346" s="3">
        <f t="shared" si="54"/>
        <v>9</v>
      </c>
      <c r="G346" s="1" t="str">
        <f t="shared" si="54"/>
        <v>Sept</v>
      </c>
      <c r="H346" s="11">
        <v>3000</v>
      </c>
      <c r="I346" s="11">
        <v>5341</v>
      </c>
      <c r="J346" s="11" cm="1">
        <f t="array" ref="J346">_xlfn.XLOOKUP(C346&amp;D346&amp;F346,Expense!$C$2:$C$601&amp;Expense!$D$2:$D$601&amp;Expense!$E$2:$E$601,Expense!$G$2:$G$601,"")</f>
        <v>600</v>
      </c>
      <c r="K346" s="11" cm="1">
        <f t="array" ref="K346">_xlfn.XLOOKUP(C346&amp;D346&amp;F346,Expense!$C$2:$C$601&amp;Expense!$D$2:$D$601&amp;Expense!$E$2:$E$601,Expense!$H$2:$H$601,"")</f>
        <v>600</v>
      </c>
      <c r="L346" s="14">
        <f t="shared" si="52"/>
        <v>2341</v>
      </c>
      <c r="M346" s="14">
        <f>Master_Table[[#This Row],[Expense Budget]]-Master_Table[[#This Row],[Actual Expense]]</f>
        <v>0</v>
      </c>
      <c r="N346" s="16">
        <f t="shared" si="53"/>
        <v>4741</v>
      </c>
      <c r="O346" s="29">
        <f t="shared" si="50"/>
        <v>2400</v>
      </c>
      <c r="P346" s="16">
        <f t="shared" si="51"/>
        <v>2341</v>
      </c>
      <c r="Q346" s="28">
        <f>Master_Table[[#This Row],[△Sales Variance]]/Master_Table[[#This Row],[Sales Budget]]</f>
        <v>0.78033333333333332</v>
      </c>
      <c r="R346" s="28">
        <f>Master_Table[[#This Row],[△Expense  Variance]]/Master_Table[[#This Row],[Expense Budget]]</f>
        <v>0</v>
      </c>
      <c r="S346" s="28">
        <f>Master_Table[[#This Row],[Net Profit Variance]]/Master_Table[[#This Row],[Budget Net Profit]]</f>
        <v>0.97541666666666671</v>
      </c>
      <c r="T346" s="28">
        <f>Master_Table[[#This Row],[Actual Net Profit]]/Master_Table[[#This Row],[Actual Sales]]</f>
        <v>0.88766148661299382</v>
      </c>
      <c r="U346" s="28" t="str">
        <f>_xlfn.TEXTJOIN(" - ", TRUE, Master_Table[[#This Row],[Product]], Master_Table[[#This Row],[Branch]])</f>
        <v>Avocado - Kaduna</v>
      </c>
    </row>
    <row r="347" spans="1:21" ht="14.4" x14ac:dyDescent="0.3">
      <c r="A347" s="2">
        <v>346</v>
      </c>
      <c r="B347" s="2">
        <f t="shared" si="47"/>
        <v>105</v>
      </c>
      <c r="C347" s="1" t="str">
        <f>VLOOKUP(B347,Products!A:C,2,FALSE)</f>
        <v>Avocado</v>
      </c>
      <c r="D347" s="1" t="str">
        <f t="shared" si="48"/>
        <v>Kaduna</v>
      </c>
      <c r="E347" s="4" t="str">
        <f>_xlfn.XLOOKUP(D347,'Sales Manager'!$A$2:$A$6,'Sales Manager'!$B$2:$B$6,"")</f>
        <v>Musa Garba</v>
      </c>
      <c r="F347" s="3">
        <f t="shared" si="54"/>
        <v>10</v>
      </c>
      <c r="G347" s="1" t="str">
        <f t="shared" si="54"/>
        <v>Oct</v>
      </c>
      <c r="H347" s="11">
        <v>5000</v>
      </c>
      <c r="I347" s="11">
        <v>7543</v>
      </c>
      <c r="J347" s="11" cm="1">
        <f t="array" ref="J347">_xlfn.XLOOKUP(C347&amp;D347&amp;F347,Expense!$C$2:$C$601&amp;Expense!$D$2:$D$601&amp;Expense!$E$2:$E$601,Expense!$G$2:$G$601,"")</f>
        <v>1250</v>
      </c>
      <c r="K347" s="11" cm="1">
        <f t="array" ref="K347">_xlfn.XLOOKUP(C347&amp;D347&amp;F347,Expense!$C$2:$C$601&amp;Expense!$D$2:$D$601&amp;Expense!$E$2:$E$601,Expense!$H$2:$H$601,"")</f>
        <v>1150</v>
      </c>
      <c r="L347" s="14">
        <f t="shared" si="52"/>
        <v>2543</v>
      </c>
      <c r="M347" s="14">
        <f>Master_Table[[#This Row],[Expense Budget]]-Master_Table[[#This Row],[Actual Expense]]</f>
        <v>100</v>
      </c>
      <c r="N347" s="16">
        <f t="shared" si="53"/>
        <v>6393</v>
      </c>
      <c r="O347" s="29">
        <f t="shared" si="50"/>
        <v>3750</v>
      </c>
      <c r="P347" s="16">
        <f t="shared" si="51"/>
        <v>2643</v>
      </c>
      <c r="Q347" s="28">
        <f>Master_Table[[#This Row],[△Sales Variance]]/Master_Table[[#This Row],[Sales Budget]]</f>
        <v>0.50860000000000005</v>
      </c>
      <c r="R347" s="28">
        <f>Master_Table[[#This Row],[△Expense  Variance]]/Master_Table[[#This Row],[Expense Budget]]</f>
        <v>0.08</v>
      </c>
      <c r="S347" s="28">
        <f>Master_Table[[#This Row],[Net Profit Variance]]/Master_Table[[#This Row],[Budget Net Profit]]</f>
        <v>0.70479999999999998</v>
      </c>
      <c r="T347" s="28">
        <f>Master_Table[[#This Row],[Actual Net Profit]]/Master_Table[[#This Row],[Actual Sales]]</f>
        <v>0.84754076627336605</v>
      </c>
      <c r="U347" s="28" t="str">
        <f>_xlfn.TEXTJOIN(" - ", TRUE, Master_Table[[#This Row],[Product]], Master_Table[[#This Row],[Branch]])</f>
        <v>Avocado - Kaduna</v>
      </c>
    </row>
    <row r="348" spans="1:21" ht="14.4" x14ac:dyDescent="0.3">
      <c r="A348" s="2">
        <v>347</v>
      </c>
      <c r="B348" s="2">
        <f t="shared" si="47"/>
        <v>105</v>
      </c>
      <c r="C348" s="1" t="str">
        <f>VLOOKUP(B348,Products!A:C,2,FALSE)</f>
        <v>Avocado</v>
      </c>
      <c r="D348" s="1" t="str">
        <f t="shared" si="48"/>
        <v>Kaduna</v>
      </c>
      <c r="E348" s="4" t="str">
        <f>_xlfn.XLOOKUP(D348,'Sales Manager'!$A$2:$A$6,'Sales Manager'!$B$2:$B$6,"")</f>
        <v>Musa Garba</v>
      </c>
      <c r="F348" s="3">
        <f t="shared" si="54"/>
        <v>11</v>
      </c>
      <c r="G348" s="1" t="str">
        <f t="shared" si="54"/>
        <v>Nov</v>
      </c>
      <c r="H348" s="11">
        <v>4000</v>
      </c>
      <c r="I348" s="11">
        <v>4524</v>
      </c>
      <c r="J348" s="11" cm="1">
        <f t="array" ref="J348">_xlfn.XLOOKUP(C348&amp;D348&amp;F348,Expense!$C$2:$C$601&amp;Expense!$D$2:$D$601&amp;Expense!$E$2:$E$601,Expense!$G$2:$G$601,"")</f>
        <v>1333.3333333333333</v>
      </c>
      <c r="K348" s="11" cm="1">
        <f t="array" ref="K348">_xlfn.XLOOKUP(C348&amp;D348&amp;F348,Expense!$C$2:$C$601&amp;Expense!$D$2:$D$601&amp;Expense!$E$2:$E$601,Expense!$H$2:$H$601,"")</f>
        <v>633.33333333333326</v>
      </c>
      <c r="L348" s="14">
        <f t="shared" si="52"/>
        <v>524</v>
      </c>
      <c r="M348" s="14">
        <f>Master_Table[[#This Row],[Expense Budget]]-Master_Table[[#This Row],[Actual Expense]]</f>
        <v>700</v>
      </c>
      <c r="N348" s="16">
        <f t="shared" si="53"/>
        <v>3890.666666666667</v>
      </c>
      <c r="O348" s="29">
        <f t="shared" si="50"/>
        <v>2666.666666666667</v>
      </c>
      <c r="P348" s="16">
        <f t="shared" si="51"/>
        <v>1224</v>
      </c>
      <c r="Q348" s="28">
        <f>Master_Table[[#This Row],[△Sales Variance]]/Master_Table[[#This Row],[Sales Budget]]</f>
        <v>0.13100000000000001</v>
      </c>
      <c r="R348" s="28">
        <f>Master_Table[[#This Row],[△Expense  Variance]]/Master_Table[[#This Row],[Expense Budget]]</f>
        <v>0.52500000000000002</v>
      </c>
      <c r="S348" s="28">
        <f>Master_Table[[#This Row],[Net Profit Variance]]/Master_Table[[#This Row],[Budget Net Profit]]</f>
        <v>0.45899999999999996</v>
      </c>
      <c r="T348" s="28">
        <f>Master_Table[[#This Row],[Actual Net Profit]]/Master_Table[[#This Row],[Actual Sales]]</f>
        <v>0.86000589448865317</v>
      </c>
      <c r="U348" s="28" t="str">
        <f>_xlfn.TEXTJOIN(" - ", TRUE, Master_Table[[#This Row],[Product]], Master_Table[[#This Row],[Branch]])</f>
        <v>Avocado - Kaduna</v>
      </c>
    </row>
    <row r="349" spans="1:21" ht="14.4" x14ac:dyDescent="0.3">
      <c r="A349" s="2">
        <v>348</v>
      </c>
      <c r="B349" s="2">
        <f t="shared" si="47"/>
        <v>105</v>
      </c>
      <c r="C349" s="1" t="str">
        <f>VLOOKUP(B349,Products!A:C,2,FALSE)</f>
        <v>Avocado</v>
      </c>
      <c r="D349" s="1" t="str">
        <f t="shared" si="48"/>
        <v>Kaduna</v>
      </c>
      <c r="E349" s="4" t="str">
        <f>_xlfn.XLOOKUP(D349,'Sales Manager'!$A$2:$A$6,'Sales Manager'!$B$2:$B$6,"")</f>
        <v>Musa Garba</v>
      </c>
      <c r="F349" s="3">
        <f t="shared" si="54"/>
        <v>12</v>
      </c>
      <c r="G349" s="1" t="str">
        <f t="shared" si="54"/>
        <v>Dec</v>
      </c>
      <c r="H349" s="11">
        <v>4000</v>
      </c>
      <c r="I349" s="11">
        <v>5654</v>
      </c>
      <c r="J349" s="11" cm="1">
        <f t="array" ref="J349">_xlfn.XLOOKUP(C349&amp;D349&amp;F349,Expense!$C$2:$C$601&amp;Expense!$D$2:$D$601&amp;Expense!$E$2:$E$601,Expense!$G$2:$G$601,"")</f>
        <v>1333.3333333333333</v>
      </c>
      <c r="K349" s="11" cm="1">
        <f t="array" ref="K349">_xlfn.XLOOKUP(C349&amp;D349&amp;F349,Expense!$C$2:$C$601&amp;Expense!$D$2:$D$601&amp;Expense!$E$2:$E$601,Expense!$H$2:$H$601,"")</f>
        <v>633.33333333333326</v>
      </c>
      <c r="L349" s="14">
        <f t="shared" si="52"/>
        <v>1654</v>
      </c>
      <c r="M349" s="14">
        <f>Master_Table[[#This Row],[Expense Budget]]-Master_Table[[#This Row],[Actual Expense]]</f>
        <v>700</v>
      </c>
      <c r="N349" s="16">
        <f t="shared" si="53"/>
        <v>5020.666666666667</v>
      </c>
      <c r="O349" s="29">
        <f t="shared" si="50"/>
        <v>2666.666666666667</v>
      </c>
      <c r="P349" s="16">
        <f t="shared" si="51"/>
        <v>2354</v>
      </c>
      <c r="Q349" s="28">
        <f>Master_Table[[#This Row],[△Sales Variance]]/Master_Table[[#This Row],[Sales Budget]]</f>
        <v>0.41349999999999998</v>
      </c>
      <c r="R349" s="28">
        <f>Master_Table[[#This Row],[△Expense  Variance]]/Master_Table[[#This Row],[Expense Budget]]</f>
        <v>0.52500000000000002</v>
      </c>
      <c r="S349" s="28">
        <f>Master_Table[[#This Row],[Net Profit Variance]]/Master_Table[[#This Row],[Budget Net Profit]]</f>
        <v>0.88274999999999992</v>
      </c>
      <c r="T349" s="28">
        <f>Master_Table[[#This Row],[Actual Net Profit]]/Master_Table[[#This Row],[Actual Sales]]</f>
        <v>0.88798490744016045</v>
      </c>
      <c r="U349" s="28" t="str">
        <f>_xlfn.TEXTJOIN(" - ", TRUE, Master_Table[[#This Row],[Product]], Master_Table[[#This Row],[Branch]])</f>
        <v>Avocado - Kaduna</v>
      </c>
    </row>
    <row r="350" spans="1:21" ht="14.4" x14ac:dyDescent="0.3">
      <c r="A350" s="2">
        <v>349</v>
      </c>
      <c r="B350" s="2">
        <f t="shared" si="47"/>
        <v>105</v>
      </c>
      <c r="C350" s="1" t="str">
        <f>VLOOKUP(B350,Products!A:C,2,FALSE)</f>
        <v>Avocado</v>
      </c>
      <c r="D350" s="1" t="str">
        <f t="shared" si="48"/>
        <v>Ibadan</v>
      </c>
      <c r="E350" s="4" t="str">
        <f>_xlfn.XLOOKUP(D350,'Sales Manager'!$A$2:$A$6,'Sales Manager'!$B$2:$B$6,"")</f>
        <v>Funmi Adeyemi</v>
      </c>
      <c r="F350" s="3">
        <f t="shared" si="54"/>
        <v>1</v>
      </c>
      <c r="G350" s="1" t="str">
        <f t="shared" si="54"/>
        <v>Jan</v>
      </c>
      <c r="H350" s="11">
        <v>4000</v>
      </c>
      <c r="I350" s="11">
        <v>3324</v>
      </c>
      <c r="J350" s="11" cm="1">
        <f t="array" ref="J350">_xlfn.XLOOKUP(C350&amp;D350&amp;F350,Expense!$C$2:$C$601&amp;Expense!$D$2:$D$601&amp;Expense!$E$2:$E$601,Expense!$G$2:$G$601,"")</f>
        <v>800</v>
      </c>
      <c r="K350" s="11" cm="1">
        <f t="array" ref="K350">_xlfn.XLOOKUP(C350&amp;D350&amp;F350,Expense!$C$2:$C$601&amp;Expense!$D$2:$D$601&amp;Expense!$E$2:$E$601,Expense!$H$2:$H$601,"")</f>
        <v>600</v>
      </c>
      <c r="L350" s="14">
        <f t="shared" si="52"/>
        <v>-676</v>
      </c>
      <c r="M350" s="14">
        <f>Master_Table[[#This Row],[Expense Budget]]-Master_Table[[#This Row],[Actual Expense]]</f>
        <v>200</v>
      </c>
      <c r="N350" s="16">
        <f t="shared" si="53"/>
        <v>2724</v>
      </c>
      <c r="O350" s="29">
        <f t="shared" si="50"/>
        <v>3200</v>
      </c>
      <c r="P350" s="16">
        <f t="shared" si="51"/>
        <v>-476</v>
      </c>
      <c r="Q350" s="28">
        <f>Master_Table[[#This Row],[△Sales Variance]]/Master_Table[[#This Row],[Sales Budget]]</f>
        <v>-0.16900000000000001</v>
      </c>
      <c r="R350" s="28">
        <f>Master_Table[[#This Row],[△Expense  Variance]]/Master_Table[[#This Row],[Expense Budget]]</f>
        <v>0.25</v>
      </c>
      <c r="S350" s="28">
        <f>Master_Table[[#This Row],[Net Profit Variance]]/Master_Table[[#This Row],[Budget Net Profit]]</f>
        <v>-0.14874999999999999</v>
      </c>
      <c r="T350" s="28">
        <f>Master_Table[[#This Row],[Actual Net Profit]]/Master_Table[[#This Row],[Actual Sales]]</f>
        <v>0.81949458483754511</v>
      </c>
      <c r="U350" s="28" t="str">
        <f>_xlfn.TEXTJOIN(" - ", TRUE, Master_Table[[#This Row],[Product]], Master_Table[[#This Row],[Branch]])</f>
        <v>Avocado - Ibadan</v>
      </c>
    </row>
    <row r="351" spans="1:21" ht="14.4" x14ac:dyDescent="0.3">
      <c r="A351" s="2">
        <v>350</v>
      </c>
      <c r="B351" s="2">
        <f t="shared" si="47"/>
        <v>105</v>
      </c>
      <c r="C351" s="1" t="str">
        <f>VLOOKUP(B351,Products!A:C,2,FALSE)</f>
        <v>Avocado</v>
      </c>
      <c r="D351" s="1" t="str">
        <f t="shared" si="48"/>
        <v>Ibadan</v>
      </c>
      <c r="E351" s="4" t="str">
        <f>_xlfn.XLOOKUP(D351,'Sales Manager'!$A$2:$A$6,'Sales Manager'!$B$2:$B$6,"")</f>
        <v>Funmi Adeyemi</v>
      </c>
      <c r="F351" s="3">
        <f t="shared" ref="F351:G366" si="55">F339</f>
        <v>2</v>
      </c>
      <c r="G351" s="1" t="str">
        <f t="shared" si="55"/>
        <v>Feb</v>
      </c>
      <c r="H351" s="11">
        <v>3000</v>
      </c>
      <c r="I351" s="11">
        <v>4624</v>
      </c>
      <c r="J351" s="11" cm="1">
        <f t="array" ref="J351">_xlfn.XLOOKUP(C351&amp;D351&amp;F351,Expense!$C$2:$C$601&amp;Expense!$D$2:$D$601&amp;Expense!$E$2:$E$601,Expense!$G$2:$G$601,"")</f>
        <v>750</v>
      </c>
      <c r="K351" s="11" cm="1">
        <f t="array" ref="K351">_xlfn.XLOOKUP(C351&amp;D351&amp;F351,Expense!$C$2:$C$601&amp;Expense!$D$2:$D$601&amp;Expense!$E$2:$E$601,Expense!$H$2:$H$601,"")</f>
        <v>250</v>
      </c>
      <c r="L351" s="14">
        <f t="shared" si="52"/>
        <v>1624</v>
      </c>
      <c r="M351" s="14">
        <f>Master_Table[[#This Row],[Expense Budget]]-Master_Table[[#This Row],[Actual Expense]]</f>
        <v>500</v>
      </c>
      <c r="N351" s="16">
        <f t="shared" si="53"/>
        <v>4374</v>
      </c>
      <c r="O351" s="29">
        <f t="shared" si="50"/>
        <v>2250</v>
      </c>
      <c r="P351" s="16">
        <f t="shared" si="51"/>
        <v>2124</v>
      </c>
      <c r="Q351" s="28">
        <f>Master_Table[[#This Row],[△Sales Variance]]/Master_Table[[#This Row],[Sales Budget]]</f>
        <v>0.54133333333333333</v>
      </c>
      <c r="R351" s="28">
        <f>Master_Table[[#This Row],[△Expense  Variance]]/Master_Table[[#This Row],[Expense Budget]]</f>
        <v>0.66666666666666663</v>
      </c>
      <c r="S351" s="28">
        <f>Master_Table[[#This Row],[Net Profit Variance]]/Master_Table[[#This Row],[Budget Net Profit]]</f>
        <v>0.94399999999999995</v>
      </c>
      <c r="T351" s="28">
        <f>Master_Table[[#This Row],[Actual Net Profit]]/Master_Table[[#This Row],[Actual Sales]]</f>
        <v>0.9459342560553633</v>
      </c>
      <c r="U351" s="28" t="str">
        <f>_xlfn.TEXTJOIN(" - ", TRUE, Master_Table[[#This Row],[Product]], Master_Table[[#This Row],[Branch]])</f>
        <v>Avocado - Ibadan</v>
      </c>
    </row>
    <row r="352" spans="1:21" ht="14.4" x14ac:dyDescent="0.3">
      <c r="A352" s="2">
        <v>351</v>
      </c>
      <c r="B352" s="2">
        <f t="shared" si="47"/>
        <v>105</v>
      </c>
      <c r="C352" s="1" t="str">
        <f>VLOOKUP(B352,Products!A:C,2,FALSE)</f>
        <v>Avocado</v>
      </c>
      <c r="D352" s="1" t="str">
        <f t="shared" si="48"/>
        <v>Ibadan</v>
      </c>
      <c r="E352" s="4" t="str">
        <f>_xlfn.XLOOKUP(D352,'Sales Manager'!$A$2:$A$6,'Sales Manager'!$B$2:$B$6,"")</f>
        <v>Funmi Adeyemi</v>
      </c>
      <c r="F352" s="3">
        <f t="shared" si="55"/>
        <v>3</v>
      </c>
      <c r="G352" s="1" t="str">
        <f t="shared" si="55"/>
        <v>Mar</v>
      </c>
      <c r="H352" s="11">
        <v>6000</v>
      </c>
      <c r="I352" s="11">
        <v>3558</v>
      </c>
      <c r="J352" s="11" cm="1">
        <f t="array" ref="J352">_xlfn.XLOOKUP(C352&amp;D352&amp;F352,Expense!$C$2:$C$601&amp;Expense!$D$2:$D$601&amp;Expense!$E$2:$E$601,Expense!$G$2:$G$601,"")</f>
        <v>2000</v>
      </c>
      <c r="K352" s="11" cm="1">
        <f t="array" ref="K352">_xlfn.XLOOKUP(C352&amp;D352&amp;F352,Expense!$C$2:$C$601&amp;Expense!$D$2:$D$601&amp;Expense!$E$2:$E$601,Expense!$H$2:$H$601,"")</f>
        <v>1900</v>
      </c>
      <c r="L352" s="14">
        <f t="shared" si="52"/>
        <v>-2442</v>
      </c>
      <c r="M352" s="14">
        <f>Master_Table[[#This Row],[Expense Budget]]-Master_Table[[#This Row],[Actual Expense]]</f>
        <v>100</v>
      </c>
      <c r="N352" s="16">
        <f t="shared" si="53"/>
        <v>1658</v>
      </c>
      <c r="O352" s="29">
        <f t="shared" si="50"/>
        <v>4000</v>
      </c>
      <c r="P352" s="16">
        <f t="shared" si="51"/>
        <v>-2342</v>
      </c>
      <c r="Q352" s="28">
        <f>Master_Table[[#This Row],[△Sales Variance]]/Master_Table[[#This Row],[Sales Budget]]</f>
        <v>-0.40699999999999997</v>
      </c>
      <c r="R352" s="28">
        <f>Master_Table[[#This Row],[△Expense  Variance]]/Master_Table[[#This Row],[Expense Budget]]</f>
        <v>0.05</v>
      </c>
      <c r="S352" s="28">
        <f>Master_Table[[#This Row],[Net Profit Variance]]/Master_Table[[#This Row],[Budget Net Profit]]</f>
        <v>-0.58550000000000002</v>
      </c>
      <c r="T352" s="28">
        <f>Master_Table[[#This Row],[Actual Net Profit]]/Master_Table[[#This Row],[Actual Sales]]</f>
        <v>0.46599213041034288</v>
      </c>
      <c r="U352" s="28" t="str">
        <f>_xlfn.TEXTJOIN(" - ", TRUE, Master_Table[[#This Row],[Product]], Master_Table[[#This Row],[Branch]])</f>
        <v>Avocado - Ibadan</v>
      </c>
    </row>
    <row r="353" spans="1:21" ht="14.4" x14ac:dyDescent="0.3">
      <c r="A353" s="2">
        <v>352</v>
      </c>
      <c r="B353" s="2">
        <f t="shared" si="47"/>
        <v>105</v>
      </c>
      <c r="C353" s="1" t="str">
        <f>VLOOKUP(B353,Products!A:C,2,FALSE)</f>
        <v>Avocado</v>
      </c>
      <c r="D353" s="1" t="str">
        <f t="shared" si="48"/>
        <v>Ibadan</v>
      </c>
      <c r="E353" s="4" t="str">
        <f>_xlfn.XLOOKUP(D353,'Sales Manager'!$A$2:$A$6,'Sales Manager'!$B$2:$B$6,"")</f>
        <v>Funmi Adeyemi</v>
      </c>
      <c r="F353" s="3">
        <f t="shared" si="55"/>
        <v>4</v>
      </c>
      <c r="G353" s="1" t="str">
        <f t="shared" si="55"/>
        <v>Apr</v>
      </c>
      <c r="H353" s="11">
        <v>3000</v>
      </c>
      <c r="I353" s="11">
        <v>4915</v>
      </c>
      <c r="J353" s="11" cm="1">
        <f t="array" ref="J353">_xlfn.XLOOKUP(C353&amp;D353&amp;F353,Expense!$C$2:$C$601&amp;Expense!$D$2:$D$601&amp;Expense!$E$2:$E$601,Expense!$G$2:$G$601,"")</f>
        <v>750</v>
      </c>
      <c r="K353" s="11" cm="1">
        <f t="array" ref="K353">_xlfn.XLOOKUP(C353&amp;D353&amp;F353,Expense!$C$2:$C$601&amp;Expense!$D$2:$D$601&amp;Expense!$E$2:$E$601,Expense!$H$2:$H$601,"")</f>
        <v>450</v>
      </c>
      <c r="L353" s="14">
        <f t="shared" si="52"/>
        <v>1915</v>
      </c>
      <c r="M353" s="14">
        <f>Master_Table[[#This Row],[Expense Budget]]-Master_Table[[#This Row],[Actual Expense]]</f>
        <v>300</v>
      </c>
      <c r="N353" s="16">
        <f t="shared" si="53"/>
        <v>4465</v>
      </c>
      <c r="O353" s="29">
        <f t="shared" si="50"/>
        <v>2250</v>
      </c>
      <c r="P353" s="16">
        <f t="shared" si="51"/>
        <v>2215</v>
      </c>
      <c r="Q353" s="28">
        <f>Master_Table[[#This Row],[△Sales Variance]]/Master_Table[[#This Row],[Sales Budget]]</f>
        <v>0.63833333333333331</v>
      </c>
      <c r="R353" s="28">
        <f>Master_Table[[#This Row],[△Expense  Variance]]/Master_Table[[#This Row],[Expense Budget]]</f>
        <v>0.4</v>
      </c>
      <c r="S353" s="28">
        <f>Master_Table[[#This Row],[Net Profit Variance]]/Master_Table[[#This Row],[Budget Net Profit]]</f>
        <v>0.98444444444444446</v>
      </c>
      <c r="T353" s="28">
        <f>Master_Table[[#This Row],[Actual Net Profit]]/Master_Table[[#This Row],[Actual Sales]]</f>
        <v>0.90844354018311291</v>
      </c>
      <c r="U353" s="28" t="str">
        <f>_xlfn.TEXTJOIN(" - ", TRUE, Master_Table[[#This Row],[Product]], Master_Table[[#This Row],[Branch]])</f>
        <v>Avocado - Ibadan</v>
      </c>
    </row>
    <row r="354" spans="1:21" ht="14.4" x14ac:dyDescent="0.3">
      <c r="A354" s="2">
        <v>353</v>
      </c>
      <c r="B354" s="2">
        <f t="shared" si="47"/>
        <v>105</v>
      </c>
      <c r="C354" s="1" t="str">
        <f>VLOOKUP(B354,Products!A:C,2,FALSE)</f>
        <v>Avocado</v>
      </c>
      <c r="D354" s="1" t="str">
        <f t="shared" si="48"/>
        <v>Ibadan</v>
      </c>
      <c r="E354" s="4" t="str">
        <f>_xlfn.XLOOKUP(D354,'Sales Manager'!$A$2:$A$6,'Sales Manager'!$B$2:$B$6,"")</f>
        <v>Funmi Adeyemi</v>
      </c>
      <c r="F354" s="3">
        <f t="shared" si="55"/>
        <v>5</v>
      </c>
      <c r="G354" s="1" t="str">
        <f t="shared" si="55"/>
        <v>May</v>
      </c>
      <c r="H354" s="11">
        <v>5000</v>
      </c>
      <c r="I354" s="11">
        <v>2142</v>
      </c>
      <c r="J354" s="11" cm="1">
        <f t="array" ref="J354">_xlfn.XLOOKUP(C354&amp;D354&amp;F354,Expense!$C$2:$C$601&amp;Expense!$D$2:$D$601&amp;Expense!$E$2:$E$601,Expense!$G$2:$G$601,"")</f>
        <v>1250</v>
      </c>
      <c r="K354" s="11" cm="1">
        <f t="array" ref="K354">_xlfn.XLOOKUP(C354&amp;D354&amp;F354,Expense!$C$2:$C$601&amp;Expense!$D$2:$D$601&amp;Expense!$E$2:$E$601,Expense!$H$2:$H$601,"")</f>
        <v>850</v>
      </c>
      <c r="L354" s="14">
        <f t="shared" si="52"/>
        <v>-2858</v>
      </c>
      <c r="M354" s="14">
        <f>Master_Table[[#This Row],[Expense Budget]]-Master_Table[[#This Row],[Actual Expense]]</f>
        <v>400</v>
      </c>
      <c r="N354" s="16">
        <f t="shared" si="53"/>
        <v>1292</v>
      </c>
      <c r="O354" s="29">
        <f t="shared" si="50"/>
        <v>3750</v>
      </c>
      <c r="P354" s="16">
        <f t="shared" si="51"/>
        <v>-2458</v>
      </c>
      <c r="Q354" s="28">
        <f>Master_Table[[#This Row],[△Sales Variance]]/Master_Table[[#This Row],[Sales Budget]]</f>
        <v>-0.5716</v>
      </c>
      <c r="R354" s="28">
        <f>Master_Table[[#This Row],[△Expense  Variance]]/Master_Table[[#This Row],[Expense Budget]]</f>
        <v>0.32</v>
      </c>
      <c r="S354" s="28">
        <f>Master_Table[[#This Row],[Net Profit Variance]]/Master_Table[[#This Row],[Budget Net Profit]]</f>
        <v>-0.65546666666666664</v>
      </c>
      <c r="T354" s="28">
        <f>Master_Table[[#This Row],[Actual Net Profit]]/Master_Table[[#This Row],[Actual Sales]]</f>
        <v>0.60317460317460314</v>
      </c>
      <c r="U354" s="28" t="str">
        <f>_xlfn.TEXTJOIN(" - ", TRUE, Master_Table[[#This Row],[Product]], Master_Table[[#This Row],[Branch]])</f>
        <v>Avocado - Ibadan</v>
      </c>
    </row>
    <row r="355" spans="1:21" ht="14.4" x14ac:dyDescent="0.3">
      <c r="A355" s="2">
        <v>354</v>
      </c>
      <c r="B355" s="2">
        <f t="shared" si="47"/>
        <v>105</v>
      </c>
      <c r="C355" s="1" t="str">
        <f>VLOOKUP(B355,Products!A:C,2,FALSE)</f>
        <v>Avocado</v>
      </c>
      <c r="D355" s="1" t="str">
        <f t="shared" si="48"/>
        <v>Ibadan</v>
      </c>
      <c r="E355" s="4" t="str">
        <f>_xlfn.XLOOKUP(D355,'Sales Manager'!$A$2:$A$6,'Sales Manager'!$B$2:$B$6,"")</f>
        <v>Funmi Adeyemi</v>
      </c>
      <c r="F355" s="3">
        <f t="shared" si="55"/>
        <v>6</v>
      </c>
      <c r="G355" s="1" t="str">
        <f t="shared" si="55"/>
        <v>Jun</v>
      </c>
      <c r="H355" s="11">
        <v>4000</v>
      </c>
      <c r="I355" s="11">
        <v>4415</v>
      </c>
      <c r="J355" s="11" cm="1">
        <f t="array" ref="J355">_xlfn.XLOOKUP(C355&amp;D355&amp;F355,Expense!$C$2:$C$601&amp;Expense!$D$2:$D$601&amp;Expense!$E$2:$E$601,Expense!$G$2:$G$601,"")</f>
        <v>1000</v>
      </c>
      <c r="K355" s="11" cm="1">
        <f t="array" ref="K355">_xlfn.XLOOKUP(C355&amp;D355&amp;F355,Expense!$C$2:$C$601&amp;Expense!$D$2:$D$601&amp;Expense!$E$2:$E$601,Expense!$H$2:$H$601,"")</f>
        <v>700</v>
      </c>
      <c r="L355" s="14">
        <f t="shared" si="52"/>
        <v>415</v>
      </c>
      <c r="M355" s="14">
        <f>Master_Table[[#This Row],[Expense Budget]]-Master_Table[[#This Row],[Actual Expense]]</f>
        <v>300</v>
      </c>
      <c r="N355" s="16">
        <f t="shared" si="53"/>
        <v>3715</v>
      </c>
      <c r="O355" s="29">
        <f t="shared" si="50"/>
        <v>3000</v>
      </c>
      <c r="P355" s="16">
        <f t="shared" si="51"/>
        <v>715</v>
      </c>
      <c r="Q355" s="28">
        <f>Master_Table[[#This Row],[△Sales Variance]]/Master_Table[[#This Row],[Sales Budget]]</f>
        <v>0.10375</v>
      </c>
      <c r="R355" s="28">
        <f>Master_Table[[#This Row],[△Expense  Variance]]/Master_Table[[#This Row],[Expense Budget]]</f>
        <v>0.3</v>
      </c>
      <c r="S355" s="28">
        <f>Master_Table[[#This Row],[Net Profit Variance]]/Master_Table[[#This Row],[Budget Net Profit]]</f>
        <v>0.23833333333333334</v>
      </c>
      <c r="T355" s="28">
        <f>Master_Table[[#This Row],[Actual Net Profit]]/Master_Table[[#This Row],[Actual Sales]]</f>
        <v>0.84144960362400911</v>
      </c>
      <c r="U355" s="28" t="str">
        <f>_xlfn.TEXTJOIN(" - ", TRUE, Master_Table[[#This Row],[Product]], Master_Table[[#This Row],[Branch]])</f>
        <v>Avocado - Ibadan</v>
      </c>
    </row>
    <row r="356" spans="1:21" ht="14.4" x14ac:dyDescent="0.3">
      <c r="A356" s="2">
        <v>355</v>
      </c>
      <c r="B356" s="2">
        <f t="shared" si="47"/>
        <v>105</v>
      </c>
      <c r="C356" s="1" t="str">
        <f>VLOOKUP(B356,Products!A:C,2,FALSE)</f>
        <v>Avocado</v>
      </c>
      <c r="D356" s="1" t="str">
        <f t="shared" si="48"/>
        <v>Ibadan</v>
      </c>
      <c r="E356" s="4" t="str">
        <f>_xlfn.XLOOKUP(D356,'Sales Manager'!$A$2:$A$6,'Sales Manager'!$B$2:$B$6,"")</f>
        <v>Funmi Adeyemi</v>
      </c>
      <c r="F356" s="3">
        <f t="shared" si="55"/>
        <v>7</v>
      </c>
      <c r="G356" s="1" t="str">
        <f t="shared" si="55"/>
        <v>Jul</v>
      </c>
      <c r="H356" s="11">
        <v>2000</v>
      </c>
      <c r="I356" s="11">
        <v>3342</v>
      </c>
      <c r="J356" s="11" cm="1">
        <f t="array" ref="J356">_xlfn.XLOOKUP(C356&amp;D356&amp;F356,Expense!$C$2:$C$601&amp;Expense!$D$2:$D$601&amp;Expense!$E$2:$E$601,Expense!$G$2:$G$601,"")</f>
        <v>500</v>
      </c>
      <c r="K356" s="11" cm="1">
        <f t="array" ref="K356">_xlfn.XLOOKUP(C356&amp;D356&amp;F356,Expense!$C$2:$C$601&amp;Expense!$D$2:$D$601&amp;Expense!$E$2:$E$601,Expense!$H$2:$H$601,"")</f>
        <v>200</v>
      </c>
      <c r="L356" s="14">
        <f t="shared" si="52"/>
        <v>1342</v>
      </c>
      <c r="M356" s="14">
        <f>Master_Table[[#This Row],[Expense Budget]]-Master_Table[[#This Row],[Actual Expense]]</f>
        <v>300</v>
      </c>
      <c r="N356" s="16">
        <f t="shared" si="53"/>
        <v>3142</v>
      </c>
      <c r="O356" s="29">
        <f t="shared" si="50"/>
        <v>1500</v>
      </c>
      <c r="P356" s="16">
        <f t="shared" si="51"/>
        <v>1642</v>
      </c>
      <c r="Q356" s="28">
        <f>Master_Table[[#This Row],[△Sales Variance]]/Master_Table[[#This Row],[Sales Budget]]</f>
        <v>0.67100000000000004</v>
      </c>
      <c r="R356" s="28">
        <f>Master_Table[[#This Row],[△Expense  Variance]]/Master_Table[[#This Row],[Expense Budget]]</f>
        <v>0.6</v>
      </c>
      <c r="S356" s="28">
        <f>Master_Table[[#This Row],[Net Profit Variance]]/Master_Table[[#This Row],[Budget Net Profit]]</f>
        <v>1.0946666666666667</v>
      </c>
      <c r="T356" s="28">
        <f>Master_Table[[#This Row],[Actual Net Profit]]/Master_Table[[#This Row],[Actual Sales]]</f>
        <v>0.94015559545182525</v>
      </c>
      <c r="U356" s="28" t="str">
        <f>_xlfn.TEXTJOIN(" - ", TRUE, Master_Table[[#This Row],[Product]], Master_Table[[#This Row],[Branch]])</f>
        <v>Avocado - Ibadan</v>
      </c>
    </row>
    <row r="357" spans="1:21" ht="14.4" x14ac:dyDescent="0.3">
      <c r="A357" s="2">
        <v>356</v>
      </c>
      <c r="B357" s="2">
        <f t="shared" si="47"/>
        <v>105</v>
      </c>
      <c r="C357" s="1" t="str">
        <f>VLOOKUP(B357,Products!A:C,2,FALSE)</f>
        <v>Avocado</v>
      </c>
      <c r="D357" s="1" t="str">
        <f t="shared" si="48"/>
        <v>Ibadan</v>
      </c>
      <c r="E357" s="4" t="str">
        <f>_xlfn.XLOOKUP(D357,'Sales Manager'!$A$2:$A$6,'Sales Manager'!$B$2:$B$6,"")</f>
        <v>Funmi Adeyemi</v>
      </c>
      <c r="F357" s="3">
        <f t="shared" si="55"/>
        <v>8</v>
      </c>
      <c r="G357" s="1" t="str">
        <f t="shared" si="55"/>
        <v>Aug</v>
      </c>
      <c r="H357" s="11">
        <v>1000</v>
      </c>
      <c r="I357" s="11">
        <v>7161</v>
      </c>
      <c r="J357" s="11" cm="1">
        <f t="array" ref="J357">_xlfn.XLOOKUP(C357&amp;D357&amp;F357,Expense!$C$2:$C$601&amp;Expense!$D$2:$D$601&amp;Expense!$E$2:$E$601,Expense!$G$2:$G$601,"")</f>
        <v>500</v>
      </c>
      <c r="K357" s="11" cm="1">
        <f t="array" ref="K357">_xlfn.XLOOKUP(C357&amp;D357&amp;F357,Expense!$C$2:$C$601&amp;Expense!$D$2:$D$601&amp;Expense!$E$2:$E$601,Expense!$H$2:$H$601,"")</f>
        <v>500</v>
      </c>
      <c r="L357" s="14">
        <f t="shared" si="52"/>
        <v>6161</v>
      </c>
      <c r="M357" s="14">
        <f>Master_Table[[#This Row],[Expense Budget]]-Master_Table[[#This Row],[Actual Expense]]</f>
        <v>0</v>
      </c>
      <c r="N357" s="16">
        <f t="shared" si="53"/>
        <v>6661</v>
      </c>
      <c r="O357" s="29">
        <f t="shared" si="50"/>
        <v>500</v>
      </c>
      <c r="P357" s="16">
        <f t="shared" si="51"/>
        <v>6161</v>
      </c>
      <c r="Q357" s="28">
        <f>Master_Table[[#This Row],[△Sales Variance]]/Master_Table[[#This Row],[Sales Budget]]</f>
        <v>6.1609999999999996</v>
      </c>
      <c r="R357" s="28">
        <f>Master_Table[[#This Row],[△Expense  Variance]]/Master_Table[[#This Row],[Expense Budget]]</f>
        <v>0</v>
      </c>
      <c r="S357" s="28">
        <f>Master_Table[[#This Row],[Net Profit Variance]]/Master_Table[[#This Row],[Budget Net Profit]]</f>
        <v>12.321999999999999</v>
      </c>
      <c r="T357" s="28">
        <f>Master_Table[[#This Row],[Actual Net Profit]]/Master_Table[[#This Row],[Actual Sales]]</f>
        <v>0.93017734953218822</v>
      </c>
      <c r="U357" s="28" t="str">
        <f>_xlfn.TEXTJOIN(" - ", TRUE, Master_Table[[#This Row],[Product]], Master_Table[[#This Row],[Branch]])</f>
        <v>Avocado - Ibadan</v>
      </c>
    </row>
    <row r="358" spans="1:21" ht="14.4" x14ac:dyDescent="0.3">
      <c r="A358" s="2">
        <v>357</v>
      </c>
      <c r="B358" s="2">
        <f t="shared" si="47"/>
        <v>105</v>
      </c>
      <c r="C358" s="1" t="str">
        <f>VLOOKUP(B358,Products!A:C,2,FALSE)</f>
        <v>Avocado</v>
      </c>
      <c r="D358" s="1" t="str">
        <f t="shared" si="48"/>
        <v>Ibadan</v>
      </c>
      <c r="E358" s="4" t="str">
        <f>_xlfn.XLOOKUP(D358,'Sales Manager'!$A$2:$A$6,'Sales Manager'!$B$2:$B$6,"")</f>
        <v>Funmi Adeyemi</v>
      </c>
      <c r="F358" s="3">
        <f t="shared" si="55"/>
        <v>9</v>
      </c>
      <c r="G358" s="1" t="str">
        <f t="shared" si="55"/>
        <v>Sept</v>
      </c>
      <c r="H358" s="11">
        <v>7000</v>
      </c>
      <c r="I358" s="11">
        <v>4461</v>
      </c>
      <c r="J358" s="11" cm="1">
        <f t="array" ref="J358">_xlfn.XLOOKUP(C358&amp;D358&amp;F358,Expense!$C$2:$C$601&amp;Expense!$D$2:$D$601&amp;Expense!$E$2:$E$601,Expense!$G$2:$G$601,"")</f>
        <v>3500</v>
      </c>
      <c r="K358" s="11" cm="1">
        <f t="array" ref="K358">_xlfn.XLOOKUP(C358&amp;D358&amp;F358,Expense!$C$2:$C$601&amp;Expense!$D$2:$D$601&amp;Expense!$E$2:$E$601,Expense!$H$2:$H$601,"")</f>
        <v>3200</v>
      </c>
      <c r="L358" s="14">
        <f t="shared" si="52"/>
        <v>-2539</v>
      </c>
      <c r="M358" s="14">
        <f>Master_Table[[#This Row],[Expense Budget]]-Master_Table[[#This Row],[Actual Expense]]</f>
        <v>300</v>
      </c>
      <c r="N358" s="16">
        <f t="shared" si="53"/>
        <v>1261</v>
      </c>
      <c r="O358" s="29">
        <f t="shared" si="50"/>
        <v>3500</v>
      </c>
      <c r="P358" s="16">
        <f t="shared" si="51"/>
        <v>-2239</v>
      </c>
      <c r="Q358" s="28">
        <f>Master_Table[[#This Row],[△Sales Variance]]/Master_Table[[#This Row],[Sales Budget]]</f>
        <v>-0.36271428571428571</v>
      </c>
      <c r="R358" s="28">
        <f>Master_Table[[#This Row],[△Expense  Variance]]/Master_Table[[#This Row],[Expense Budget]]</f>
        <v>8.5714285714285715E-2</v>
      </c>
      <c r="S358" s="28">
        <f>Master_Table[[#This Row],[Net Profit Variance]]/Master_Table[[#This Row],[Budget Net Profit]]</f>
        <v>-0.63971428571428568</v>
      </c>
      <c r="T358" s="28">
        <f>Master_Table[[#This Row],[Actual Net Profit]]/Master_Table[[#This Row],[Actual Sales]]</f>
        <v>0.28267204662631695</v>
      </c>
      <c r="U358" s="28" t="str">
        <f>_xlfn.TEXTJOIN(" - ", TRUE, Master_Table[[#This Row],[Product]], Master_Table[[#This Row],[Branch]])</f>
        <v>Avocado - Ibadan</v>
      </c>
    </row>
    <row r="359" spans="1:21" ht="14.4" x14ac:dyDescent="0.3">
      <c r="A359" s="2">
        <v>358</v>
      </c>
      <c r="B359" s="2">
        <f t="shared" si="47"/>
        <v>105</v>
      </c>
      <c r="C359" s="1" t="str">
        <f>VLOOKUP(B359,Products!A:C,2,FALSE)</f>
        <v>Avocado</v>
      </c>
      <c r="D359" s="1" t="str">
        <f t="shared" si="48"/>
        <v>Ibadan</v>
      </c>
      <c r="E359" s="4" t="str">
        <f>_xlfn.XLOOKUP(D359,'Sales Manager'!$A$2:$A$6,'Sales Manager'!$B$2:$B$6,"")</f>
        <v>Funmi Adeyemi</v>
      </c>
      <c r="F359" s="3">
        <f t="shared" si="55"/>
        <v>10</v>
      </c>
      <c r="G359" s="1" t="str">
        <f t="shared" si="55"/>
        <v>Oct</v>
      </c>
      <c r="H359" s="11">
        <v>5000</v>
      </c>
      <c r="I359" s="11">
        <v>3424</v>
      </c>
      <c r="J359" s="11" cm="1">
        <f t="array" ref="J359">_xlfn.XLOOKUP(C359&amp;D359&amp;F359,Expense!$C$2:$C$601&amp;Expense!$D$2:$D$601&amp;Expense!$E$2:$E$601,Expense!$G$2:$G$601,"")</f>
        <v>1666.6666666666667</v>
      </c>
      <c r="K359" s="11" cm="1">
        <f t="array" ref="K359">_xlfn.XLOOKUP(C359&amp;D359&amp;F359,Expense!$C$2:$C$601&amp;Expense!$D$2:$D$601&amp;Expense!$E$2:$E$601,Expense!$H$2:$H$601,"")</f>
        <v>1366.6666666666667</v>
      </c>
      <c r="L359" s="14">
        <f t="shared" si="52"/>
        <v>-1576</v>
      </c>
      <c r="M359" s="14">
        <f>Master_Table[[#This Row],[Expense Budget]]-Master_Table[[#This Row],[Actual Expense]]</f>
        <v>300</v>
      </c>
      <c r="N359" s="16">
        <f t="shared" si="53"/>
        <v>2057.333333333333</v>
      </c>
      <c r="O359" s="29">
        <f t="shared" si="50"/>
        <v>3333.333333333333</v>
      </c>
      <c r="P359" s="16">
        <f t="shared" si="51"/>
        <v>-1276</v>
      </c>
      <c r="Q359" s="28">
        <f>Master_Table[[#This Row],[△Sales Variance]]/Master_Table[[#This Row],[Sales Budget]]</f>
        <v>-0.31519999999999998</v>
      </c>
      <c r="R359" s="28">
        <f>Master_Table[[#This Row],[△Expense  Variance]]/Master_Table[[#This Row],[Expense Budget]]</f>
        <v>0.18</v>
      </c>
      <c r="S359" s="28">
        <f>Master_Table[[#This Row],[Net Profit Variance]]/Master_Table[[#This Row],[Budget Net Profit]]</f>
        <v>-0.38280000000000003</v>
      </c>
      <c r="T359" s="28">
        <f>Master_Table[[#This Row],[Actual Net Profit]]/Master_Table[[#This Row],[Actual Sales]]</f>
        <v>0.6008566978193145</v>
      </c>
      <c r="U359" s="28" t="str">
        <f>_xlfn.TEXTJOIN(" - ", TRUE, Master_Table[[#This Row],[Product]], Master_Table[[#This Row],[Branch]])</f>
        <v>Avocado - Ibadan</v>
      </c>
    </row>
    <row r="360" spans="1:21" ht="14.4" x14ac:dyDescent="0.3">
      <c r="A360" s="2">
        <v>359</v>
      </c>
      <c r="B360" s="2">
        <f t="shared" si="47"/>
        <v>105</v>
      </c>
      <c r="C360" s="1" t="str">
        <f>VLOOKUP(B360,Products!A:C,2,FALSE)</f>
        <v>Avocado</v>
      </c>
      <c r="D360" s="1" t="str">
        <f t="shared" si="48"/>
        <v>Ibadan</v>
      </c>
      <c r="E360" s="4" t="str">
        <f>_xlfn.XLOOKUP(D360,'Sales Manager'!$A$2:$A$6,'Sales Manager'!$B$2:$B$6,"")</f>
        <v>Funmi Adeyemi</v>
      </c>
      <c r="F360" s="3">
        <f t="shared" si="55"/>
        <v>11</v>
      </c>
      <c r="G360" s="1" t="str">
        <f t="shared" si="55"/>
        <v>Nov</v>
      </c>
      <c r="H360" s="11">
        <v>5000</v>
      </c>
      <c r="I360" s="11">
        <v>2543</v>
      </c>
      <c r="J360" s="11" cm="1">
        <f t="array" ref="J360">_xlfn.XLOOKUP(C360&amp;D360&amp;F360,Expense!$C$2:$C$601&amp;Expense!$D$2:$D$601&amp;Expense!$E$2:$E$601,Expense!$G$2:$G$601,"")</f>
        <v>1000</v>
      </c>
      <c r="K360" s="11" cm="1">
        <f t="array" ref="K360">_xlfn.XLOOKUP(C360&amp;D360&amp;F360,Expense!$C$2:$C$601&amp;Expense!$D$2:$D$601&amp;Expense!$E$2:$E$601,Expense!$H$2:$H$601,"")</f>
        <v>1000</v>
      </c>
      <c r="L360" s="14">
        <f t="shared" si="52"/>
        <v>-2457</v>
      </c>
      <c r="M360" s="14">
        <f>Master_Table[[#This Row],[Expense Budget]]-Master_Table[[#This Row],[Actual Expense]]</f>
        <v>0</v>
      </c>
      <c r="N360" s="16">
        <f t="shared" si="53"/>
        <v>1543</v>
      </c>
      <c r="O360" s="29">
        <f t="shared" si="50"/>
        <v>4000</v>
      </c>
      <c r="P360" s="16">
        <f t="shared" si="51"/>
        <v>-2457</v>
      </c>
      <c r="Q360" s="28">
        <f>Master_Table[[#This Row],[△Sales Variance]]/Master_Table[[#This Row],[Sales Budget]]</f>
        <v>-0.4914</v>
      </c>
      <c r="R360" s="28">
        <f>Master_Table[[#This Row],[△Expense  Variance]]/Master_Table[[#This Row],[Expense Budget]]</f>
        <v>0</v>
      </c>
      <c r="S360" s="28">
        <f>Master_Table[[#This Row],[Net Profit Variance]]/Master_Table[[#This Row],[Budget Net Profit]]</f>
        <v>-0.61424999999999996</v>
      </c>
      <c r="T360" s="28">
        <f>Master_Table[[#This Row],[Actual Net Profit]]/Master_Table[[#This Row],[Actual Sales]]</f>
        <v>0.60676366496264256</v>
      </c>
      <c r="U360" s="28" t="str">
        <f>_xlfn.TEXTJOIN(" - ", TRUE, Master_Table[[#This Row],[Product]], Master_Table[[#This Row],[Branch]])</f>
        <v>Avocado - Ibadan</v>
      </c>
    </row>
    <row r="361" spans="1:21" ht="14.4" x14ac:dyDescent="0.3">
      <c r="A361" s="2">
        <v>360</v>
      </c>
      <c r="B361" s="2">
        <f t="shared" si="47"/>
        <v>105</v>
      </c>
      <c r="C361" s="1" t="str">
        <f>VLOOKUP(B361,Products!A:C,2,FALSE)</f>
        <v>Avocado</v>
      </c>
      <c r="D361" s="1" t="str">
        <f t="shared" si="48"/>
        <v>Ibadan</v>
      </c>
      <c r="E361" s="4" t="str">
        <f>_xlfn.XLOOKUP(D361,'Sales Manager'!$A$2:$A$6,'Sales Manager'!$B$2:$B$6,"")</f>
        <v>Funmi Adeyemi</v>
      </c>
      <c r="F361" s="3">
        <f t="shared" si="55"/>
        <v>12</v>
      </c>
      <c r="G361" s="1" t="str">
        <f t="shared" si="55"/>
        <v>Dec</v>
      </c>
      <c r="H361" s="11">
        <v>1000</v>
      </c>
      <c r="I361" s="11">
        <v>4355</v>
      </c>
      <c r="J361" s="11" cm="1">
        <f t="array" ref="J361">_xlfn.XLOOKUP(C361&amp;D361&amp;F361,Expense!$C$2:$C$601&amp;Expense!$D$2:$D$601&amp;Expense!$E$2:$E$601,Expense!$G$2:$G$601,"")</f>
        <v>500</v>
      </c>
      <c r="K361" s="11" cm="1">
        <f t="array" ref="K361">_xlfn.XLOOKUP(C361&amp;D361&amp;F361,Expense!$C$2:$C$601&amp;Expense!$D$2:$D$601&amp;Expense!$E$2:$E$601,Expense!$H$2:$H$601,"")</f>
        <v>300</v>
      </c>
      <c r="L361" s="14">
        <f t="shared" si="52"/>
        <v>3355</v>
      </c>
      <c r="M361" s="14">
        <f>Master_Table[[#This Row],[Expense Budget]]-Master_Table[[#This Row],[Actual Expense]]</f>
        <v>200</v>
      </c>
      <c r="N361" s="16">
        <f t="shared" si="53"/>
        <v>4055</v>
      </c>
      <c r="O361" s="29">
        <f t="shared" si="50"/>
        <v>500</v>
      </c>
      <c r="P361" s="16">
        <f t="shared" si="51"/>
        <v>3555</v>
      </c>
      <c r="Q361" s="28">
        <f>Master_Table[[#This Row],[△Sales Variance]]/Master_Table[[#This Row],[Sales Budget]]</f>
        <v>3.355</v>
      </c>
      <c r="R361" s="28">
        <f>Master_Table[[#This Row],[△Expense  Variance]]/Master_Table[[#This Row],[Expense Budget]]</f>
        <v>0.4</v>
      </c>
      <c r="S361" s="28">
        <f>Master_Table[[#This Row],[Net Profit Variance]]/Master_Table[[#This Row],[Budget Net Profit]]</f>
        <v>7.11</v>
      </c>
      <c r="T361" s="28">
        <f>Master_Table[[#This Row],[Actual Net Profit]]/Master_Table[[#This Row],[Actual Sales]]</f>
        <v>0.93111366245694605</v>
      </c>
      <c r="U361" s="28" t="str">
        <f>_xlfn.TEXTJOIN(" - ", TRUE, Master_Table[[#This Row],[Product]], Master_Table[[#This Row],[Branch]])</f>
        <v>Avocado - Ibadan</v>
      </c>
    </row>
    <row r="362" spans="1:21" ht="14.4" x14ac:dyDescent="0.3">
      <c r="A362" s="2">
        <v>361</v>
      </c>
      <c r="B362" s="2">
        <f t="shared" si="47"/>
        <v>106</v>
      </c>
      <c r="C362" s="1" t="str">
        <f>VLOOKUP(B362,Products!A:C,2,FALSE)</f>
        <v>Pineapple</v>
      </c>
      <c r="D362" s="1" t="str">
        <f t="shared" si="48"/>
        <v>Lagos</v>
      </c>
      <c r="E362" s="4" t="str">
        <f>_xlfn.XLOOKUP(D362,'Sales Manager'!$A$2:$A$6,'Sales Manager'!$B$2:$B$6,"")</f>
        <v>Adaora Okafor</v>
      </c>
      <c r="F362" s="3">
        <f t="shared" si="55"/>
        <v>1</v>
      </c>
      <c r="G362" s="1" t="str">
        <f t="shared" si="55"/>
        <v>Jan</v>
      </c>
      <c r="H362" s="11">
        <v>4000</v>
      </c>
      <c r="I362" s="11">
        <v>2933</v>
      </c>
      <c r="J362" s="11" cm="1">
        <f t="array" ref="J362">_xlfn.XLOOKUP(C362&amp;D362&amp;F362,Expense!$C$2:$C$601&amp;Expense!$D$2:$D$601&amp;Expense!$E$2:$E$601,Expense!$G$2:$G$601,"")</f>
        <v>2000</v>
      </c>
      <c r="K362" s="11" cm="1">
        <f t="array" ref="K362">_xlfn.XLOOKUP(C362&amp;D362&amp;F362,Expense!$C$2:$C$601&amp;Expense!$D$2:$D$601&amp;Expense!$E$2:$E$601,Expense!$H$2:$H$601,"")</f>
        <v>1900</v>
      </c>
      <c r="L362" s="14">
        <f t="shared" si="52"/>
        <v>-1067</v>
      </c>
      <c r="M362" s="14">
        <f>Master_Table[[#This Row],[Expense Budget]]-Master_Table[[#This Row],[Actual Expense]]</f>
        <v>100</v>
      </c>
      <c r="N362" s="16">
        <f t="shared" si="53"/>
        <v>1033</v>
      </c>
      <c r="O362" s="29">
        <f t="shared" si="50"/>
        <v>2000</v>
      </c>
      <c r="P362" s="16">
        <f t="shared" si="51"/>
        <v>-967</v>
      </c>
      <c r="Q362" s="28">
        <f>Master_Table[[#This Row],[△Sales Variance]]/Master_Table[[#This Row],[Sales Budget]]</f>
        <v>-0.26674999999999999</v>
      </c>
      <c r="R362" s="28">
        <f>Master_Table[[#This Row],[△Expense  Variance]]/Master_Table[[#This Row],[Expense Budget]]</f>
        <v>0.05</v>
      </c>
      <c r="S362" s="28">
        <f>Master_Table[[#This Row],[Net Profit Variance]]/Master_Table[[#This Row],[Budget Net Profit]]</f>
        <v>-0.48349999999999999</v>
      </c>
      <c r="T362" s="28">
        <f>Master_Table[[#This Row],[Actual Net Profit]]/Master_Table[[#This Row],[Actual Sales]]</f>
        <v>0.35219911353562905</v>
      </c>
      <c r="U362" s="28" t="str">
        <f>_xlfn.TEXTJOIN(" - ", TRUE, Master_Table[[#This Row],[Product]], Master_Table[[#This Row],[Branch]])</f>
        <v>Pineapple - Lagos</v>
      </c>
    </row>
    <row r="363" spans="1:21" ht="14.4" x14ac:dyDescent="0.3">
      <c r="A363" s="2">
        <v>362</v>
      </c>
      <c r="B363" s="2">
        <f t="shared" si="47"/>
        <v>106</v>
      </c>
      <c r="C363" s="1" t="str">
        <f>VLOOKUP(B363,Products!A:C,2,FALSE)</f>
        <v>Pineapple</v>
      </c>
      <c r="D363" s="1" t="str">
        <f t="shared" si="48"/>
        <v>Lagos</v>
      </c>
      <c r="E363" s="4" t="str">
        <f>_xlfn.XLOOKUP(D363,'Sales Manager'!$A$2:$A$6,'Sales Manager'!$B$2:$B$6,"")</f>
        <v>Adaora Okafor</v>
      </c>
      <c r="F363" s="3">
        <f t="shared" si="55"/>
        <v>2</v>
      </c>
      <c r="G363" s="1" t="str">
        <f t="shared" si="55"/>
        <v>Feb</v>
      </c>
      <c r="H363" s="11">
        <v>2000</v>
      </c>
      <c r="I363" s="11">
        <v>8311</v>
      </c>
      <c r="J363" s="11" cm="1">
        <f t="array" ref="J363">_xlfn.XLOOKUP(C363&amp;D363&amp;F363,Expense!$C$2:$C$601&amp;Expense!$D$2:$D$601&amp;Expense!$E$2:$E$601,Expense!$G$2:$G$601,"")</f>
        <v>500</v>
      </c>
      <c r="K363" s="11" cm="1">
        <f t="array" ref="K363">_xlfn.XLOOKUP(C363&amp;D363&amp;F363,Expense!$C$2:$C$601&amp;Expense!$D$2:$D$601&amp;Expense!$E$2:$E$601,Expense!$H$2:$H$601,"")</f>
        <v>400</v>
      </c>
      <c r="L363" s="14">
        <f t="shared" si="52"/>
        <v>6311</v>
      </c>
      <c r="M363" s="14">
        <f>Master_Table[[#This Row],[Expense Budget]]-Master_Table[[#This Row],[Actual Expense]]</f>
        <v>100</v>
      </c>
      <c r="N363" s="16">
        <f t="shared" si="53"/>
        <v>7911</v>
      </c>
      <c r="O363" s="29">
        <f t="shared" si="50"/>
        <v>1500</v>
      </c>
      <c r="P363" s="16">
        <f t="shared" si="51"/>
        <v>6411</v>
      </c>
      <c r="Q363" s="28">
        <f>Master_Table[[#This Row],[△Sales Variance]]/Master_Table[[#This Row],[Sales Budget]]</f>
        <v>3.1555</v>
      </c>
      <c r="R363" s="28">
        <f>Master_Table[[#This Row],[△Expense  Variance]]/Master_Table[[#This Row],[Expense Budget]]</f>
        <v>0.2</v>
      </c>
      <c r="S363" s="28">
        <f>Master_Table[[#This Row],[Net Profit Variance]]/Master_Table[[#This Row],[Budget Net Profit]]</f>
        <v>4.274</v>
      </c>
      <c r="T363" s="28">
        <f>Master_Table[[#This Row],[Actual Net Profit]]/Master_Table[[#This Row],[Actual Sales]]</f>
        <v>0.95187101431837329</v>
      </c>
      <c r="U363" s="28" t="str">
        <f>_xlfn.TEXTJOIN(" - ", TRUE, Master_Table[[#This Row],[Product]], Master_Table[[#This Row],[Branch]])</f>
        <v>Pineapple - Lagos</v>
      </c>
    </row>
    <row r="364" spans="1:21" ht="14.4" x14ac:dyDescent="0.3">
      <c r="A364" s="2">
        <v>363</v>
      </c>
      <c r="B364" s="2">
        <f t="shared" si="47"/>
        <v>106</v>
      </c>
      <c r="C364" s="1" t="str">
        <f>VLOOKUP(B364,Products!A:C,2,FALSE)</f>
        <v>Pineapple</v>
      </c>
      <c r="D364" s="1" t="str">
        <f t="shared" si="48"/>
        <v>Lagos</v>
      </c>
      <c r="E364" s="4" t="str">
        <f>_xlfn.XLOOKUP(D364,'Sales Manager'!$A$2:$A$6,'Sales Manager'!$B$2:$B$6,"")</f>
        <v>Adaora Okafor</v>
      </c>
      <c r="F364" s="3">
        <f t="shared" si="55"/>
        <v>3</v>
      </c>
      <c r="G364" s="1" t="str">
        <f t="shared" si="55"/>
        <v>Mar</v>
      </c>
      <c r="H364" s="11">
        <v>5000</v>
      </c>
      <c r="I364" s="11">
        <v>4436</v>
      </c>
      <c r="J364" s="11" cm="1">
        <f t="array" ref="J364">_xlfn.XLOOKUP(C364&amp;D364&amp;F364,Expense!$C$2:$C$601&amp;Expense!$D$2:$D$601&amp;Expense!$E$2:$E$601,Expense!$G$2:$G$601,"")</f>
        <v>1250</v>
      </c>
      <c r="K364" s="11" cm="1">
        <f t="array" ref="K364">_xlfn.XLOOKUP(C364&amp;D364&amp;F364,Expense!$C$2:$C$601&amp;Expense!$D$2:$D$601&amp;Expense!$E$2:$E$601,Expense!$H$2:$H$601,"")</f>
        <v>950</v>
      </c>
      <c r="L364" s="14">
        <f t="shared" si="52"/>
        <v>-564</v>
      </c>
      <c r="M364" s="14">
        <f>Master_Table[[#This Row],[Expense Budget]]-Master_Table[[#This Row],[Actual Expense]]</f>
        <v>300</v>
      </c>
      <c r="N364" s="16">
        <f t="shared" si="53"/>
        <v>3486</v>
      </c>
      <c r="O364" s="29">
        <f t="shared" si="50"/>
        <v>3750</v>
      </c>
      <c r="P364" s="16">
        <f t="shared" si="51"/>
        <v>-264</v>
      </c>
      <c r="Q364" s="28">
        <f>Master_Table[[#This Row],[△Sales Variance]]/Master_Table[[#This Row],[Sales Budget]]</f>
        <v>-0.1128</v>
      </c>
      <c r="R364" s="28">
        <f>Master_Table[[#This Row],[△Expense  Variance]]/Master_Table[[#This Row],[Expense Budget]]</f>
        <v>0.24</v>
      </c>
      <c r="S364" s="28">
        <f>Master_Table[[#This Row],[Net Profit Variance]]/Master_Table[[#This Row],[Budget Net Profit]]</f>
        <v>-7.0400000000000004E-2</v>
      </c>
      <c r="T364" s="28">
        <f>Master_Table[[#This Row],[Actual Net Profit]]/Master_Table[[#This Row],[Actual Sales]]</f>
        <v>0.78584310189359785</v>
      </c>
      <c r="U364" s="28" t="str">
        <f>_xlfn.TEXTJOIN(" - ", TRUE, Master_Table[[#This Row],[Product]], Master_Table[[#This Row],[Branch]])</f>
        <v>Pineapple - Lagos</v>
      </c>
    </row>
    <row r="365" spans="1:21" ht="14.4" x14ac:dyDescent="0.3">
      <c r="A365" s="2">
        <v>364</v>
      </c>
      <c r="B365" s="2">
        <f t="shared" si="47"/>
        <v>106</v>
      </c>
      <c r="C365" s="1" t="str">
        <f>VLOOKUP(B365,Products!A:C,2,FALSE)</f>
        <v>Pineapple</v>
      </c>
      <c r="D365" s="1" t="str">
        <f t="shared" si="48"/>
        <v>Lagos</v>
      </c>
      <c r="E365" s="4" t="str">
        <f>_xlfn.XLOOKUP(D365,'Sales Manager'!$A$2:$A$6,'Sales Manager'!$B$2:$B$6,"")</f>
        <v>Adaora Okafor</v>
      </c>
      <c r="F365" s="3">
        <f t="shared" si="55"/>
        <v>4</v>
      </c>
      <c r="G365" s="1" t="str">
        <f t="shared" si="55"/>
        <v>Apr</v>
      </c>
      <c r="H365" s="11">
        <v>6000</v>
      </c>
      <c r="I365" s="11">
        <v>2536</v>
      </c>
      <c r="J365" s="11" cm="1">
        <f t="array" ref="J365">_xlfn.XLOOKUP(C365&amp;D365&amp;F365,Expense!$C$2:$C$601&amp;Expense!$D$2:$D$601&amp;Expense!$E$2:$E$601,Expense!$G$2:$G$601,"")</f>
        <v>3000</v>
      </c>
      <c r="K365" s="11" cm="1">
        <f t="array" ref="K365">_xlfn.XLOOKUP(C365&amp;D365&amp;F365,Expense!$C$2:$C$601&amp;Expense!$D$2:$D$601&amp;Expense!$E$2:$E$601,Expense!$H$2:$H$601,"")</f>
        <v>2500</v>
      </c>
      <c r="L365" s="14">
        <f t="shared" si="52"/>
        <v>-3464</v>
      </c>
      <c r="M365" s="14">
        <f>Master_Table[[#This Row],[Expense Budget]]-Master_Table[[#This Row],[Actual Expense]]</f>
        <v>500</v>
      </c>
      <c r="N365" s="16">
        <f t="shared" si="53"/>
        <v>36</v>
      </c>
      <c r="O365" s="29">
        <f t="shared" si="50"/>
        <v>3000</v>
      </c>
      <c r="P365" s="16">
        <f t="shared" si="51"/>
        <v>-2964</v>
      </c>
      <c r="Q365" s="28">
        <f>Master_Table[[#This Row],[△Sales Variance]]/Master_Table[[#This Row],[Sales Budget]]</f>
        <v>-0.57733333333333337</v>
      </c>
      <c r="R365" s="28">
        <f>Master_Table[[#This Row],[△Expense  Variance]]/Master_Table[[#This Row],[Expense Budget]]</f>
        <v>0.16666666666666666</v>
      </c>
      <c r="S365" s="28">
        <f>Master_Table[[#This Row],[Net Profit Variance]]/Master_Table[[#This Row],[Budget Net Profit]]</f>
        <v>-0.98799999999999999</v>
      </c>
      <c r="T365" s="28">
        <f>Master_Table[[#This Row],[Actual Net Profit]]/Master_Table[[#This Row],[Actual Sales]]</f>
        <v>1.4195583596214511E-2</v>
      </c>
      <c r="U365" s="28" t="str">
        <f>_xlfn.TEXTJOIN(" - ", TRUE, Master_Table[[#This Row],[Product]], Master_Table[[#This Row],[Branch]])</f>
        <v>Pineapple - Lagos</v>
      </c>
    </row>
    <row r="366" spans="1:21" ht="14.4" x14ac:dyDescent="0.3">
      <c r="A366" s="2">
        <v>365</v>
      </c>
      <c r="B366" s="2">
        <f t="shared" si="47"/>
        <v>106</v>
      </c>
      <c r="C366" s="1" t="str">
        <f>VLOOKUP(B366,Products!A:C,2,FALSE)</f>
        <v>Pineapple</v>
      </c>
      <c r="D366" s="1" t="str">
        <f t="shared" si="48"/>
        <v>Lagos</v>
      </c>
      <c r="E366" s="4" t="str">
        <f>_xlfn.XLOOKUP(D366,'Sales Manager'!$A$2:$A$6,'Sales Manager'!$B$2:$B$6,"")</f>
        <v>Adaora Okafor</v>
      </c>
      <c r="F366" s="3">
        <f t="shared" si="55"/>
        <v>5</v>
      </c>
      <c r="G366" s="1" t="str">
        <f t="shared" si="55"/>
        <v>May</v>
      </c>
      <c r="H366" s="11">
        <v>8000</v>
      </c>
      <c r="I366" s="11">
        <v>3133</v>
      </c>
      <c r="J366" s="11" cm="1">
        <f t="array" ref="J366">_xlfn.XLOOKUP(C366&amp;D366&amp;F366,Expense!$C$2:$C$601&amp;Expense!$D$2:$D$601&amp;Expense!$E$2:$E$601,Expense!$G$2:$G$601,"")</f>
        <v>2666.6666666666665</v>
      </c>
      <c r="K366" s="11" cm="1">
        <f t="array" ref="K366">_xlfn.XLOOKUP(C366&amp;D366&amp;F366,Expense!$C$2:$C$601&amp;Expense!$D$2:$D$601&amp;Expense!$E$2:$E$601,Expense!$H$2:$H$601,"")</f>
        <v>2066.6666666666665</v>
      </c>
      <c r="L366" s="14">
        <f t="shared" si="52"/>
        <v>-4867</v>
      </c>
      <c r="M366" s="14">
        <f>Master_Table[[#This Row],[Expense Budget]]-Master_Table[[#This Row],[Actual Expense]]</f>
        <v>600</v>
      </c>
      <c r="N366" s="16">
        <f t="shared" si="53"/>
        <v>1066.3333333333335</v>
      </c>
      <c r="O366" s="29">
        <f t="shared" si="50"/>
        <v>5333.3333333333339</v>
      </c>
      <c r="P366" s="16">
        <f t="shared" si="51"/>
        <v>-4267</v>
      </c>
      <c r="Q366" s="28">
        <f>Master_Table[[#This Row],[△Sales Variance]]/Master_Table[[#This Row],[Sales Budget]]</f>
        <v>-0.608375</v>
      </c>
      <c r="R366" s="28">
        <f>Master_Table[[#This Row],[△Expense  Variance]]/Master_Table[[#This Row],[Expense Budget]]</f>
        <v>0.22500000000000001</v>
      </c>
      <c r="S366" s="28">
        <f>Master_Table[[#This Row],[Net Profit Variance]]/Master_Table[[#This Row],[Budget Net Profit]]</f>
        <v>-0.8000624999999999</v>
      </c>
      <c r="T366" s="28">
        <f>Master_Table[[#This Row],[Actual Net Profit]]/Master_Table[[#This Row],[Actual Sales]]</f>
        <v>0.34035535695286739</v>
      </c>
      <c r="U366" s="28" t="str">
        <f>_xlfn.TEXTJOIN(" - ", TRUE, Master_Table[[#This Row],[Product]], Master_Table[[#This Row],[Branch]])</f>
        <v>Pineapple - Lagos</v>
      </c>
    </row>
    <row r="367" spans="1:21" ht="14.4" x14ac:dyDescent="0.3">
      <c r="A367" s="2">
        <v>366</v>
      </c>
      <c r="B367" s="2">
        <f t="shared" si="47"/>
        <v>106</v>
      </c>
      <c r="C367" s="1" t="str">
        <f>VLOOKUP(B367,Products!A:C,2,FALSE)</f>
        <v>Pineapple</v>
      </c>
      <c r="D367" s="1" t="str">
        <f t="shared" si="48"/>
        <v>Lagos</v>
      </c>
      <c r="E367" s="4" t="str">
        <f>_xlfn.XLOOKUP(D367,'Sales Manager'!$A$2:$A$6,'Sales Manager'!$B$2:$B$6,"")</f>
        <v>Adaora Okafor</v>
      </c>
      <c r="F367" s="3">
        <f t="shared" ref="F367:G382" si="56">F355</f>
        <v>6</v>
      </c>
      <c r="G367" s="1" t="str">
        <f t="shared" si="56"/>
        <v>Jun</v>
      </c>
      <c r="H367" s="11">
        <v>3000</v>
      </c>
      <c r="I367" s="11">
        <v>9316</v>
      </c>
      <c r="J367" s="11" cm="1">
        <f t="array" ref="J367">_xlfn.XLOOKUP(C367&amp;D367&amp;F367,Expense!$C$2:$C$601&amp;Expense!$D$2:$D$601&amp;Expense!$E$2:$E$601,Expense!$G$2:$G$601,"")</f>
        <v>750</v>
      </c>
      <c r="K367" s="11" cm="1">
        <f t="array" ref="K367">_xlfn.XLOOKUP(C367&amp;D367&amp;F367,Expense!$C$2:$C$601&amp;Expense!$D$2:$D$601&amp;Expense!$E$2:$E$601,Expense!$H$2:$H$601,"")</f>
        <v>450</v>
      </c>
      <c r="L367" s="14">
        <f t="shared" si="52"/>
        <v>6316</v>
      </c>
      <c r="M367" s="14">
        <f>Master_Table[[#This Row],[Expense Budget]]-Master_Table[[#This Row],[Actual Expense]]</f>
        <v>300</v>
      </c>
      <c r="N367" s="16">
        <f t="shared" si="53"/>
        <v>8866</v>
      </c>
      <c r="O367" s="29">
        <f t="shared" si="50"/>
        <v>2250</v>
      </c>
      <c r="P367" s="16">
        <f t="shared" si="51"/>
        <v>6616</v>
      </c>
      <c r="Q367" s="28">
        <f>Master_Table[[#This Row],[△Sales Variance]]/Master_Table[[#This Row],[Sales Budget]]</f>
        <v>2.1053333333333333</v>
      </c>
      <c r="R367" s="28">
        <f>Master_Table[[#This Row],[△Expense  Variance]]/Master_Table[[#This Row],[Expense Budget]]</f>
        <v>0.4</v>
      </c>
      <c r="S367" s="28">
        <f>Master_Table[[#This Row],[Net Profit Variance]]/Master_Table[[#This Row],[Budget Net Profit]]</f>
        <v>2.9404444444444446</v>
      </c>
      <c r="T367" s="28">
        <f>Master_Table[[#This Row],[Actual Net Profit]]/Master_Table[[#This Row],[Actual Sales]]</f>
        <v>0.95169600686990119</v>
      </c>
      <c r="U367" s="28" t="str">
        <f>_xlfn.TEXTJOIN(" - ", TRUE, Master_Table[[#This Row],[Product]], Master_Table[[#This Row],[Branch]])</f>
        <v>Pineapple - Lagos</v>
      </c>
    </row>
    <row r="368" spans="1:21" ht="14.4" x14ac:dyDescent="0.3">
      <c r="A368" s="2">
        <v>367</v>
      </c>
      <c r="B368" s="2">
        <f t="shared" si="47"/>
        <v>106</v>
      </c>
      <c r="C368" s="1" t="str">
        <f>VLOOKUP(B368,Products!A:C,2,FALSE)</f>
        <v>Pineapple</v>
      </c>
      <c r="D368" s="1" t="str">
        <f t="shared" si="48"/>
        <v>Lagos</v>
      </c>
      <c r="E368" s="4" t="str">
        <f>_xlfn.XLOOKUP(D368,'Sales Manager'!$A$2:$A$6,'Sales Manager'!$B$2:$B$6,"")</f>
        <v>Adaora Okafor</v>
      </c>
      <c r="F368" s="3">
        <f t="shared" si="56"/>
        <v>7</v>
      </c>
      <c r="G368" s="1" t="str">
        <f t="shared" si="56"/>
        <v>Jul</v>
      </c>
      <c r="H368" s="11">
        <v>8000</v>
      </c>
      <c r="I368" s="11">
        <v>3056</v>
      </c>
      <c r="J368" s="11" cm="1">
        <f t="array" ref="J368">_xlfn.XLOOKUP(C368&amp;D368&amp;F368,Expense!$C$2:$C$601&amp;Expense!$D$2:$D$601&amp;Expense!$E$2:$E$601,Expense!$G$2:$G$601,"")</f>
        <v>2000</v>
      </c>
      <c r="K368" s="11" cm="1">
        <f t="array" ref="K368">_xlfn.XLOOKUP(C368&amp;D368&amp;F368,Expense!$C$2:$C$601&amp;Expense!$D$2:$D$601&amp;Expense!$E$2:$E$601,Expense!$H$2:$H$601,"")</f>
        <v>1600</v>
      </c>
      <c r="L368" s="14">
        <f t="shared" si="52"/>
        <v>-4944</v>
      </c>
      <c r="M368" s="14">
        <f>Master_Table[[#This Row],[Expense Budget]]-Master_Table[[#This Row],[Actual Expense]]</f>
        <v>400</v>
      </c>
      <c r="N368" s="16">
        <f t="shared" si="53"/>
        <v>1456</v>
      </c>
      <c r="O368" s="29">
        <f t="shared" si="50"/>
        <v>6000</v>
      </c>
      <c r="P368" s="16">
        <f t="shared" si="51"/>
        <v>-4544</v>
      </c>
      <c r="Q368" s="28">
        <f>Master_Table[[#This Row],[△Sales Variance]]/Master_Table[[#This Row],[Sales Budget]]</f>
        <v>-0.61799999999999999</v>
      </c>
      <c r="R368" s="28">
        <f>Master_Table[[#This Row],[△Expense  Variance]]/Master_Table[[#This Row],[Expense Budget]]</f>
        <v>0.2</v>
      </c>
      <c r="S368" s="28">
        <f>Master_Table[[#This Row],[Net Profit Variance]]/Master_Table[[#This Row],[Budget Net Profit]]</f>
        <v>-0.7573333333333333</v>
      </c>
      <c r="T368" s="28">
        <f>Master_Table[[#This Row],[Actual Net Profit]]/Master_Table[[#This Row],[Actual Sales]]</f>
        <v>0.47643979057591623</v>
      </c>
      <c r="U368" s="28" t="str">
        <f>_xlfn.TEXTJOIN(" - ", TRUE, Master_Table[[#This Row],[Product]], Master_Table[[#This Row],[Branch]])</f>
        <v>Pineapple - Lagos</v>
      </c>
    </row>
    <row r="369" spans="1:21" ht="14.4" x14ac:dyDescent="0.3">
      <c r="A369" s="2">
        <v>368</v>
      </c>
      <c r="B369" s="2">
        <f t="shared" si="47"/>
        <v>106</v>
      </c>
      <c r="C369" s="1" t="str">
        <f>VLOOKUP(B369,Products!A:C,2,FALSE)</f>
        <v>Pineapple</v>
      </c>
      <c r="D369" s="1" t="str">
        <f t="shared" si="48"/>
        <v>Lagos</v>
      </c>
      <c r="E369" s="4" t="str">
        <f>_xlfn.XLOOKUP(D369,'Sales Manager'!$A$2:$A$6,'Sales Manager'!$B$2:$B$6,"")</f>
        <v>Adaora Okafor</v>
      </c>
      <c r="F369" s="3">
        <f t="shared" si="56"/>
        <v>8</v>
      </c>
      <c r="G369" s="1" t="str">
        <f t="shared" si="56"/>
        <v>Aug</v>
      </c>
      <c r="H369" s="11">
        <v>1000</v>
      </c>
      <c r="I369" s="11">
        <v>2433</v>
      </c>
      <c r="J369" s="11" cm="1">
        <f t="array" ref="J369">_xlfn.XLOOKUP(C369&amp;D369&amp;F369,Expense!$C$2:$C$601&amp;Expense!$D$2:$D$601&amp;Expense!$E$2:$E$601,Expense!$G$2:$G$601,"")</f>
        <v>200</v>
      </c>
      <c r="K369" s="11" cm="1">
        <f t="array" ref="K369">_xlfn.XLOOKUP(C369&amp;D369&amp;F369,Expense!$C$2:$C$601&amp;Expense!$D$2:$D$601&amp;Expense!$E$2:$E$601,Expense!$H$2:$H$601,"")</f>
        <v>100</v>
      </c>
      <c r="L369" s="14">
        <f t="shared" si="52"/>
        <v>1433</v>
      </c>
      <c r="M369" s="14">
        <f>Master_Table[[#This Row],[Expense Budget]]-Master_Table[[#This Row],[Actual Expense]]</f>
        <v>100</v>
      </c>
      <c r="N369" s="16">
        <f t="shared" si="53"/>
        <v>2333</v>
      </c>
      <c r="O369" s="29">
        <f t="shared" si="50"/>
        <v>800</v>
      </c>
      <c r="P369" s="16">
        <f t="shared" si="51"/>
        <v>1533</v>
      </c>
      <c r="Q369" s="28">
        <f>Master_Table[[#This Row],[△Sales Variance]]/Master_Table[[#This Row],[Sales Budget]]</f>
        <v>1.4330000000000001</v>
      </c>
      <c r="R369" s="28">
        <f>Master_Table[[#This Row],[△Expense  Variance]]/Master_Table[[#This Row],[Expense Budget]]</f>
        <v>0.5</v>
      </c>
      <c r="S369" s="28">
        <f>Master_Table[[#This Row],[Net Profit Variance]]/Master_Table[[#This Row],[Budget Net Profit]]</f>
        <v>1.91625</v>
      </c>
      <c r="T369" s="28">
        <f>Master_Table[[#This Row],[Actual Net Profit]]/Master_Table[[#This Row],[Actual Sales]]</f>
        <v>0.95889847924373206</v>
      </c>
      <c r="U369" s="28" t="str">
        <f>_xlfn.TEXTJOIN(" - ", TRUE, Master_Table[[#This Row],[Product]], Master_Table[[#This Row],[Branch]])</f>
        <v>Pineapple - Lagos</v>
      </c>
    </row>
    <row r="370" spans="1:21" ht="14.4" x14ac:dyDescent="0.3">
      <c r="A370" s="2">
        <v>369</v>
      </c>
      <c r="B370" s="2">
        <f t="shared" si="47"/>
        <v>106</v>
      </c>
      <c r="C370" s="1" t="str">
        <f>VLOOKUP(B370,Products!A:C,2,FALSE)</f>
        <v>Pineapple</v>
      </c>
      <c r="D370" s="1" t="str">
        <f t="shared" si="48"/>
        <v>Lagos</v>
      </c>
      <c r="E370" s="4" t="str">
        <f>_xlfn.XLOOKUP(D370,'Sales Manager'!$A$2:$A$6,'Sales Manager'!$B$2:$B$6,"")</f>
        <v>Adaora Okafor</v>
      </c>
      <c r="F370" s="3">
        <f t="shared" si="56"/>
        <v>9</v>
      </c>
      <c r="G370" s="1" t="str">
        <f t="shared" si="56"/>
        <v>Sept</v>
      </c>
      <c r="H370" s="11">
        <v>8000</v>
      </c>
      <c r="I370" s="11">
        <v>7468</v>
      </c>
      <c r="J370" s="11" cm="1">
        <f t="array" ref="J370">_xlfn.XLOOKUP(C370&amp;D370&amp;F370,Expense!$C$2:$C$601&amp;Expense!$D$2:$D$601&amp;Expense!$E$2:$E$601,Expense!$G$2:$G$601,"")</f>
        <v>1600</v>
      </c>
      <c r="K370" s="11" cm="1">
        <f t="array" ref="K370">_xlfn.XLOOKUP(C370&amp;D370&amp;F370,Expense!$C$2:$C$601&amp;Expense!$D$2:$D$601&amp;Expense!$E$2:$E$601,Expense!$H$2:$H$601,"")</f>
        <v>900</v>
      </c>
      <c r="L370" s="14">
        <f t="shared" si="52"/>
        <v>-532</v>
      </c>
      <c r="M370" s="14">
        <f>Master_Table[[#This Row],[Expense Budget]]-Master_Table[[#This Row],[Actual Expense]]</f>
        <v>700</v>
      </c>
      <c r="N370" s="16">
        <f t="shared" si="53"/>
        <v>6568</v>
      </c>
      <c r="O370" s="29">
        <f t="shared" si="50"/>
        <v>6400</v>
      </c>
      <c r="P370" s="16">
        <f t="shared" si="51"/>
        <v>168</v>
      </c>
      <c r="Q370" s="28">
        <f>Master_Table[[#This Row],[△Sales Variance]]/Master_Table[[#This Row],[Sales Budget]]</f>
        <v>-6.6500000000000004E-2</v>
      </c>
      <c r="R370" s="28">
        <f>Master_Table[[#This Row],[△Expense  Variance]]/Master_Table[[#This Row],[Expense Budget]]</f>
        <v>0.4375</v>
      </c>
      <c r="S370" s="28">
        <f>Master_Table[[#This Row],[Net Profit Variance]]/Master_Table[[#This Row],[Budget Net Profit]]</f>
        <v>2.6249999999999999E-2</v>
      </c>
      <c r="T370" s="28">
        <f>Master_Table[[#This Row],[Actual Net Profit]]/Master_Table[[#This Row],[Actual Sales]]</f>
        <v>0.87948580610605254</v>
      </c>
      <c r="U370" s="28" t="str">
        <f>_xlfn.TEXTJOIN(" - ", TRUE, Master_Table[[#This Row],[Product]], Master_Table[[#This Row],[Branch]])</f>
        <v>Pineapple - Lagos</v>
      </c>
    </row>
    <row r="371" spans="1:21" ht="14.4" x14ac:dyDescent="0.3">
      <c r="A371" s="2">
        <v>370</v>
      </c>
      <c r="B371" s="2">
        <f t="shared" si="47"/>
        <v>106</v>
      </c>
      <c r="C371" s="1" t="str">
        <f>VLOOKUP(B371,Products!A:C,2,FALSE)</f>
        <v>Pineapple</v>
      </c>
      <c r="D371" s="1" t="str">
        <f t="shared" si="48"/>
        <v>Lagos</v>
      </c>
      <c r="E371" s="4" t="str">
        <f>_xlfn.XLOOKUP(D371,'Sales Manager'!$A$2:$A$6,'Sales Manager'!$B$2:$B$6,"")</f>
        <v>Adaora Okafor</v>
      </c>
      <c r="F371" s="3">
        <f t="shared" si="56"/>
        <v>10</v>
      </c>
      <c r="G371" s="1" t="str">
        <f t="shared" si="56"/>
        <v>Oct</v>
      </c>
      <c r="H371" s="11">
        <v>7000</v>
      </c>
      <c r="I371" s="11">
        <v>2122</v>
      </c>
      <c r="J371" s="11" cm="1">
        <f t="array" ref="J371">_xlfn.XLOOKUP(C371&amp;D371&amp;F371,Expense!$C$2:$C$601&amp;Expense!$D$2:$D$601&amp;Expense!$E$2:$E$601,Expense!$G$2:$G$601,"")</f>
        <v>2333.3333333333335</v>
      </c>
      <c r="K371" s="11" cm="1">
        <f t="array" ref="K371">_xlfn.XLOOKUP(C371&amp;D371&amp;F371,Expense!$C$2:$C$601&amp;Expense!$D$2:$D$601&amp;Expense!$E$2:$E$601,Expense!$H$2:$H$601,"")</f>
        <v>2233.3333333333335</v>
      </c>
      <c r="L371" s="14">
        <f t="shared" si="52"/>
        <v>-4878</v>
      </c>
      <c r="M371" s="14">
        <f>Master_Table[[#This Row],[Expense Budget]]-Master_Table[[#This Row],[Actual Expense]]</f>
        <v>100</v>
      </c>
      <c r="N371" s="16">
        <f t="shared" si="53"/>
        <v>-111.33333333333348</v>
      </c>
      <c r="O371" s="29">
        <f t="shared" si="50"/>
        <v>4666.6666666666661</v>
      </c>
      <c r="P371" s="16">
        <f t="shared" si="51"/>
        <v>-4778</v>
      </c>
      <c r="Q371" s="28">
        <f>Master_Table[[#This Row],[△Sales Variance]]/Master_Table[[#This Row],[Sales Budget]]</f>
        <v>-0.69685714285714284</v>
      </c>
      <c r="R371" s="28">
        <f>Master_Table[[#This Row],[△Expense  Variance]]/Master_Table[[#This Row],[Expense Budget]]</f>
        <v>4.2857142857142858E-2</v>
      </c>
      <c r="S371" s="28">
        <f>Master_Table[[#This Row],[Net Profit Variance]]/Master_Table[[#This Row],[Budget Net Profit]]</f>
        <v>-1.023857142857143</v>
      </c>
      <c r="T371" s="28">
        <f>Master_Table[[#This Row],[Actual Net Profit]]/Master_Table[[#This Row],[Actual Sales]]</f>
        <v>-5.2466226830034629E-2</v>
      </c>
      <c r="U371" s="28" t="str">
        <f>_xlfn.TEXTJOIN(" - ", TRUE, Master_Table[[#This Row],[Product]], Master_Table[[#This Row],[Branch]])</f>
        <v>Pineapple - Lagos</v>
      </c>
    </row>
    <row r="372" spans="1:21" ht="14.4" x14ac:dyDescent="0.3">
      <c r="A372" s="2">
        <v>371</v>
      </c>
      <c r="B372" s="2">
        <f t="shared" si="47"/>
        <v>106</v>
      </c>
      <c r="C372" s="1" t="str">
        <f>VLOOKUP(B372,Products!A:C,2,FALSE)</f>
        <v>Pineapple</v>
      </c>
      <c r="D372" s="1" t="str">
        <f t="shared" si="48"/>
        <v>Lagos</v>
      </c>
      <c r="E372" s="4" t="str">
        <f>_xlfn.XLOOKUP(D372,'Sales Manager'!$A$2:$A$6,'Sales Manager'!$B$2:$B$6,"")</f>
        <v>Adaora Okafor</v>
      </c>
      <c r="F372" s="3">
        <f t="shared" si="56"/>
        <v>11</v>
      </c>
      <c r="G372" s="1" t="str">
        <f t="shared" si="56"/>
        <v>Nov</v>
      </c>
      <c r="H372" s="11">
        <v>5000</v>
      </c>
      <c r="I372" s="11">
        <v>6225</v>
      </c>
      <c r="J372" s="11" cm="1">
        <f t="array" ref="J372">_xlfn.XLOOKUP(C372&amp;D372&amp;F372,Expense!$C$2:$C$601&amp;Expense!$D$2:$D$601&amp;Expense!$E$2:$E$601,Expense!$G$2:$G$601,"")</f>
        <v>1000</v>
      </c>
      <c r="K372" s="11" cm="1">
        <f t="array" ref="K372">_xlfn.XLOOKUP(C372&amp;D372&amp;F372,Expense!$C$2:$C$601&amp;Expense!$D$2:$D$601&amp;Expense!$E$2:$E$601,Expense!$H$2:$H$601,"")</f>
        <v>300</v>
      </c>
      <c r="L372" s="14">
        <f t="shared" si="52"/>
        <v>1225</v>
      </c>
      <c r="M372" s="14">
        <f>Master_Table[[#This Row],[Expense Budget]]-Master_Table[[#This Row],[Actual Expense]]</f>
        <v>700</v>
      </c>
      <c r="N372" s="16">
        <f t="shared" si="53"/>
        <v>5925</v>
      </c>
      <c r="O372" s="29">
        <f t="shared" si="50"/>
        <v>4000</v>
      </c>
      <c r="P372" s="16">
        <f t="shared" si="51"/>
        <v>1925</v>
      </c>
      <c r="Q372" s="28">
        <f>Master_Table[[#This Row],[△Sales Variance]]/Master_Table[[#This Row],[Sales Budget]]</f>
        <v>0.245</v>
      </c>
      <c r="R372" s="28">
        <f>Master_Table[[#This Row],[△Expense  Variance]]/Master_Table[[#This Row],[Expense Budget]]</f>
        <v>0.7</v>
      </c>
      <c r="S372" s="28">
        <f>Master_Table[[#This Row],[Net Profit Variance]]/Master_Table[[#This Row],[Budget Net Profit]]</f>
        <v>0.48125000000000001</v>
      </c>
      <c r="T372" s="28">
        <f>Master_Table[[#This Row],[Actual Net Profit]]/Master_Table[[#This Row],[Actual Sales]]</f>
        <v>0.95180722891566261</v>
      </c>
      <c r="U372" s="28" t="str">
        <f>_xlfn.TEXTJOIN(" - ", TRUE, Master_Table[[#This Row],[Product]], Master_Table[[#This Row],[Branch]])</f>
        <v>Pineapple - Lagos</v>
      </c>
    </row>
    <row r="373" spans="1:21" ht="14.4" x14ac:dyDescent="0.3">
      <c r="A373" s="2">
        <v>372</v>
      </c>
      <c r="B373" s="2">
        <f t="shared" si="47"/>
        <v>106</v>
      </c>
      <c r="C373" s="1" t="str">
        <f>VLOOKUP(B373,Products!A:C,2,FALSE)</f>
        <v>Pineapple</v>
      </c>
      <c r="D373" s="1" t="str">
        <f t="shared" si="48"/>
        <v>Lagos</v>
      </c>
      <c r="E373" s="4" t="str">
        <f>_xlfn.XLOOKUP(D373,'Sales Manager'!$A$2:$A$6,'Sales Manager'!$B$2:$B$6,"")</f>
        <v>Adaora Okafor</v>
      </c>
      <c r="F373" s="3">
        <f t="shared" si="56"/>
        <v>12</v>
      </c>
      <c r="G373" s="1" t="str">
        <f t="shared" si="56"/>
        <v>Dec</v>
      </c>
      <c r="H373" s="11">
        <v>1000</v>
      </c>
      <c r="I373" s="11">
        <v>8771</v>
      </c>
      <c r="J373" s="11" cm="1">
        <f t="array" ref="J373">_xlfn.XLOOKUP(C373&amp;D373&amp;F373,Expense!$C$2:$C$601&amp;Expense!$D$2:$D$601&amp;Expense!$E$2:$E$601,Expense!$G$2:$G$601,"")</f>
        <v>250</v>
      </c>
      <c r="K373" s="11" cm="1">
        <f t="array" ref="K373">_xlfn.XLOOKUP(C373&amp;D373&amp;F373,Expense!$C$2:$C$601&amp;Expense!$D$2:$D$601&amp;Expense!$E$2:$E$601,Expense!$H$2:$H$601,"")</f>
        <v>250</v>
      </c>
      <c r="L373" s="14">
        <f t="shared" si="52"/>
        <v>7771</v>
      </c>
      <c r="M373" s="14">
        <f>Master_Table[[#This Row],[Expense Budget]]-Master_Table[[#This Row],[Actual Expense]]</f>
        <v>0</v>
      </c>
      <c r="N373" s="16">
        <f t="shared" si="53"/>
        <v>8521</v>
      </c>
      <c r="O373" s="29">
        <f t="shared" si="50"/>
        <v>750</v>
      </c>
      <c r="P373" s="16">
        <f t="shared" si="51"/>
        <v>7771</v>
      </c>
      <c r="Q373" s="28">
        <f>Master_Table[[#This Row],[△Sales Variance]]/Master_Table[[#This Row],[Sales Budget]]</f>
        <v>7.7709999999999999</v>
      </c>
      <c r="R373" s="28">
        <f>Master_Table[[#This Row],[△Expense  Variance]]/Master_Table[[#This Row],[Expense Budget]]</f>
        <v>0</v>
      </c>
      <c r="S373" s="28">
        <f>Master_Table[[#This Row],[Net Profit Variance]]/Master_Table[[#This Row],[Budget Net Profit]]</f>
        <v>10.361333333333333</v>
      </c>
      <c r="T373" s="28">
        <f>Master_Table[[#This Row],[Actual Net Profit]]/Master_Table[[#This Row],[Actual Sales]]</f>
        <v>0.97149697867974005</v>
      </c>
      <c r="U373" s="28" t="str">
        <f>_xlfn.TEXTJOIN(" - ", TRUE, Master_Table[[#This Row],[Product]], Master_Table[[#This Row],[Branch]])</f>
        <v>Pineapple - Lagos</v>
      </c>
    </row>
    <row r="374" spans="1:21" ht="14.4" x14ac:dyDescent="0.3">
      <c r="A374" s="2">
        <v>373</v>
      </c>
      <c r="B374" s="2">
        <f t="shared" si="47"/>
        <v>106</v>
      </c>
      <c r="C374" s="1" t="str">
        <f>VLOOKUP(B374,Products!A:C,2,FALSE)</f>
        <v>Pineapple</v>
      </c>
      <c r="D374" s="1" t="str">
        <f t="shared" si="48"/>
        <v>Abuja</v>
      </c>
      <c r="E374" s="4" t="str">
        <f>_xlfn.XLOOKUP(D374,'Sales Manager'!$A$2:$A$6,'Sales Manager'!$B$2:$B$6,"")</f>
        <v>Emeka Nwosu</v>
      </c>
      <c r="F374" s="3">
        <f t="shared" si="56"/>
        <v>1</v>
      </c>
      <c r="G374" s="1" t="str">
        <f t="shared" si="56"/>
        <v>Jan</v>
      </c>
      <c r="H374" s="11">
        <v>3000</v>
      </c>
      <c r="I374" s="11">
        <v>6713</v>
      </c>
      <c r="J374" s="11" cm="1">
        <f t="array" ref="J374">_xlfn.XLOOKUP(C374&amp;D374&amp;F374,Expense!$C$2:$C$601&amp;Expense!$D$2:$D$601&amp;Expense!$E$2:$E$601,Expense!$G$2:$G$601,"")</f>
        <v>750</v>
      </c>
      <c r="K374" s="11" cm="1">
        <f t="array" ref="K374">_xlfn.XLOOKUP(C374&amp;D374&amp;F374,Expense!$C$2:$C$601&amp;Expense!$D$2:$D$601&amp;Expense!$E$2:$E$601,Expense!$H$2:$H$601,"")</f>
        <v>450</v>
      </c>
      <c r="L374" s="14">
        <f t="shared" si="52"/>
        <v>3713</v>
      </c>
      <c r="M374" s="14">
        <f>Master_Table[[#This Row],[Expense Budget]]-Master_Table[[#This Row],[Actual Expense]]</f>
        <v>300</v>
      </c>
      <c r="N374" s="16">
        <f t="shared" si="53"/>
        <v>6263</v>
      </c>
      <c r="O374" s="29">
        <f t="shared" si="50"/>
        <v>2250</v>
      </c>
      <c r="P374" s="16">
        <f t="shared" si="51"/>
        <v>4013</v>
      </c>
      <c r="Q374" s="28">
        <f>Master_Table[[#This Row],[△Sales Variance]]/Master_Table[[#This Row],[Sales Budget]]</f>
        <v>1.2376666666666667</v>
      </c>
      <c r="R374" s="28">
        <f>Master_Table[[#This Row],[△Expense  Variance]]/Master_Table[[#This Row],[Expense Budget]]</f>
        <v>0.4</v>
      </c>
      <c r="S374" s="28">
        <f>Master_Table[[#This Row],[Net Profit Variance]]/Master_Table[[#This Row],[Budget Net Profit]]</f>
        <v>1.7835555555555556</v>
      </c>
      <c r="T374" s="28">
        <f>Master_Table[[#This Row],[Actual Net Profit]]/Master_Table[[#This Row],[Actual Sales]]</f>
        <v>0.93296588708476091</v>
      </c>
      <c r="U374" s="28" t="str">
        <f>_xlfn.TEXTJOIN(" - ", TRUE, Master_Table[[#This Row],[Product]], Master_Table[[#This Row],[Branch]])</f>
        <v>Pineapple - Abuja</v>
      </c>
    </row>
    <row r="375" spans="1:21" ht="14.4" x14ac:dyDescent="0.3">
      <c r="A375" s="2">
        <v>374</v>
      </c>
      <c r="B375" s="2">
        <f t="shared" si="47"/>
        <v>106</v>
      </c>
      <c r="C375" s="1" t="str">
        <f>VLOOKUP(B375,Products!A:C,2,FALSE)</f>
        <v>Pineapple</v>
      </c>
      <c r="D375" s="1" t="str">
        <f t="shared" si="48"/>
        <v>Abuja</v>
      </c>
      <c r="E375" s="4" t="str">
        <f>_xlfn.XLOOKUP(D375,'Sales Manager'!$A$2:$A$6,'Sales Manager'!$B$2:$B$6,"")</f>
        <v>Emeka Nwosu</v>
      </c>
      <c r="F375" s="3">
        <f t="shared" si="56"/>
        <v>2</v>
      </c>
      <c r="G375" s="1" t="str">
        <f t="shared" si="56"/>
        <v>Feb</v>
      </c>
      <c r="H375" s="11">
        <v>2000</v>
      </c>
      <c r="I375" s="11">
        <v>5761</v>
      </c>
      <c r="J375" s="11" cm="1">
        <f t="array" ref="J375">_xlfn.XLOOKUP(C375&amp;D375&amp;F375,Expense!$C$2:$C$601&amp;Expense!$D$2:$D$601&amp;Expense!$E$2:$E$601,Expense!$G$2:$G$601,"")</f>
        <v>666.66666666666663</v>
      </c>
      <c r="K375" s="11" cm="1">
        <f t="array" ref="K375">_xlfn.XLOOKUP(C375&amp;D375&amp;F375,Expense!$C$2:$C$601&amp;Expense!$D$2:$D$601&amp;Expense!$E$2:$E$601,Expense!$H$2:$H$601,"")</f>
        <v>566.66666666666663</v>
      </c>
      <c r="L375" s="14">
        <f t="shared" si="52"/>
        <v>3761</v>
      </c>
      <c r="M375" s="14">
        <f>Master_Table[[#This Row],[Expense Budget]]-Master_Table[[#This Row],[Actual Expense]]</f>
        <v>100</v>
      </c>
      <c r="N375" s="16">
        <f t="shared" si="53"/>
        <v>5194.333333333333</v>
      </c>
      <c r="O375" s="29">
        <f t="shared" si="50"/>
        <v>1333.3333333333335</v>
      </c>
      <c r="P375" s="16">
        <f t="shared" si="51"/>
        <v>3860.9999999999995</v>
      </c>
      <c r="Q375" s="28">
        <f>Master_Table[[#This Row],[△Sales Variance]]/Master_Table[[#This Row],[Sales Budget]]</f>
        <v>1.8805000000000001</v>
      </c>
      <c r="R375" s="28">
        <f>Master_Table[[#This Row],[△Expense  Variance]]/Master_Table[[#This Row],[Expense Budget]]</f>
        <v>0.15000000000000002</v>
      </c>
      <c r="S375" s="28">
        <f>Master_Table[[#This Row],[Net Profit Variance]]/Master_Table[[#This Row],[Budget Net Profit]]</f>
        <v>2.8957499999999992</v>
      </c>
      <c r="T375" s="28">
        <f>Master_Table[[#This Row],[Actual Net Profit]]/Master_Table[[#This Row],[Actual Sales]]</f>
        <v>0.9016374472024532</v>
      </c>
      <c r="U375" s="28" t="str">
        <f>_xlfn.TEXTJOIN(" - ", TRUE, Master_Table[[#This Row],[Product]], Master_Table[[#This Row],[Branch]])</f>
        <v>Pineapple - Abuja</v>
      </c>
    </row>
    <row r="376" spans="1:21" ht="14.4" x14ac:dyDescent="0.3">
      <c r="A376" s="2">
        <v>375</v>
      </c>
      <c r="B376" s="2">
        <f t="shared" si="47"/>
        <v>106</v>
      </c>
      <c r="C376" s="1" t="str">
        <f>VLOOKUP(B376,Products!A:C,2,FALSE)</f>
        <v>Pineapple</v>
      </c>
      <c r="D376" s="1" t="str">
        <f t="shared" si="48"/>
        <v>Abuja</v>
      </c>
      <c r="E376" s="4" t="str">
        <f>_xlfn.XLOOKUP(D376,'Sales Manager'!$A$2:$A$6,'Sales Manager'!$B$2:$B$6,"")</f>
        <v>Emeka Nwosu</v>
      </c>
      <c r="F376" s="3">
        <f t="shared" si="56"/>
        <v>3</v>
      </c>
      <c r="G376" s="1" t="str">
        <f t="shared" si="56"/>
        <v>Mar</v>
      </c>
      <c r="H376" s="11">
        <v>2000</v>
      </c>
      <c r="I376" s="11">
        <v>2436</v>
      </c>
      <c r="J376" s="11" cm="1">
        <f t="array" ref="J376">_xlfn.XLOOKUP(C376&amp;D376&amp;F376,Expense!$C$2:$C$601&amp;Expense!$D$2:$D$601&amp;Expense!$E$2:$E$601,Expense!$G$2:$G$601,"")</f>
        <v>1000</v>
      </c>
      <c r="K376" s="11" cm="1">
        <f t="array" ref="K376">_xlfn.XLOOKUP(C376&amp;D376&amp;F376,Expense!$C$2:$C$601&amp;Expense!$D$2:$D$601&amp;Expense!$E$2:$E$601,Expense!$H$2:$H$601,"")</f>
        <v>800</v>
      </c>
      <c r="L376" s="14">
        <f t="shared" si="52"/>
        <v>436</v>
      </c>
      <c r="M376" s="14">
        <f>Master_Table[[#This Row],[Expense Budget]]-Master_Table[[#This Row],[Actual Expense]]</f>
        <v>200</v>
      </c>
      <c r="N376" s="16">
        <f t="shared" si="53"/>
        <v>1636</v>
      </c>
      <c r="O376" s="29">
        <f t="shared" si="50"/>
        <v>1000</v>
      </c>
      <c r="P376" s="16">
        <f t="shared" si="51"/>
        <v>636</v>
      </c>
      <c r="Q376" s="28">
        <f>Master_Table[[#This Row],[△Sales Variance]]/Master_Table[[#This Row],[Sales Budget]]</f>
        <v>0.218</v>
      </c>
      <c r="R376" s="28">
        <f>Master_Table[[#This Row],[△Expense  Variance]]/Master_Table[[#This Row],[Expense Budget]]</f>
        <v>0.2</v>
      </c>
      <c r="S376" s="28">
        <f>Master_Table[[#This Row],[Net Profit Variance]]/Master_Table[[#This Row],[Budget Net Profit]]</f>
        <v>0.63600000000000001</v>
      </c>
      <c r="T376" s="28">
        <f>Master_Table[[#This Row],[Actual Net Profit]]/Master_Table[[#This Row],[Actual Sales]]</f>
        <v>0.67159277504105086</v>
      </c>
      <c r="U376" s="28" t="str">
        <f>_xlfn.TEXTJOIN(" - ", TRUE, Master_Table[[#This Row],[Product]], Master_Table[[#This Row],[Branch]])</f>
        <v>Pineapple - Abuja</v>
      </c>
    </row>
    <row r="377" spans="1:21" ht="14.4" x14ac:dyDescent="0.3">
      <c r="A377" s="2">
        <v>376</v>
      </c>
      <c r="B377" s="2">
        <f t="shared" si="47"/>
        <v>106</v>
      </c>
      <c r="C377" s="1" t="str">
        <f>VLOOKUP(B377,Products!A:C,2,FALSE)</f>
        <v>Pineapple</v>
      </c>
      <c r="D377" s="1" t="str">
        <f t="shared" si="48"/>
        <v>Abuja</v>
      </c>
      <c r="E377" s="4" t="str">
        <f>_xlfn.XLOOKUP(D377,'Sales Manager'!$A$2:$A$6,'Sales Manager'!$B$2:$B$6,"")</f>
        <v>Emeka Nwosu</v>
      </c>
      <c r="F377" s="3">
        <f t="shared" si="56"/>
        <v>4</v>
      </c>
      <c r="G377" s="1" t="str">
        <f t="shared" si="56"/>
        <v>Apr</v>
      </c>
      <c r="H377" s="11">
        <v>6000</v>
      </c>
      <c r="I377" s="11">
        <v>4521</v>
      </c>
      <c r="J377" s="11" cm="1">
        <f t="array" ref="J377">_xlfn.XLOOKUP(C377&amp;D377&amp;F377,Expense!$C$2:$C$601&amp;Expense!$D$2:$D$601&amp;Expense!$E$2:$E$601,Expense!$G$2:$G$601,"")</f>
        <v>3000</v>
      </c>
      <c r="K377" s="11" cm="1">
        <f t="array" ref="K377">_xlfn.XLOOKUP(C377&amp;D377&amp;F377,Expense!$C$2:$C$601&amp;Expense!$D$2:$D$601&amp;Expense!$E$2:$E$601,Expense!$H$2:$H$601,"")</f>
        <v>2900</v>
      </c>
      <c r="L377" s="14">
        <f t="shared" si="52"/>
        <v>-1479</v>
      </c>
      <c r="M377" s="14">
        <f>Master_Table[[#This Row],[Expense Budget]]-Master_Table[[#This Row],[Actual Expense]]</f>
        <v>100</v>
      </c>
      <c r="N377" s="16">
        <f t="shared" si="53"/>
        <v>1621</v>
      </c>
      <c r="O377" s="29">
        <f t="shared" si="50"/>
        <v>3000</v>
      </c>
      <c r="P377" s="16">
        <f t="shared" si="51"/>
        <v>-1379</v>
      </c>
      <c r="Q377" s="28">
        <f>Master_Table[[#This Row],[△Sales Variance]]/Master_Table[[#This Row],[Sales Budget]]</f>
        <v>-0.2465</v>
      </c>
      <c r="R377" s="28">
        <f>Master_Table[[#This Row],[△Expense  Variance]]/Master_Table[[#This Row],[Expense Budget]]</f>
        <v>3.3333333333333333E-2</v>
      </c>
      <c r="S377" s="28">
        <f>Master_Table[[#This Row],[Net Profit Variance]]/Master_Table[[#This Row],[Budget Net Profit]]</f>
        <v>-0.45966666666666667</v>
      </c>
      <c r="T377" s="28">
        <f>Master_Table[[#This Row],[Actual Net Profit]]/Master_Table[[#This Row],[Actual Sales]]</f>
        <v>0.35854899358548992</v>
      </c>
      <c r="U377" s="28" t="str">
        <f>_xlfn.TEXTJOIN(" - ", TRUE, Master_Table[[#This Row],[Product]], Master_Table[[#This Row],[Branch]])</f>
        <v>Pineapple - Abuja</v>
      </c>
    </row>
    <row r="378" spans="1:21" ht="14.4" x14ac:dyDescent="0.3">
      <c r="A378" s="2">
        <v>377</v>
      </c>
      <c r="B378" s="2">
        <f t="shared" si="47"/>
        <v>106</v>
      </c>
      <c r="C378" s="1" t="str">
        <f>VLOOKUP(B378,Products!A:C,2,FALSE)</f>
        <v>Pineapple</v>
      </c>
      <c r="D378" s="1" t="str">
        <f t="shared" si="48"/>
        <v>Abuja</v>
      </c>
      <c r="E378" s="4" t="str">
        <f>_xlfn.XLOOKUP(D378,'Sales Manager'!$A$2:$A$6,'Sales Manager'!$B$2:$B$6,"")</f>
        <v>Emeka Nwosu</v>
      </c>
      <c r="F378" s="3">
        <f t="shared" si="56"/>
        <v>5</v>
      </c>
      <c r="G378" s="1" t="str">
        <f t="shared" si="56"/>
        <v>May</v>
      </c>
      <c r="H378" s="11">
        <v>2000</v>
      </c>
      <c r="I378" s="11">
        <v>3182</v>
      </c>
      <c r="J378" s="11" cm="1">
        <f t="array" ref="J378">_xlfn.XLOOKUP(C378&amp;D378&amp;F378,Expense!$C$2:$C$601&amp;Expense!$D$2:$D$601&amp;Expense!$E$2:$E$601,Expense!$G$2:$G$601,"")</f>
        <v>666.66666666666663</v>
      </c>
      <c r="K378" s="11" cm="1">
        <f t="array" ref="K378">_xlfn.XLOOKUP(C378&amp;D378&amp;F378,Expense!$C$2:$C$601&amp;Expense!$D$2:$D$601&amp;Expense!$E$2:$E$601,Expense!$H$2:$H$601,"")</f>
        <v>166.66666666666663</v>
      </c>
      <c r="L378" s="14">
        <f t="shared" si="52"/>
        <v>1182</v>
      </c>
      <c r="M378" s="14">
        <f>Master_Table[[#This Row],[Expense Budget]]-Master_Table[[#This Row],[Actual Expense]]</f>
        <v>500</v>
      </c>
      <c r="N378" s="16">
        <f t="shared" si="53"/>
        <v>3015.3333333333335</v>
      </c>
      <c r="O378" s="29">
        <f t="shared" si="50"/>
        <v>1333.3333333333335</v>
      </c>
      <c r="P378" s="16">
        <f t="shared" si="51"/>
        <v>1682</v>
      </c>
      <c r="Q378" s="28">
        <f>Master_Table[[#This Row],[△Sales Variance]]/Master_Table[[#This Row],[Sales Budget]]</f>
        <v>0.59099999999999997</v>
      </c>
      <c r="R378" s="28">
        <f>Master_Table[[#This Row],[△Expense  Variance]]/Master_Table[[#This Row],[Expense Budget]]</f>
        <v>0.75</v>
      </c>
      <c r="S378" s="28">
        <f>Master_Table[[#This Row],[Net Profit Variance]]/Master_Table[[#This Row],[Budget Net Profit]]</f>
        <v>1.2614999999999998</v>
      </c>
      <c r="T378" s="28">
        <f>Master_Table[[#This Row],[Actual Net Profit]]/Master_Table[[#This Row],[Actual Sales]]</f>
        <v>0.94762204064529654</v>
      </c>
      <c r="U378" s="28" t="str">
        <f>_xlfn.TEXTJOIN(" - ", TRUE, Master_Table[[#This Row],[Product]], Master_Table[[#This Row],[Branch]])</f>
        <v>Pineapple - Abuja</v>
      </c>
    </row>
    <row r="379" spans="1:21" ht="14.4" x14ac:dyDescent="0.3">
      <c r="A379" s="2">
        <v>378</v>
      </c>
      <c r="B379" s="2">
        <f t="shared" si="47"/>
        <v>106</v>
      </c>
      <c r="C379" s="1" t="str">
        <f>VLOOKUP(B379,Products!A:C,2,FALSE)</f>
        <v>Pineapple</v>
      </c>
      <c r="D379" s="1" t="str">
        <f t="shared" si="48"/>
        <v>Abuja</v>
      </c>
      <c r="E379" s="4" t="str">
        <f>_xlfn.XLOOKUP(D379,'Sales Manager'!$A$2:$A$6,'Sales Manager'!$B$2:$B$6,"")</f>
        <v>Emeka Nwosu</v>
      </c>
      <c r="F379" s="3">
        <f t="shared" si="56"/>
        <v>6</v>
      </c>
      <c r="G379" s="1" t="str">
        <f t="shared" si="56"/>
        <v>Jun</v>
      </c>
      <c r="H379" s="11">
        <v>6000</v>
      </c>
      <c r="I379" s="11">
        <v>4422</v>
      </c>
      <c r="J379" s="11" cm="1">
        <f t="array" ref="J379">_xlfn.XLOOKUP(C379&amp;D379&amp;F379,Expense!$C$2:$C$601&amp;Expense!$D$2:$D$601&amp;Expense!$E$2:$E$601,Expense!$G$2:$G$601,"")</f>
        <v>3000</v>
      </c>
      <c r="K379" s="11" cm="1">
        <f t="array" ref="K379">_xlfn.XLOOKUP(C379&amp;D379&amp;F379,Expense!$C$2:$C$601&amp;Expense!$D$2:$D$601&amp;Expense!$E$2:$E$601,Expense!$H$2:$H$601,"")</f>
        <v>2200</v>
      </c>
      <c r="L379" s="14">
        <f t="shared" si="52"/>
        <v>-1578</v>
      </c>
      <c r="M379" s="14">
        <f>Master_Table[[#This Row],[Expense Budget]]-Master_Table[[#This Row],[Actual Expense]]</f>
        <v>800</v>
      </c>
      <c r="N379" s="16">
        <f t="shared" si="53"/>
        <v>2222</v>
      </c>
      <c r="O379" s="29">
        <f t="shared" si="50"/>
        <v>3000</v>
      </c>
      <c r="P379" s="16">
        <f t="shared" si="51"/>
        <v>-778</v>
      </c>
      <c r="Q379" s="28">
        <f>Master_Table[[#This Row],[△Sales Variance]]/Master_Table[[#This Row],[Sales Budget]]</f>
        <v>-0.26300000000000001</v>
      </c>
      <c r="R379" s="28">
        <f>Master_Table[[#This Row],[△Expense  Variance]]/Master_Table[[#This Row],[Expense Budget]]</f>
        <v>0.26666666666666666</v>
      </c>
      <c r="S379" s="28">
        <f>Master_Table[[#This Row],[Net Profit Variance]]/Master_Table[[#This Row],[Budget Net Profit]]</f>
        <v>-0.25933333333333336</v>
      </c>
      <c r="T379" s="28">
        <f>Master_Table[[#This Row],[Actual Net Profit]]/Master_Table[[#This Row],[Actual Sales]]</f>
        <v>0.50248756218905477</v>
      </c>
      <c r="U379" s="28" t="str">
        <f>_xlfn.TEXTJOIN(" - ", TRUE, Master_Table[[#This Row],[Product]], Master_Table[[#This Row],[Branch]])</f>
        <v>Pineapple - Abuja</v>
      </c>
    </row>
    <row r="380" spans="1:21" ht="14.4" x14ac:dyDescent="0.3">
      <c r="A380" s="2">
        <v>379</v>
      </c>
      <c r="B380" s="2">
        <f t="shared" si="47"/>
        <v>106</v>
      </c>
      <c r="C380" s="1" t="str">
        <f>VLOOKUP(B380,Products!A:C,2,FALSE)</f>
        <v>Pineapple</v>
      </c>
      <c r="D380" s="1" t="str">
        <f t="shared" si="48"/>
        <v>Abuja</v>
      </c>
      <c r="E380" s="4" t="str">
        <f>_xlfn.XLOOKUP(D380,'Sales Manager'!$A$2:$A$6,'Sales Manager'!$B$2:$B$6,"")</f>
        <v>Emeka Nwosu</v>
      </c>
      <c r="F380" s="3">
        <f t="shared" si="56"/>
        <v>7</v>
      </c>
      <c r="G380" s="1" t="str">
        <f t="shared" si="56"/>
        <v>Jul</v>
      </c>
      <c r="H380" s="11">
        <v>4000</v>
      </c>
      <c r="I380" s="11">
        <v>5949</v>
      </c>
      <c r="J380" s="11" cm="1">
        <f t="array" ref="J380">_xlfn.XLOOKUP(C380&amp;D380&amp;F380,Expense!$C$2:$C$601&amp;Expense!$D$2:$D$601&amp;Expense!$E$2:$E$601,Expense!$G$2:$G$601,"")</f>
        <v>1000</v>
      </c>
      <c r="K380" s="11" cm="1">
        <f t="array" ref="K380">_xlfn.XLOOKUP(C380&amp;D380&amp;F380,Expense!$C$2:$C$601&amp;Expense!$D$2:$D$601&amp;Expense!$E$2:$E$601,Expense!$H$2:$H$601,"")</f>
        <v>300</v>
      </c>
      <c r="L380" s="14">
        <f t="shared" si="52"/>
        <v>1949</v>
      </c>
      <c r="M380" s="14">
        <f>Master_Table[[#This Row],[Expense Budget]]-Master_Table[[#This Row],[Actual Expense]]</f>
        <v>700</v>
      </c>
      <c r="N380" s="16">
        <f t="shared" si="53"/>
        <v>5649</v>
      </c>
      <c r="O380" s="29">
        <f t="shared" si="50"/>
        <v>3000</v>
      </c>
      <c r="P380" s="16">
        <f t="shared" si="51"/>
        <v>2649</v>
      </c>
      <c r="Q380" s="28">
        <f>Master_Table[[#This Row],[△Sales Variance]]/Master_Table[[#This Row],[Sales Budget]]</f>
        <v>0.48725000000000002</v>
      </c>
      <c r="R380" s="28">
        <f>Master_Table[[#This Row],[△Expense  Variance]]/Master_Table[[#This Row],[Expense Budget]]</f>
        <v>0.7</v>
      </c>
      <c r="S380" s="28">
        <f>Master_Table[[#This Row],[Net Profit Variance]]/Master_Table[[#This Row],[Budget Net Profit]]</f>
        <v>0.88300000000000001</v>
      </c>
      <c r="T380" s="28">
        <f>Master_Table[[#This Row],[Actual Net Profit]]/Master_Table[[#This Row],[Actual Sales]]</f>
        <v>0.94957135653050928</v>
      </c>
      <c r="U380" s="28" t="str">
        <f>_xlfn.TEXTJOIN(" - ", TRUE, Master_Table[[#This Row],[Product]], Master_Table[[#This Row],[Branch]])</f>
        <v>Pineapple - Abuja</v>
      </c>
    </row>
    <row r="381" spans="1:21" ht="14.4" x14ac:dyDescent="0.3">
      <c r="A381" s="2">
        <v>380</v>
      </c>
      <c r="B381" s="2">
        <f t="shared" si="47"/>
        <v>106</v>
      </c>
      <c r="C381" s="1" t="str">
        <f>VLOOKUP(B381,Products!A:C,2,FALSE)</f>
        <v>Pineapple</v>
      </c>
      <c r="D381" s="1" t="str">
        <f t="shared" si="48"/>
        <v>Abuja</v>
      </c>
      <c r="E381" s="4" t="str">
        <f>_xlfn.XLOOKUP(D381,'Sales Manager'!$A$2:$A$6,'Sales Manager'!$B$2:$B$6,"")</f>
        <v>Emeka Nwosu</v>
      </c>
      <c r="F381" s="3">
        <f t="shared" si="56"/>
        <v>8</v>
      </c>
      <c r="G381" s="1" t="str">
        <f t="shared" si="56"/>
        <v>Aug</v>
      </c>
      <c r="H381" s="11">
        <v>2000</v>
      </c>
      <c r="I381" s="11">
        <v>2432</v>
      </c>
      <c r="J381" s="11" cm="1">
        <f t="array" ref="J381">_xlfn.XLOOKUP(C381&amp;D381&amp;F381,Expense!$C$2:$C$601&amp;Expense!$D$2:$D$601&amp;Expense!$E$2:$E$601,Expense!$G$2:$G$601,"")</f>
        <v>500</v>
      </c>
      <c r="K381" s="11" cm="1">
        <f t="array" ref="K381">_xlfn.XLOOKUP(C381&amp;D381&amp;F381,Expense!$C$2:$C$601&amp;Expense!$D$2:$D$601&amp;Expense!$E$2:$E$601,Expense!$H$2:$H$601,"")</f>
        <v>200</v>
      </c>
      <c r="L381" s="14">
        <f t="shared" si="52"/>
        <v>432</v>
      </c>
      <c r="M381" s="14">
        <f>Master_Table[[#This Row],[Expense Budget]]-Master_Table[[#This Row],[Actual Expense]]</f>
        <v>300</v>
      </c>
      <c r="N381" s="16">
        <f t="shared" si="53"/>
        <v>2232</v>
      </c>
      <c r="O381" s="29">
        <f t="shared" si="50"/>
        <v>1500</v>
      </c>
      <c r="P381" s="16">
        <f t="shared" si="51"/>
        <v>732</v>
      </c>
      <c r="Q381" s="28">
        <f>Master_Table[[#This Row],[△Sales Variance]]/Master_Table[[#This Row],[Sales Budget]]</f>
        <v>0.216</v>
      </c>
      <c r="R381" s="28">
        <f>Master_Table[[#This Row],[△Expense  Variance]]/Master_Table[[#This Row],[Expense Budget]]</f>
        <v>0.6</v>
      </c>
      <c r="S381" s="28">
        <f>Master_Table[[#This Row],[Net Profit Variance]]/Master_Table[[#This Row],[Budget Net Profit]]</f>
        <v>0.48799999999999999</v>
      </c>
      <c r="T381" s="28">
        <f>Master_Table[[#This Row],[Actual Net Profit]]/Master_Table[[#This Row],[Actual Sales]]</f>
        <v>0.91776315789473684</v>
      </c>
      <c r="U381" s="28" t="str">
        <f>_xlfn.TEXTJOIN(" - ", TRUE, Master_Table[[#This Row],[Product]], Master_Table[[#This Row],[Branch]])</f>
        <v>Pineapple - Abuja</v>
      </c>
    </row>
    <row r="382" spans="1:21" ht="14.4" x14ac:dyDescent="0.3">
      <c r="A382" s="2">
        <v>381</v>
      </c>
      <c r="B382" s="2">
        <f t="shared" si="47"/>
        <v>106</v>
      </c>
      <c r="C382" s="1" t="str">
        <f>VLOOKUP(B382,Products!A:C,2,FALSE)</f>
        <v>Pineapple</v>
      </c>
      <c r="D382" s="1" t="str">
        <f t="shared" si="48"/>
        <v>Abuja</v>
      </c>
      <c r="E382" s="4" t="str">
        <f>_xlfn.XLOOKUP(D382,'Sales Manager'!$A$2:$A$6,'Sales Manager'!$B$2:$B$6,"")</f>
        <v>Emeka Nwosu</v>
      </c>
      <c r="F382" s="3">
        <f t="shared" si="56"/>
        <v>9</v>
      </c>
      <c r="G382" s="1" t="str">
        <f t="shared" si="56"/>
        <v>Sept</v>
      </c>
      <c r="H382" s="11">
        <v>5000</v>
      </c>
      <c r="I382" s="11">
        <v>2843</v>
      </c>
      <c r="J382" s="11" cm="1">
        <f t="array" ref="J382">_xlfn.XLOOKUP(C382&amp;D382&amp;F382,Expense!$C$2:$C$601&amp;Expense!$D$2:$D$601&amp;Expense!$E$2:$E$601,Expense!$G$2:$G$601,"")</f>
        <v>1000</v>
      </c>
      <c r="K382" s="11" cm="1">
        <f t="array" ref="K382">_xlfn.XLOOKUP(C382&amp;D382&amp;F382,Expense!$C$2:$C$601&amp;Expense!$D$2:$D$601&amp;Expense!$E$2:$E$601,Expense!$H$2:$H$601,"")</f>
        <v>800</v>
      </c>
      <c r="L382" s="14">
        <f t="shared" si="52"/>
        <v>-2157</v>
      </c>
      <c r="M382" s="14">
        <f>Master_Table[[#This Row],[Expense Budget]]-Master_Table[[#This Row],[Actual Expense]]</f>
        <v>200</v>
      </c>
      <c r="N382" s="16">
        <f t="shared" si="53"/>
        <v>2043</v>
      </c>
      <c r="O382" s="29">
        <f t="shared" si="50"/>
        <v>4000</v>
      </c>
      <c r="P382" s="16">
        <f t="shared" si="51"/>
        <v>-1957</v>
      </c>
      <c r="Q382" s="28">
        <f>Master_Table[[#This Row],[△Sales Variance]]/Master_Table[[#This Row],[Sales Budget]]</f>
        <v>-0.43140000000000001</v>
      </c>
      <c r="R382" s="28">
        <f>Master_Table[[#This Row],[△Expense  Variance]]/Master_Table[[#This Row],[Expense Budget]]</f>
        <v>0.2</v>
      </c>
      <c r="S382" s="28">
        <f>Master_Table[[#This Row],[Net Profit Variance]]/Master_Table[[#This Row],[Budget Net Profit]]</f>
        <v>-0.48925000000000002</v>
      </c>
      <c r="T382" s="28">
        <f>Master_Table[[#This Row],[Actual Net Profit]]/Master_Table[[#This Row],[Actual Sales]]</f>
        <v>0.71860710517059445</v>
      </c>
      <c r="U382" s="28" t="str">
        <f>_xlfn.TEXTJOIN(" - ", TRUE, Master_Table[[#This Row],[Product]], Master_Table[[#This Row],[Branch]])</f>
        <v>Pineapple - Abuja</v>
      </c>
    </row>
    <row r="383" spans="1:21" ht="14.4" x14ac:dyDescent="0.3">
      <c r="A383" s="2">
        <v>382</v>
      </c>
      <c r="B383" s="2">
        <f t="shared" ref="B383:B446" si="57">B323+1</f>
        <v>106</v>
      </c>
      <c r="C383" s="1" t="str">
        <f>VLOOKUP(B383,Products!A:C,2,FALSE)</f>
        <v>Pineapple</v>
      </c>
      <c r="D383" s="1" t="str">
        <f t="shared" ref="D383:D446" si="58">D323</f>
        <v>Abuja</v>
      </c>
      <c r="E383" s="4" t="str">
        <f>_xlfn.XLOOKUP(D383,'Sales Manager'!$A$2:$A$6,'Sales Manager'!$B$2:$B$6,"")</f>
        <v>Emeka Nwosu</v>
      </c>
      <c r="F383" s="3">
        <f t="shared" ref="F383:G398" si="59">F371</f>
        <v>10</v>
      </c>
      <c r="G383" s="1" t="str">
        <f t="shared" si="59"/>
        <v>Oct</v>
      </c>
      <c r="H383" s="11">
        <v>4000</v>
      </c>
      <c r="I383" s="11">
        <v>2542</v>
      </c>
      <c r="J383" s="11" cm="1">
        <f t="array" ref="J383">_xlfn.XLOOKUP(C383&amp;D383&amp;F383,Expense!$C$2:$C$601&amp;Expense!$D$2:$D$601&amp;Expense!$E$2:$E$601,Expense!$G$2:$G$601,"")</f>
        <v>800</v>
      </c>
      <c r="K383" s="11" cm="1">
        <f t="array" ref="K383">_xlfn.XLOOKUP(C383&amp;D383&amp;F383,Expense!$C$2:$C$601&amp;Expense!$D$2:$D$601&amp;Expense!$E$2:$E$601,Expense!$H$2:$H$601,"")</f>
        <v>200</v>
      </c>
      <c r="L383" s="14">
        <f t="shared" si="52"/>
        <v>-1458</v>
      </c>
      <c r="M383" s="14">
        <f>Master_Table[[#This Row],[Expense Budget]]-Master_Table[[#This Row],[Actual Expense]]</f>
        <v>600</v>
      </c>
      <c r="N383" s="16">
        <f t="shared" si="53"/>
        <v>2342</v>
      </c>
      <c r="O383" s="29">
        <f t="shared" si="50"/>
        <v>3200</v>
      </c>
      <c r="P383" s="16">
        <f t="shared" si="51"/>
        <v>-858</v>
      </c>
      <c r="Q383" s="28">
        <f>Master_Table[[#This Row],[△Sales Variance]]/Master_Table[[#This Row],[Sales Budget]]</f>
        <v>-0.36449999999999999</v>
      </c>
      <c r="R383" s="28">
        <f>Master_Table[[#This Row],[△Expense  Variance]]/Master_Table[[#This Row],[Expense Budget]]</f>
        <v>0.75</v>
      </c>
      <c r="S383" s="28">
        <f>Master_Table[[#This Row],[Net Profit Variance]]/Master_Table[[#This Row],[Budget Net Profit]]</f>
        <v>-0.268125</v>
      </c>
      <c r="T383" s="28">
        <f>Master_Table[[#This Row],[Actual Net Profit]]/Master_Table[[#This Row],[Actual Sales]]</f>
        <v>0.92132179386309987</v>
      </c>
      <c r="U383" s="28" t="str">
        <f>_xlfn.TEXTJOIN(" - ", TRUE, Master_Table[[#This Row],[Product]], Master_Table[[#This Row],[Branch]])</f>
        <v>Pineapple - Abuja</v>
      </c>
    </row>
    <row r="384" spans="1:21" ht="14.4" x14ac:dyDescent="0.3">
      <c r="A384" s="2">
        <v>383</v>
      </c>
      <c r="B384" s="2">
        <f t="shared" si="57"/>
        <v>106</v>
      </c>
      <c r="C384" s="1" t="str">
        <f>VLOOKUP(B384,Products!A:C,2,FALSE)</f>
        <v>Pineapple</v>
      </c>
      <c r="D384" s="1" t="str">
        <f t="shared" si="58"/>
        <v>Abuja</v>
      </c>
      <c r="E384" s="4" t="str">
        <f>_xlfn.XLOOKUP(D384,'Sales Manager'!$A$2:$A$6,'Sales Manager'!$B$2:$B$6,"")</f>
        <v>Emeka Nwosu</v>
      </c>
      <c r="F384" s="3">
        <f t="shared" si="59"/>
        <v>11</v>
      </c>
      <c r="G384" s="1" t="str">
        <f t="shared" si="59"/>
        <v>Nov</v>
      </c>
      <c r="H384" s="11">
        <v>2000</v>
      </c>
      <c r="I384" s="11">
        <v>8494</v>
      </c>
      <c r="J384" s="11" cm="1">
        <f t="array" ref="J384">_xlfn.XLOOKUP(C384&amp;D384&amp;F384,Expense!$C$2:$C$601&amp;Expense!$D$2:$D$601&amp;Expense!$E$2:$E$601,Expense!$G$2:$G$601,"")</f>
        <v>400</v>
      </c>
      <c r="K384" s="11" cm="1">
        <f t="array" ref="K384">_xlfn.XLOOKUP(C384&amp;D384&amp;F384,Expense!$C$2:$C$601&amp;Expense!$D$2:$D$601&amp;Expense!$E$2:$E$601,Expense!$H$2:$H$601,"")</f>
        <v>300</v>
      </c>
      <c r="L384" s="14">
        <f t="shared" si="52"/>
        <v>6494</v>
      </c>
      <c r="M384" s="14">
        <f>Master_Table[[#This Row],[Expense Budget]]-Master_Table[[#This Row],[Actual Expense]]</f>
        <v>100</v>
      </c>
      <c r="N384" s="16">
        <f t="shared" si="53"/>
        <v>8194</v>
      </c>
      <c r="O384" s="29">
        <f t="shared" si="50"/>
        <v>1600</v>
      </c>
      <c r="P384" s="16">
        <f t="shared" si="51"/>
        <v>6594</v>
      </c>
      <c r="Q384" s="28">
        <f>Master_Table[[#This Row],[△Sales Variance]]/Master_Table[[#This Row],[Sales Budget]]</f>
        <v>3.2469999999999999</v>
      </c>
      <c r="R384" s="28">
        <f>Master_Table[[#This Row],[△Expense  Variance]]/Master_Table[[#This Row],[Expense Budget]]</f>
        <v>0.25</v>
      </c>
      <c r="S384" s="28">
        <f>Master_Table[[#This Row],[Net Profit Variance]]/Master_Table[[#This Row],[Budget Net Profit]]</f>
        <v>4.1212499999999999</v>
      </c>
      <c r="T384" s="28">
        <f>Master_Table[[#This Row],[Actual Net Profit]]/Master_Table[[#This Row],[Actual Sales]]</f>
        <v>0.96468095125971276</v>
      </c>
      <c r="U384" s="28" t="str">
        <f>_xlfn.TEXTJOIN(" - ", TRUE, Master_Table[[#This Row],[Product]], Master_Table[[#This Row],[Branch]])</f>
        <v>Pineapple - Abuja</v>
      </c>
    </row>
    <row r="385" spans="1:21" ht="14.4" x14ac:dyDescent="0.3">
      <c r="A385" s="2">
        <v>384</v>
      </c>
      <c r="B385" s="2">
        <f t="shared" si="57"/>
        <v>106</v>
      </c>
      <c r="C385" s="1" t="str">
        <f>VLOOKUP(B385,Products!A:C,2,FALSE)</f>
        <v>Pineapple</v>
      </c>
      <c r="D385" s="1" t="str">
        <f t="shared" si="58"/>
        <v>Abuja</v>
      </c>
      <c r="E385" s="4" t="str">
        <f>_xlfn.XLOOKUP(D385,'Sales Manager'!$A$2:$A$6,'Sales Manager'!$B$2:$B$6,"")</f>
        <v>Emeka Nwosu</v>
      </c>
      <c r="F385" s="3">
        <f t="shared" si="59"/>
        <v>12</v>
      </c>
      <c r="G385" s="1" t="str">
        <f t="shared" si="59"/>
        <v>Dec</v>
      </c>
      <c r="H385" s="11">
        <v>5000</v>
      </c>
      <c r="I385" s="11">
        <v>2116</v>
      </c>
      <c r="J385" s="11" cm="1">
        <f t="array" ref="J385">_xlfn.XLOOKUP(C385&amp;D385&amp;F385,Expense!$C$2:$C$601&amp;Expense!$D$2:$D$601&amp;Expense!$E$2:$E$601,Expense!$G$2:$G$601,"")</f>
        <v>2500</v>
      </c>
      <c r="K385" s="11" cm="1">
        <f t="array" ref="K385">_xlfn.XLOOKUP(C385&amp;D385&amp;F385,Expense!$C$2:$C$601&amp;Expense!$D$2:$D$601&amp;Expense!$E$2:$E$601,Expense!$H$2:$H$601,"")</f>
        <v>2200</v>
      </c>
      <c r="L385" s="14">
        <f t="shared" si="52"/>
        <v>-2884</v>
      </c>
      <c r="M385" s="14">
        <f>Master_Table[[#This Row],[Expense Budget]]-Master_Table[[#This Row],[Actual Expense]]</f>
        <v>300</v>
      </c>
      <c r="N385" s="16">
        <f t="shared" si="53"/>
        <v>-84</v>
      </c>
      <c r="O385" s="29">
        <f t="shared" si="50"/>
        <v>2500</v>
      </c>
      <c r="P385" s="16">
        <f t="shared" si="51"/>
        <v>-2584</v>
      </c>
      <c r="Q385" s="28">
        <f>Master_Table[[#This Row],[△Sales Variance]]/Master_Table[[#This Row],[Sales Budget]]</f>
        <v>-0.57679999999999998</v>
      </c>
      <c r="R385" s="28">
        <f>Master_Table[[#This Row],[△Expense  Variance]]/Master_Table[[#This Row],[Expense Budget]]</f>
        <v>0.12</v>
      </c>
      <c r="S385" s="28">
        <f>Master_Table[[#This Row],[Net Profit Variance]]/Master_Table[[#This Row],[Budget Net Profit]]</f>
        <v>-1.0336000000000001</v>
      </c>
      <c r="T385" s="28">
        <f>Master_Table[[#This Row],[Actual Net Profit]]/Master_Table[[#This Row],[Actual Sales]]</f>
        <v>-3.9697542533081283E-2</v>
      </c>
      <c r="U385" s="28" t="str">
        <f>_xlfn.TEXTJOIN(" - ", TRUE, Master_Table[[#This Row],[Product]], Master_Table[[#This Row],[Branch]])</f>
        <v>Pineapple - Abuja</v>
      </c>
    </row>
    <row r="386" spans="1:21" ht="14.4" x14ac:dyDescent="0.3">
      <c r="A386" s="2">
        <v>385</v>
      </c>
      <c r="B386" s="2">
        <f t="shared" si="57"/>
        <v>106</v>
      </c>
      <c r="C386" s="1" t="str">
        <f>VLOOKUP(B386,Products!A:C,2,FALSE)</f>
        <v>Pineapple</v>
      </c>
      <c r="D386" s="1" t="str">
        <f t="shared" si="58"/>
        <v>Warri</v>
      </c>
      <c r="E386" s="4" t="str">
        <f>_xlfn.XLOOKUP(D386,'Sales Manager'!$A$2:$A$6,'Sales Manager'!$B$2:$B$6,"")</f>
        <v>Gbenga Adesanya</v>
      </c>
      <c r="F386" s="3">
        <f t="shared" si="59"/>
        <v>1</v>
      </c>
      <c r="G386" s="1" t="str">
        <f t="shared" si="59"/>
        <v>Jan</v>
      </c>
      <c r="H386" s="11">
        <v>9000</v>
      </c>
      <c r="I386" s="11">
        <v>7371</v>
      </c>
      <c r="J386" s="11" cm="1">
        <f t="array" ref="J386">_xlfn.XLOOKUP(C386&amp;D386&amp;F386,Expense!$C$2:$C$601&amp;Expense!$D$2:$D$601&amp;Expense!$E$2:$E$601,Expense!$G$2:$G$601,"")</f>
        <v>4500</v>
      </c>
      <c r="K386" s="11" cm="1">
        <f t="array" ref="K386">_xlfn.XLOOKUP(C386&amp;D386&amp;F386,Expense!$C$2:$C$601&amp;Expense!$D$2:$D$601&amp;Expense!$E$2:$E$601,Expense!$H$2:$H$601,"")</f>
        <v>3900</v>
      </c>
      <c r="L386" s="14">
        <f t="shared" si="52"/>
        <v>-1629</v>
      </c>
      <c r="M386" s="14">
        <f>Master_Table[[#This Row],[Expense Budget]]-Master_Table[[#This Row],[Actual Expense]]</f>
        <v>600</v>
      </c>
      <c r="N386" s="16">
        <f t="shared" si="53"/>
        <v>3471</v>
      </c>
      <c r="O386" s="29">
        <f t="shared" ref="O386:O449" si="60">H386-J386</f>
        <v>4500</v>
      </c>
      <c r="P386" s="16">
        <f t="shared" ref="P386:P449" si="61">N386-O386</f>
        <v>-1029</v>
      </c>
      <c r="Q386" s="28">
        <f>Master_Table[[#This Row],[△Sales Variance]]/Master_Table[[#This Row],[Sales Budget]]</f>
        <v>-0.18099999999999999</v>
      </c>
      <c r="R386" s="28">
        <f>Master_Table[[#This Row],[△Expense  Variance]]/Master_Table[[#This Row],[Expense Budget]]</f>
        <v>0.13333333333333333</v>
      </c>
      <c r="S386" s="28">
        <f>Master_Table[[#This Row],[Net Profit Variance]]/Master_Table[[#This Row],[Budget Net Profit]]</f>
        <v>-0.22866666666666666</v>
      </c>
      <c r="T386" s="28">
        <f>Master_Table[[#This Row],[Actual Net Profit]]/Master_Table[[#This Row],[Actual Sales]]</f>
        <v>0.47089947089947087</v>
      </c>
      <c r="U386" s="28" t="str">
        <f>_xlfn.TEXTJOIN(" - ", TRUE, Master_Table[[#This Row],[Product]], Master_Table[[#This Row],[Branch]])</f>
        <v>Pineapple - Warri</v>
      </c>
    </row>
    <row r="387" spans="1:21" ht="14.4" x14ac:dyDescent="0.3">
      <c r="A387" s="2">
        <v>386</v>
      </c>
      <c r="B387" s="2">
        <f t="shared" si="57"/>
        <v>106</v>
      </c>
      <c r="C387" s="1" t="str">
        <f>VLOOKUP(B387,Products!A:C,2,FALSE)</f>
        <v>Pineapple</v>
      </c>
      <c r="D387" s="1" t="str">
        <f t="shared" si="58"/>
        <v>Warri</v>
      </c>
      <c r="E387" s="4" t="str">
        <f>_xlfn.XLOOKUP(D387,'Sales Manager'!$A$2:$A$6,'Sales Manager'!$B$2:$B$6,"")</f>
        <v>Gbenga Adesanya</v>
      </c>
      <c r="F387" s="3">
        <f t="shared" si="59"/>
        <v>2</v>
      </c>
      <c r="G387" s="1" t="str">
        <f t="shared" si="59"/>
        <v>Feb</v>
      </c>
      <c r="H387" s="11">
        <v>8000</v>
      </c>
      <c r="I387" s="11">
        <v>3631</v>
      </c>
      <c r="J387" s="11" cm="1">
        <f t="array" ref="J387">_xlfn.XLOOKUP(C387&amp;D387&amp;F387,Expense!$C$2:$C$601&amp;Expense!$D$2:$D$601&amp;Expense!$E$2:$E$601,Expense!$G$2:$G$601,"")</f>
        <v>1600</v>
      </c>
      <c r="K387" s="11" cm="1">
        <f t="array" ref="K387">_xlfn.XLOOKUP(C387&amp;D387&amp;F387,Expense!$C$2:$C$601&amp;Expense!$D$2:$D$601&amp;Expense!$E$2:$E$601,Expense!$H$2:$H$601,"")</f>
        <v>1300</v>
      </c>
      <c r="L387" s="14">
        <f t="shared" ref="L387:L450" si="62">I387-H387</f>
        <v>-4369</v>
      </c>
      <c r="M387" s="14">
        <f>Master_Table[[#This Row],[Expense Budget]]-Master_Table[[#This Row],[Actual Expense]]</f>
        <v>300</v>
      </c>
      <c r="N387" s="16">
        <f t="shared" ref="N387:N450" si="63">I387-K387</f>
        <v>2331</v>
      </c>
      <c r="O387" s="29">
        <f t="shared" si="60"/>
        <v>6400</v>
      </c>
      <c r="P387" s="16">
        <f t="shared" si="61"/>
        <v>-4069</v>
      </c>
      <c r="Q387" s="28">
        <f>Master_Table[[#This Row],[△Sales Variance]]/Master_Table[[#This Row],[Sales Budget]]</f>
        <v>-0.54612499999999997</v>
      </c>
      <c r="R387" s="28">
        <f>Master_Table[[#This Row],[△Expense  Variance]]/Master_Table[[#This Row],[Expense Budget]]</f>
        <v>0.1875</v>
      </c>
      <c r="S387" s="28">
        <f>Master_Table[[#This Row],[Net Profit Variance]]/Master_Table[[#This Row],[Budget Net Profit]]</f>
        <v>-0.63578124999999996</v>
      </c>
      <c r="T387" s="28">
        <f>Master_Table[[#This Row],[Actual Net Profit]]/Master_Table[[#This Row],[Actual Sales]]</f>
        <v>0.64197190856513353</v>
      </c>
      <c r="U387" s="28" t="str">
        <f>_xlfn.TEXTJOIN(" - ", TRUE, Master_Table[[#This Row],[Product]], Master_Table[[#This Row],[Branch]])</f>
        <v>Pineapple - Warri</v>
      </c>
    </row>
    <row r="388" spans="1:21" ht="14.4" x14ac:dyDescent="0.3">
      <c r="A388" s="2">
        <v>387</v>
      </c>
      <c r="B388" s="2">
        <f t="shared" si="57"/>
        <v>106</v>
      </c>
      <c r="C388" s="1" t="str">
        <f>VLOOKUP(B388,Products!A:C,2,FALSE)</f>
        <v>Pineapple</v>
      </c>
      <c r="D388" s="1" t="str">
        <f t="shared" si="58"/>
        <v>Warri</v>
      </c>
      <c r="E388" s="4" t="str">
        <f>_xlfn.XLOOKUP(D388,'Sales Manager'!$A$2:$A$6,'Sales Manager'!$B$2:$B$6,"")</f>
        <v>Gbenga Adesanya</v>
      </c>
      <c r="F388" s="3">
        <f t="shared" si="59"/>
        <v>3</v>
      </c>
      <c r="G388" s="1" t="str">
        <f t="shared" si="59"/>
        <v>Mar</v>
      </c>
      <c r="H388" s="11">
        <v>2000</v>
      </c>
      <c r="I388" s="11">
        <v>2866</v>
      </c>
      <c r="J388" s="11" cm="1">
        <f t="array" ref="J388">_xlfn.XLOOKUP(C388&amp;D388&amp;F388,Expense!$C$2:$C$601&amp;Expense!$D$2:$D$601&amp;Expense!$E$2:$E$601,Expense!$G$2:$G$601,"")</f>
        <v>500</v>
      </c>
      <c r="K388" s="11" cm="1">
        <f t="array" ref="K388">_xlfn.XLOOKUP(C388&amp;D388&amp;F388,Expense!$C$2:$C$601&amp;Expense!$D$2:$D$601&amp;Expense!$E$2:$E$601,Expense!$H$2:$H$601,"")</f>
        <v>500</v>
      </c>
      <c r="L388" s="14">
        <f t="shared" si="62"/>
        <v>866</v>
      </c>
      <c r="M388" s="14">
        <f>Master_Table[[#This Row],[Expense Budget]]-Master_Table[[#This Row],[Actual Expense]]</f>
        <v>0</v>
      </c>
      <c r="N388" s="16">
        <f t="shared" si="63"/>
        <v>2366</v>
      </c>
      <c r="O388" s="29">
        <f t="shared" si="60"/>
        <v>1500</v>
      </c>
      <c r="P388" s="16">
        <f t="shared" si="61"/>
        <v>866</v>
      </c>
      <c r="Q388" s="28">
        <f>Master_Table[[#This Row],[△Sales Variance]]/Master_Table[[#This Row],[Sales Budget]]</f>
        <v>0.433</v>
      </c>
      <c r="R388" s="28">
        <f>Master_Table[[#This Row],[△Expense  Variance]]/Master_Table[[#This Row],[Expense Budget]]</f>
        <v>0</v>
      </c>
      <c r="S388" s="28">
        <f>Master_Table[[#This Row],[Net Profit Variance]]/Master_Table[[#This Row],[Budget Net Profit]]</f>
        <v>0.57733333333333337</v>
      </c>
      <c r="T388" s="28">
        <f>Master_Table[[#This Row],[Actual Net Profit]]/Master_Table[[#This Row],[Actual Sales]]</f>
        <v>0.82554082344731328</v>
      </c>
      <c r="U388" s="28" t="str">
        <f>_xlfn.TEXTJOIN(" - ", TRUE, Master_Table[[#This Row],[Product]], Master_Table[[#This Row],[Branch]])</f>
        <v>Pineapple - Warri</v>
      </c>
    </row>
    <row r="389" spans="1:21" ht="14.4" x14ac:dyDescent="0.3">
      <c r="A389" s="2">
        <v>388</v>
      </c>
      <c r="B389" s="2">
        <f t="shared" si="57"/>
        <v>106</v>
      </c>
      <c r="C389" s="1" t="str">
        <f>VLOOKUP(B389,Products!A:C,2,FALSE)</f>
        <v>Pineapple</v>
      </c>
      <c r="D389" s="1" t="str">
        <f t="shared" si="58"/>
        <v>Warri</v>
      </c>
      <c r="E389" s="4" t="str">
        <f>_xlfn.XLOOKUP(D389,'Sales Manager'!$A$2:$A$6,'Sales Manager'!$B$2:$B$6,"")</f>
        <v>Gbenga Adesanya</v>
      </c>
      <c r="F389" s="3">
        <f t="shared" si="59"/>
        <v>4</v>
      </c>
      <c r="G389" s="1" t="str">
        <f t="shared" si="59"/>
        <v>Apr</v>
      </c>
      <c r="H389" s="11">
        <v>3000</v>
      </c>
      <c r="I389" s="11">
        <v>7475</v>
      </c>
      <c r="J389" s="11" cm="1">
        <f t="array" ref="J389">_xlfn.XLOOKUP(C389&amp;D389&amp;F389,Expense!$C$2:$C$601&amp;Expense!$D$2:$D$601&amp;Expense!$E$2:$E$601,Expense!$G$2:$G$601,"")</f>
        <v>750</v>
      </c>
      <c r="K389" s="11" cm="1">
        <f t="array" ref="K389">_xlfn.XLOOKUP(C389&amp;D389&amp;F389,Expense!$C$2:$C$601&amp;Expense!$D$2:$D$601&amp;Expense!$E$2:$E$601,Expense!$H$2:$H$601,"")</f>
        <v>150</v>
      </c>
      <c r="L389" s="14">
        <f t="shared" si="62"/>
        <v>4475</v>
      </c>
      <c r="M389" s="14">
        <f>Master_Table[[#This Row],[Expense Budget]]-Master_Table[[#This Row],[Actual Expense]]</f>
        <v>600</v>
      </c>
      <c r="N389" s="16">
        <f t="shared" si="63"/>
        <v>7325</v>
      </c>
      <c r="O389" s="29">
        <f t="shared" si="60"/>
        <v>2250</v>
      </c>
      <c r="P389" s="16">
        <f t="shared" si="61"/>
        <v>5075</v>
      </c>
      <c r="Q389" s="28">
        <f>Master_Table[[#This Row],[△Sales Variance]]/Master_Table[[#This Row],[Sales Budget]]</f>
        <v>1.4916666666666667</v>
      </c>
      <c r="R389" s="28">
        <f>Master_Table[[#This Row],[△Expense  Variance]]/Master_Table[[#This Row],[Expense Budget]]</f>
        <v>0.8</v>
      </c>
      <c r="S389" s="28">
        <f>Master_Table[[#This Row],[Net Profit Variance]]/Master_Table[[#This Row],[Budget Net Profit]]</f>
        <v>2.2555555555555555</v>
      </c>
      <c r="T389" s="28">
        <f>Master_Table[[#This Row],[Actual Net Profit]]/Master_Table[[#This Row],[Actual Sales]]</f>
        <v>0.97993311036789299</v>
      </c>
      <c r="U389" s="28" t="str">
        <f>_xlfn.TEXTJOIN(" - ", TRUE, Master_Table[[#This Row],[Product]], Master_Table[[#This Row],[Branch]])</f>
        <v>Pineapple - Warri</v>
      </c>
    </row>
    <row r="390" spans="1:21" ht="14.4" x14ac:dyDescent="0.3">
      <c r="A390" s="2">
        <v>389</v>
      </c>
      <c r="B390" s="2">
        <f t="shared" si="57"/>
        <v>106</v>
      </c>
      <c r="C390" s="1" t="str">
        <f>VLOOKUP(B390,Products!A:C,2,FALSE)</f>
        <v>Pineapple</v>
      </c>
      <c r="D390" s="1" t="str">
        <f t="shared" si="58"/>
        <v>Warri</v>
      </c>
      <c r="E390" s="4" t="str">
        <f>_xlfn.XLOOKUP(D390,'Sales Manager'!$A$2:$A$6,'Sales Manager'!$B$2:$B$6,"")</f>
        <v>Gbenga Adesanya</v>
      </c>
      <c r="F390" s="3">
        <f t="shared" si="59"/>
        <v>5</v>
      </c>
      <c r="G390" s="1" t="str">
        <f t="shared" si="59"/>
        <v>May</v>
      </c>
      <c r="H390" s="11">
        <v>6000</v>
      </c>
      <c r="I390" s="11">
        <v>5524</v>
      </c>
      <c r="J390" s="11" cm="1">
        <f t="array" ref="J390">_xlfn.XLOOKUP(C390&amp;D390&amp;F390,Expense!$C$2:$C$601&amp;Expense!$D$2:$D$601&amp;Expense!$E$2:$E$601,Expense!$G$2:$G$601,"")</f>
        <v>1200</v>
      </c>
      <c r="K390" s="11" cm="1">
        <f t="array" ref="K390">_xlfn.XLOOKUP(C390&amp;D390&amp;F390,Expense!$C$2:$C$601&amp;Expense!$D$2:$D$601&amp;Expense!$E$2:$E$601,Expense!$H$2:$H$601,"")</f>
        <v>900</v>
      </c>
      <c r="L390" s="14">
        <f t="shared" si="62"/>
        <v>-476</v>
      </c>
      <c r="M390" s="14">
        <f>Master_Table[[#This Row],[Expense Budget]]-Master_Table[[#This Row],[Actual Expense]]</f>
        <v>300</v>
      </c>
      <c r="N390" s="16">
        <f t="shared" si="63"/>
        <v>4624</v>
      </c>
      <c r="O390" s="29">
        <f t="shared" si="60"/>
        <v>4800</v>
      </c>
      <c r="P390" s="16">
        <f t="shared" si="61"/>
        <v>-176</v>
      </c>
      <c r="Q390" s="28">
        <f>Master_Table[[#This Row],[△Sales Variance]]/Master_Table[[#This Row],[Sales Budget]]</f>
        <v>-7.9333333333333339E-2</v>
      </c>
      <c r="R390" s="28">
        <f>Master_Table[[#This Row],[△Expense  Variance]]/Master_Table[[#This Row],[Expense Budget]]</f>
        <v>0.25</v>
      </c>
      <c r="S390" s="28">
        <f>Master_Table[[#This Row],[Net Profit Variance]]/Master_Table[[#This Row],[Budget Net Profit]]</f>
        <v>-3.6666666666666667E-2</v>
      </c>
      <c r="T390" s="28">
        <f>Master_Table[[#This Row],[Actual Net Profit]]/Master_Table[[#This Row],[Actual Sales]]</f>
        <v>0.83707458363504705</v>
      </c>
      <c r="U390" s="28" t="str">
        <f>_xlfn.TEXTJOIN(" - ", TRUE, Master_Table[[#This Row],[Product]], Master_Table[[#This Row],[Branch]])</f>
        <v>Pineapple - Warri</v>
      </c>
    </row>
    <row r="391" spans="1:21" ht="14.4" x14ac:dyDescent="0.3">
      <c r="A391" s="2">
        <v>390</v>
      </c>
      <c r="B391" s="2">
        <f t="shared" si="57"/>
        <v>106</v>
      </c>
      <c r="C391" s="1" t="str">
        <f>VLOOKUP(B391,Products!A:C,2,FALSE)</f>
        <v>Pineapple</v>
      </c>
      <c r="D391" s="1" t="str">
        <f t="shared" si="58"/>
        <v>Warri</v>
      </c>
      <c r="E391" s="4" t="str">
        <f>_xlfn.XLOOKUP(D391,'Sales Manager'!$A$2:$A$6,'Sales Manager'!$B$2:$B$6,"")</f>
        <v>Gbenga Adesanya</v>
      </c>
      <c r="F391" s="3">
        <f t="shared" si="59"/>
        <v>6</v>
      </c>
      <c r="G391" s="1" t="str">
        <f t="shared" si="59"/>
        <v>Jun</v>
      </c>
      <c r="H391" s="11">
        <v>3000</v>
      </c>
      <c r="I391" s="11">
        <v>7551</v>
      </c>
      <c r="J391" s="11" cm="1">
        <f t="array" ref="J391">_xlfn.XLOOKUP(C391&amp;D391&amp;F391,Expense!$C$2:$C$601&amp;Expense!$D$2:$D$601&amp;Expense!$E$2:$E$601,Expense!$G$2:$G$601,"")</f>
        <v>600</v>
      </c>
      <c r="K391" s="11" cm="1">
        <f t="array" ref="K391">_xlfn.XLOOKUP(C391&amp;D391&amp;F391,Expense!$C$2:$C$601&amp;Expense!$D$2:$D$601&amp;Expense!$E$2:$E$601,Expense!$H$2:$H$601,"")</f>
        <v>500</v>
      </c>
      <c r="L391" s="14">
        <f t="shared" si="62"/>
        <v>4551</v>
      </c>
      <c r="M391" s="14">
        <f>Master_Table[[#This Row],[Expense Budget]]-Master_Table[[#This Row],[Actual Expense]]</f>
        <v>100</v>
      </c>
      <c r="N391" s="16">
        <f t="shared" si="63"/>
        <v>7051</v>
      </c>
      <c r="O391" s="29">
        <f t="shared" si="60"/>
        <v>2400</v>
      </c>
      <c r="P391" s="16">
        <f t="shared" si="61"/>
        <v>4651</v>
      </c>
      <c r="Q391" s="28">
        <f>Master_Table[[#This Row],[△Sales Variance]]/Master_Table[[#This Row],[Sales Budget]]</f>
        <v>1.5169999999999999</v>
      </c>
      <c r="R391" s="28">
        <f>Master_Table[[#This Row],[△Expense  Variance]]/Master_Table[[#This Row],[Expense Budget]]</f>
        <v>0.16666666666666666</v>
      </c>
      <c r="S391" s="28">
        <f>Master_Table[[#This Row],[Net Profit Variance]]/Master_Table[[#This Row],[Budget Net Profit]]</f>
        <v>1.9379166666666667</v>
      </c>
      <c r="T391" s="28">
        <f>Master_Table[[#This Row],[Actual Net Profit]]/Master_Table[[#This Row],[Actual Sales]]</f>
        <v>0.93378360482055356</v>
      </c>
      <c r="U391" s="28" t="str">
        <f>_xlfn.TEXTJOIN(" - ", TRUE, Master_Table[[#This Row],[Product]], Master_Table[[#This Row],[Branch]])</f>
        <v>Pineapple - Warri</v>
      </c>
    </row>
    <row r="392" spans="1:21" ht="14.4" x14ac:dyDescent="0.3">
      <c r="A392" s="2">
        <v>391</v>
      </c>
      <c r="B392" s="2">
        <f t="shared" si="57"/>
        <v>106</v>
      </c>
      <c r="C392" s="1" t="str">
        <f>VLOOKUP(B392,Products!A:C,2,FALSE)</f>
        <v>Pineapple</v>
      </c>
      <c r="D392" s="1" t="str">
        <f t="shared" si="58"/>
        <v>Warri</v>
      </c>
      <c r="E392" s="4" t="str">
        <f>_xlfn.XLOOKUP(D392,'Sales Manager'!$A$2:$A$6,'Sales Manager'!$B$2:$B$6,"")</f>
        <v>Gbenga Adesanya</v>
      </c>
      <c r="F392" s="3">
        <f t="shared" si="59"/>
        <v>7</v>
      </c>
      <c r="G392" s="1" t="str">
        <f t="shared" si="59"/>
        <v>Jul</v>
      </c>
      <c r="H392" s="11">
        <v>6000</v>
      </c>
      <c r="I392" s="11">
        <v>6126</v>
      </c>
      <c r="J392" s="11" cm="1">
        <f t="array" ref="J392">_xlfn.XLOOKUP(C392&amp;D392&amp;F392,Expense!$C$2:$C$601&amp;Expense!$D$2:$D$601&amp;Expense!$E$2:$E$601,Expense!$G$2:$G$601,"")</f>
        <v>2000</v>
      </c>
      <c r="K392" s="11" cm="1">
        <f t="array" ref="K392">_xlfn.XLOOKUP(C392&amp;D392&amp;F392,Expense!$C$2:$C$601&amp;Expense!$D$2:$D$601&amp;Expense!$E$2:$E$601,Expense!$H$2:$H$601,"")</f>
        <v>1900</v>
      </c>
      <c r="L392" s="14">
        <f t="shared" si="62"/>
        <v>126</v>
      </c>
      <c r="M392" s="14">
        <f>Master_Table[[#This Row],[Expense Budget]]-Master_Table[[#This Row],[Actual Expense]]</f>
        <v>100</v>
      </c>
      <c r="N392" s="16">
        <f t="shared" si="63"/>
        <v>4226</v>
      </c>
      <c r="O392" s="29">
        <f t="shared" si="60"/>
        <v>4000</v>
      </c>
      <c r="P392" s="16">
        <f t="shared" si="61"/>
        <v>226</v>
      </c>
      <c r="Q392" s="28">
        <f>Master_Table[[#This Row],[△Sales Variance]]/Master_Table[[#This Row],[Sales Budget]]</f>
        <v>2.1000000000000001E-2</v>
      </c>
      <c r="R392" s="28">
        <f>Master_Table[[#This Row],[△Expense  Variance]]/Master_Table[[#This Row],[Expense Budget]]</f>
        <v>0.05</v>
      </c>
      <c r="S392" s="28">
        <f>Master_Table[[#This Row],[Net Profit Variance]]/Master_Table[[#This Row],[Budget Net Profit]]</f>
        <v>5.6500000000000002E-2</v>
      </c>
      <c r="T392" s="28">
        <f>Master_Table[[#This Row],[Actual Net Profit]]/Master_Table[[#This Row],[Actual Sales]]</f>
        <v>0.68984655566438136</v>
      </c>
      <c r="U392" s="28" t="str">
        <f>_xlfn.TEXTJOIN(" - ", TRUE, Master_Table[[#This Row],[Product]], Master_Table[[#This Row],[Branch]])</f>
        <v>Pineapple - Warri</v>
      </c>
    </row>
    <row r="393" spans="1:21" ht="14.4" x14ac:dyDescent="0.3">
      <c r="A393" s="2">
        <v>392</v>
      </c>
      <c r="B393" s="2">
        <f t="shared" si="57"/>
        <v>106</v>
      </c>
      <c r="C393" s="1" t="str">
        <f>VLOOKUP(B393,Products!A:C,2,FALSE)</f>
        <v>Pineapple</v>
      </c>
      <c r="D393" s="1" t="str">
        <f t="shared" si="58"/>
        <v>Warri</v>
      </c>
      <c r="E393" s="4" t="str">
        <f>_xlfn.XLOOKUP(D393,'Sales Manager'!$A$2:$A$6,'Sales Manager'!$B$2:$B$6,"")</f>
        <v>Gbenga Adesanya</v>
      </c>
      <c r="F393" s="3">
        <f t="shared" si="59"/>
        <v>8</v>
      </c>
      <c r="G393" s="1" t="str">
        <f t="shared" si="59"/>
        <v>Aug</v>
      </c>
      <c r="H393" s="11">
        <v>6000</v>
      </c>
      <c r="I393" s="11">
        <v>3411</v>
      </c>
      <c r="J393" s="11" cm="1">
        <f t="array" ref="J393">_xlfn.XLOOKUP(C393&amp;D393&amp;F393,Expense!$C$2:$C$601&amp;Expense!$D$2:$D$601&amp;Expense!$E$2:$E$601,Expense!$G$2:$G$601,"")</f>
        <v>1500</v>
      </c>
      <c r="K393" s="11" cm="1">
        <f t="array" ref="K393">_xlfn.XLOOKUP(C393&amp;D393&amp;F393,Expense!$C$2:$C$601&amp;Expense!$D$2:$D$601&amp;Expense!$E$2:$E$601,Expense!$H$2:$H$601,"")</f>
        <v>1200</v>
      </c>
      <c r="L393" s="14">
        <f t="shared" si="62"/>
        <v>-2589</v>
      </c>
      <c r="M393" s="14">
        <f>Master_Table[[#This Row],[Expense Budget]]-Master_Table[[#This Row],[Actual Expense]]</f>
        <v>300</v>
      </c>
      <c r="N393" s="16">
        <f t="shared" si="63"/>
        <v>2211</v>
      </c>
      <c r="O393" s="29">
        <f t="shared" si="60"/>
        <v>4500</v>
      </c>
      <c r="P393" s="16">
        <f t="shared" si="61"/>
        <v>-2289</v>
      </c>
      <c r="Q393" s="28">
        <f>Master_Table[[#This Row],[△Sales Variance]]/Master_Table[[#This Row],[Sales Budget]]</f>
        <v>-0.43149999999999999</v>
      </c>
      <c r="R393" s="28">
        <f>Master_Table[[#This Row],[△Expense  Variance]]/Master_Table[[#This Row],[Expense Budget]]</f>
        <v>0.2</v>
      </c>
      <c r="S393" s="28">
        <f>Master_Table[[#This Row],[Net Profit Variance]]/Master_Table[[#This Row],[Budget Net Profit]]</f>
        <v>-0.50866666666666671</v>
      </c>
      <c r="T393" s="28">
        <f>Master_Table[[#This Row],[Actual Net Profit]]/Master_Table[[#This Row],[Actual Sales]]</f>
        <v>0.64819700967458227</v>
      </c>
      <c r="U393" s="28" t="str">
        <f>_xlfn.TEXTJOIN(" - ", TRUE, Master_Table[[#This Row],[Product]], Master_Table[[#This Row],[Branch]])</f>
        <v>Pineapple - Warri</v>
      </c>
    </row>
    <row r="394" spans="1:21" ht="14.4" x14ac:dyDescent="0.3">
      <c r="A394" s="2">
        <v>393</v>
      </c>
      <c r="B394" s="2">
        <f t="shared" si="57"/>
        <v>106</v>
      </c>
      <c r="C394" s="1" t="str">
        <f>VLOOKUP(B394,Products!A:C,2,FALSE)</f>
        <v>Pineapple</v>
      </c>
      <c r="D394" s="1" t="str">
        <f t="shared" si="58"/>
        <v>Warri</v>
      </c>
      <c r="E394" s="4" t="str">
        <f>_xlfn.XLOOKUP(D394,'Sales Manager'!$A$2:$A$6,'Sales Manager'!$B$2:$B$6,"")</f>
        <v>Gbenga Adesanya</v>
      </c>
      <c r="F394" s="3">
        <f t="shared" si="59"/>
        <v>9</v>
      </c>
      <c r="G394" s="1" t="str">
        <f t="shared" si="59"/>
        <v>Sept</v>
      </c>
      <c r="H394" s="11">
        <v>3000</v>
      </c>
      <c r="I394" s="11">
        <v>7564</v>
      </c>
      <c r="J394" s="11" cm="1">
        <f t="array" ref="J394">_xlfn.XLOOKUP(C394&amp;D394&amp;F394,Expense!$C$2:$C$601&amp;Expense!$D$2:$D$601&amp;Expense!$E$2:$E$601,Expense!$G$2:$G$601,"")</f>
        <v>750</v>
      </c>
      <c r="K394" s="11" cm="1">
        <f t="array" ref="K394">_xlfn.XLOOKUP(C394&amp;D394&amp;F394,Expense!$C$2:$C$601&amp;Expense!$D$2:$D$601&amp;Expense!$E$2:$E$601,Expense!$H$2:$H$601,"")</f>
        <v>750</v>
      </c>
      <c r="L394" s="14">
        <f t="shared" si="62"/>
        <v>4564</v>
      </c>
      <c r="M394" s="14">
        <f>Master_Table[[#This Row],[Expense Budget]]-Master_Table[[#This Row],[Actual Expense]]</f>
        <v>0</v>
      </c>
      <c r="N394" s="16">
        <f t="shared" si="63"/>
        <v>6814</v>
      </c>
      <c r="O394" s="29">
        <f t="shared" si="60"/>
        <v>2250</v>
      </c>
      <c r="P394" s="16">
        <f t="shared" si="61"/>
        <v>4564</v>
      </c>
      <c r="Q394" s="28">
        <f>Master_Table[[#This Row],[△Sales Variance]]/Master_Table[[#This Row],[Sales Budget]]</f>
        <v>1.5213333333333334</v>
      </c>
      <c r="R394" s="28">
        <f>Master_Table[[#This Row],[△Expense  Variance]]/Master_Table[[#This Row],[Expense Budget]]</f>
        <v>0</v>
      </c>
      <c r="S394" s="28">
        <f>Master_Table[[#This Row],[Net Profit Variance]]/Master_Table[[#This Row],[Budget Net Profit]]</f>
        <v>2.0284444444444443</v>
      </c>
      <c r="T394" s="28">
        <f>Master_Table[[#This Row],[Actual Net Profit]]/Master_Table[[#This Row],[Actual Sales]]</f>
        <v>0.90084611316763619</v>
      </c>
      <c r="U394" s="28" t="str">
        <f>_xlfn.TEXTJOIN(" - ", TRUE, Master_Table[[#This Row],[Product]], Master_Table[[#This Row],[Branch]])</f>
        <v>Pineapple - Warri</v>
      </c>
    </row>
    <row r="395" spans="1:21" ht="14.4" x14ac:dyDescent="0.3">
      <c r="A395" s="2">
        <v>394</v>
      </c>
      <c r="B395" s="2">
        <f t="shared" si="57"/>
        <v>106</v>
      </c>
      <c r="C395" s="1" t="str">
        <f>VLOOKUP(B395,Products!A:C,2,FALSE)</f>
        <v>Pineapple</v>
      </c>
      <c r="D395" s="1" t="str">
        <f t="shared" si="58"/>
        <v>Warri</v>
      </c>
      <c r="E395" s="4" t="str">
        <f>_xlfn.XLOOKUP(D395,'Sales Manager'!$A$2:$A$6,'Sales Manager'!$B$2:$B$6,"")</f>
        <v>Gbenga Adesanya</v>
      </c>
      <c r="F395" s="3">
        <f t="shared" si="59"/>
        <v>10</v>
      </c>
      <c r="G395" s="1" t="str">
        <f t="shared" si="59"/>
        <v>Oct</v>
      </c>
      <c r="H395" s="11">
        <v>1000</v>
      </c>
      <c r="I395" s="11">
        <v>5425</v>
      </c>
      <c r="J395" s="11" cm="1">
        <f t="array" ref="J395">_xlfn.XLOOKUP(C395&amp;D395&amp;F395,Expense!$C$2:$C$601&amp;Expense!$D$2:$D$601&amp;Expense!$E$2:$E$601,Expense!$G$2:$G$601,"")</f>
        <v>500</v>
      </c>
      <c r="K395" s="11" cm="1">
        <f t="array" ref="K395">_xlfn.XLOOKUP(C395&amp;D395&amp;F395,Expense!$C$2:$C$601&amp;Expense!$D$2:$D$601&amp;Expense!$E$2:$E$601,Expense!$H$2:$H$601,"")</f>
        <v>100</v>
      </c>
      <c r="L395" s="14">
        <f t="shared" si="62"/>
        <v>4425</v>
      </c>
      <c r="M395" s="14">
        <f>Master_Table[[#This Row],[Expense Budget]]-Master_Table[[#This Row],[Actual Expense]]</f>
        <v>400</v>
      </c>
      <c r="N395" s="16">
        <f t="shared" si="63"/>
        <v>5325</v>
      </c>
      <c r="O395" s="29">
        <f t="shared" si="60"/>
        <v>500</v>
      </c>
      <c r="P395" s="16">
        <f t="shared" si="61"/>
        <v>4825</v>
      </c>
      <c r="Q395" s="28">
        <f>Master_Table[[#This Row],[△Sales Variance]]/Master_Table[[#This Row],[Sales Budget]]</f>
        <v>4.4249999999999998</v>
      </c>
      <c r="R395" s="28">
        <f>Master_Table[[#This Row],[△Expense  Variance]]/Master_Table[[#This Row],[Expense Budget]]</f>
        <v>0.8</v>
      </c>
      <c r="S395" s="28">
        <f>Master_Table[[#This Row],[Net Profit Variance]]/Master_Table[[#This Row],[Budget Net Profit]]</f>
        <v>9.65</v>
      </c>
      <c r="T395" s="28">
        <f>Master_Table[[#This Row],[Actual Net Profit]]/Master_Table[[#This Row],[Actual Sales]]</f>
        <v>0.98156682027649766</v>
      </c>
      <c r="U395" s="28" t="str">
        <f>_xlfn.TEXTJOIN(" - ", TRUE, Master_Table[[#This Row],[Product]], Master_Table[[#This Row],[Branch]])</f>
        <v>Pineapple - Warri</v>
      </c>
    </row>
    <row r="396" spans="1:21" ht="14.4" x14ac:dyDescent="0.3">
      <c r="A396" s="2">
        <v>395</v>
      </c>
      <c r="B396" s="2">
        <f t="shared" si="57"/>
        <v>106</v>
      </c>
      <c r="C396" s="1" t="str">
        <f>VLOOKUP(B396,Products!A:C,2,FALSE)</f>
        <v>Pineapple</v>
      </c>
      <c r="D396" s="1" t="str">
        <f t="shared" si="58"/>
        <v>Warri</v>
      </c>
      <c r="E396" s="4" t="str">
        <f>_xlfn.XLOOKUP(D396,'Sales Manager'!$A$2:$A$6,'Sales Manager'!$B$2:$B$6,"")</f>
        <v>Gbenga Adesanya</v>
      </c>
      <c r="F396" s="3">
        <f t="shared" si="59"/>
        <v>11</v>
      </c>
      <c r="G396" s="1" t="str">
        <f t="shared" si="59"/>
        <v>Nov</v>
      </c>
      <c r="H396" s="11">
        <v>2000</v>
      </c>
      <c r="I396" s="11">
        <v>4672</v>
      </c>
      <c r="J396" s="11" cm="1">
        <f t="array" ref="J396">_xlfn.XLOOKUP(C396&amp;D396&amp;F396,Expense!$C$2:$C$601&amp;Expense!$D$2:$D$601&amp;Expense!$E$2:$E$601,Expense!$G$2:$G$601,"")</f>
        <v>400</v>
      </c>
      <c r="K396" s="11" cm="1">
        <f t="array" ref="K396">_xlfn.XLOOKUP(C396&amp;D396&amp;F396,Expense!$C$2:$C$601&amp;Expense!$D$2:$D$601&amp;Expense!$E$2:$E$601,Expense!$H$2:$H$601,"")</f>
        <v>200</v>
      </c>
      <c r="L396" s="14">
        <f t="shared" si="62"/>
        <v>2672</v>
      </c>
      <c r="M396" s="14">
        <f>Master_Table[[#This Row],[Expense Budget]]-Master_Table[[#This Row],[Actual Expense]]</f>
        <v>200</v>
      </c>
      <c r="N396" s="16">
        <f t="shared" si="63"/>
        <v>4472</v>
      </c>
      <c r="O396" s="29">
        <f t="shared" si="60"/>
        <v>1600</v>
      </c>
      <c r="P396" s="16">
        <f t="shared" si="61"/>
        <v>2872</v>
      </c>
      <c r="Q396" s="28">
        <f>Master_Table[[#This Row],[△Sales Variance]]/Master_Table[[#This Row],[Sales Budget]]</f>
        <v>1.3360000000000001</v>
      </c>
      <c r="R396" s="28">
        <f>Master_Table[[#This Row],[△Expense  Variance]]/Master_Table[[#This Row],[Expense Budget]]</f>
        <v>0.5</v>
      </c>
      <c r="S396" s="28">
        <f>Master_Table[[#This Row],[Net Profit Variance]]/Master_Table[[#This Row],[Budget Net Profit]]</f>
        <v>1.7949999999999999</v>
      </c>
      <c r="T396" s="28">
        <f>Master_Table[[#This Row],[Actual Net Profit]]/Master_Table[[#This Row],[Actual Sales]]</f>
        <v>0.9571917808219178</v>
      </c>
      <c r="U396" s="28" t="str">
        <f>_xlfn.TEXTJOIN(" - ", TRUE, Master_Table[[#This Row],[Product]], Master_Table[[#This Row],[Branch]])</f>
        <v>Pineapple - Warri</v>
      </c>
    </row>
    <row r="397" spans="1:21" ht="14.4" x14ac:dyDescent="0.3">
      <c r="A397" s="2">
        <v>396</v>
      </c>
      <c r="B397" s="2">
        <f t="shared" si="57"/>
        <v>106</v>
      </c>
      <c r="C397" s="1" t="str">
        <f>VLOOKUP(B397,Products!A:C,2,FALSE)</f>
        <v>Pineapple</v>
      </c>
      <c r="D397" s="1" t="str">
        <f t="shared" si="58"/>
        <v>Warri</v>
      </c>
      <c r="E397" s="4" t="str">
        <f>_xlfn.XLOOKUP(D397,'Sales Manager'!$A$2:$A$6,'Sales Manager'!$B$2:$B$6,"")</f>
        <v>Gbenga Adesanya</v>
      </c>
      <c r="F397" s="3">
        <f t="shared" si="59"/>
        <v>12</v>
      </c>
      <c r="G397" s="1" t="str">
        <f t="shared" si="59"/>
        <v>Dec</v>
      </c>
      <c r="H397" s="11">
        <v>1000</v>
      </c>
      <c r="I397" s="11">
        <v>3968</v>
      </c>
      <c r="J397" s="11" cm="1">
        <f t="array" ref="J397">_xlfn.XLOOKUP(C397&amp;D397&amp;F397,Expense!$C$2:$C$601&amp;Expense!$D$2:$D$601&amp;Expense!$E$2:$E$601,Expense!$G$2:$G$601,"")</f>
        <v>333.33333333333331</v>
      </c>
      <c r="K397" s="11" cm="1">
        <f t="array" ref="K397">_xlfn.XLOOKUP(C397&amp;D397&amp;F397,Expense!$C$2:$C$601&amp;Expense!$D$2:$D$601&amp;Expense!$E$2:$E$601,Expense!$H$2:$H$601,"")</f>
        <v>266.66666666666669</v>
      </c>
      <c r="L397" s="14">
        <f t="shared" si="62"/>
        <v>2968</v>
      </c>
      <c r="M397" s="14">
        <f>Master_Table[[#This Row],[Expense Budget]]-Master_Table[[#This Row],[Actual Expense]]</f>
        <v>66.666666666666629</v>
      </c>
      <c r="N397" s="16">
        <f t="shared" si="63"/>
        <v>3701.3333333333335</v>
      </c>
      <c r="O397" s="29">
        <f t="shared" si="60"/>
        <v>666.66666666666674</v>
      </c>
      <c r="P397" s="16">
        <f t="shared" si="61"/>
        <v>3034.666666666667</v>
      </c>
      <c r="Q397" s="28">
        <f>Master_Table[[#This Row],[△Sales Variance]]/Master_Table[[#This Row],[Sales Budget]]</f>
        <v>2.968</v>
      </c>
      <c r="R397" s="28">
        <f>Master_Table[[#This Row],[△Expense  Variance]]/Master_Table[[#This Row],[Expense Budget]]</f>
        <v>0.1999999999999999</v>
      </c>
      <c r="S397" s="28">
        <f>Master_Table[[#This Row],[Net Profit Variance]]/Master_Table[[#This Row],[Budget Net Profit]]</f>
        <v>4.5519999999999996</v>
      </c>
      <c r="T397" s="28">
        <f>Master_Table[[#This Row],[Actual Net Profit]]/Master_Table[[#This Row],[Actual Sales]]</f>
        <v>0.93279569892473124</v>
      </c>
      <c r="U397" s="28" t="str">
        <f>_xlfn.TEXTJOIN(" - ", TRUE, Master_Table[[#This Row],[Product]], Master_Table[[#This Row],[Branch]])</f>
        <v>Pineapple - Warri</v>
      </c>
    </row>
    <row r="398" spans="1:21" ht="14.4" x14ac:dyDescent="0.3">
      <c r="A398" s="2">
        <v>397</v>
      </c>
      <c r="B398" s="2">
        <f t="shared" si="57"/>
        <v>106</v>
      </c>
      <c r="C398" s="1" t="str">
        <f>VLOOKUP(B398,Products!A:C,2,FALSE)</f>
        <v>Pineapple</v>
      </c>
      <c r="D398" s="1" t="str">
        <f t="shared" si="58"/>
        <v>Kaduna</v>
      </c>
      <c r="E398" s="4" t="str">
        <f>_xlfn.XLOOKUP(D398,'Sales Manager'!$A$2:$A$6,'Sales Manager'!$B$2:$B$6,"")</f>
        <v>Musa Garba</v>
      </c>
      <c r="F398" s="3">
        <f t="shared" si="59"/>
        <v>1</v>
      </c>
      <c r="G398" s="1" t="str">
        <f t="shared" si="59"/>
        <v>Jan</v>
      </c>
      <c r="H398" s="11">
        <v>4000</v>
      </c>
      <c r="I398" s="11">
        <v>5312</v>
      </c>
      <c r="J398" s="11" cm="1">
        <f t="array" ref="J398">_xlfn.XLOOKUP(C398&amp;D398&amp;F398,Expense!$C$2:$C$601&amp;Expense!$D$2:$D$601&amp;Expense!$E$2:$E$601,Expense!$G$2:$G$601,"")</f>
        <v>1333.3333333333333</v>
      </c>
      <c r="K398" s="11" cm="1">
        <f t="array" ref="K398">_xlfn.XLOOKUP(C398&amp;D398&amp;F398,Expense!$C$2:$C$601&amp;Expense!$D$2:$D$601&amp;Expense!$E$2:$E$601,Expense!$H$2:$H$601,"")</f>
        <v>1033.3333333333333</v>
      </c>
      <c r="L398" s="14">
        <f t="shared" si="62"/>
        <v>1312</v>
      </c>
      <c r="M398" s="14">
        <f>Master_Table[[#This Row],[Expense Budget]]-Master_Table[[#This Row],[Actual Expense]]</f>
        <v>300</v>
      </c>
      <c r="N398" s="16">
        <f t="shared" si="63"/>
        <v>4278.666666666667</v>
      </c>
      <c r="O398" s="29">
        <f t="shared" si="60"/>
        <v>2666.666666666667</v>
      </c>
      <c r="P398" s="16">
        <f t="shared" si="61"/>
        <v>1612</v>
      </c>
      <c r="Q398" s="28">
        <f>Master_Table[[#This Row],[△Sales Variance]]/Master_Table[[#This Row],[Sales Budget]]</f>
        <v>0.32800000000000001</v>
      </c>
      <c r="R398" s="28">
        <f>Master_Table[[#This Row],[△Expense  Variance]]/Master_Table[[#This Row],[Expense Budget]]</f>
        <v>0.22500000000000001</v>
      </c>
      <c r="S398" s="28">
        <f>Master_Table[[#This Row],[Net Profit Variance]]/Master_Table[[#This Row],[Budget Net Profit]]</f>
        <v>0.60449999999999993</v>
      </c>
      <c r="T398" s="28">
        <f>Master_Table[[#This Row],[Actual Net Profit]]/Master_Table[[#This Row],[Actual Sales]]</f>
        <v>0.80547188755020083</v>
      </c>
      <c r="U398" s="28" t="str">
        <f>_xlfn.TEXTJOIN(" - ", TRUE, Master_Table[[#This Row],[Product]], Master_Table[[#This Row],[Branch]])</f>
        <v>Pineapple - Kaduna</v>
      </c>
    </row>
    <row r="399" spans="1:21" ht="14.4" x14ac:dyDescent="0.3">
      <c r="A399" s="2">
        <v>398</v>
      </c>
      <c r="B399" s="2">
        <f t="shared" si="57"/>
        <v>106</v>
      </c>
      <c r="C399" s="1" t="str">
        <f>VLOOKUP(B399,Products!A:C,2,FALSE)</f>
        <v>Pineapple</v>
      </c>
      <c r="D399" s="1" t="str">
        <f t="shared" si="58"/>
        <v>Kaduna</v>
      </c>
      <c r="E399" s="4" t="str">
        <f>_xlfn.XLOOKUP(D399,'Sales Manager'!$A$2:$A$6,'Sales Manager'!$B$2:$B$6,"")</f>
        <v>Musa Garba</v>
      </c>
      <c r="F399" s="3">
        <f t="shared" ref="F399:G414" si="64">F387</f>
        <v>2</v>
      </c>
      <c r="G399" s="1" t="str">
        <f t="shared" si="64"/>
        <v>Feb</v>
      </c>
      <c r="H399" s="11">
        <v>9000</v>
      </c>
      <c r="I399" s="11">
        <v>5435</v>
      </c>
      <c r="J399" s="11" cm="1">
        <f t="array" ref="J399">_xlfn.XLOOKUP(C399&amp;D399&amp;F399,Expense!$C$2:$C$601&amp;Expense!$D$2:$D$601&amp;Expense!$E$2:$E$601,Expense!$G$2:$G$601,"")</f>
        <v>1800</v>
      </c>
      <c r="K399" s="11" cm="1">
        <f t="array" ref="K399">_xlfn.XLOOKUP(C399&amp;D399&amp;F399,Expense!$C$2:$C$601&amp;Expense!$D$2:$D$601&amp;Expense!$E$2:$E$601,Expense!$H$2:$H$601,"")</f>
        <v>1800</v>
      </c>
      <c r="L399" s="14">
        <f t="shared" si="62"/>
        <v>-3565</v>
      </c>
      <c r="M399" s="14">
        <f>Master_Table[[#This Row],[Expense Budget]]-Master_Table[[#This Row],[Actual Expense]]</f>
        <v>0</v>
      </c>
      <c r="N399" s="16">
        <f t="shared" si="63"/>
        <v>3635</v>
      </c>
      <c r="O399" s="29">
        <f t="shared" si="60"/>
        <v>7200</v>
      </c>
      <c r="P399" s="16">
        <f t="shared" si="61"/>
        <v>-3565</v>
      </c>
      <c r="Q399" s="28">
        <f>Master_Table[[#This Row],[△Sales Variance]]/Master_Table[[#This Row],[Sales Budget]]</f>
        <v>-0.39611111111111114</v>
      </c>
      <c r="R399" s="28">
        <f>Master_Table[[#This Row],[△Expense  Variance]]/Master_Table[[#This Row],[Expense Budget]]</f>
        <v>0</v>
      </c>
      <c r="S399" s="28">
        <f>Master_Table[[#This Row],[Net Profit Variance]]/Master_Table[[#This Row],[Budget Net Profit]]</f>
        <v>-0.49513888888888891</v>
      </c>
      <c r="T399" s="28">
        <f>Master_Table[[#This Row],[Actual Net Profit]]/Master_Table[[#This Row],[Actual Sales]]</f>
        <v>0.66881324747010118</v>
      </c>
      <c r="U399" s="28" t="str">
        <f>_xlfn.TEXTJOIN(" - ", TRUE, Master_Table[[#This Row],[Product]], Master_Table[[#This Row],[Branch]])</f>
        <v>Pineapple - Kaduna</v>
      </c>
    </row>
    <row r="400" spans="1:21" ht="14.4" x14ac:dyDescent="0.3">
      <c r="A400" s="2">
        <v>399</v>
      </c>
      <c r="B400" s="2">
        <f t="shared" si="57"/>
        <v>106</v>
      </c>
      <c r="C400" s="1" t="str">
        <f>VLOOKUP(B400,Products!A:C,2,FALSE)</f>
        <v>Pineapple</v>
      </c>
      <c r="D400" s="1" t="str">
        <f t="shared" si="58"/>
        <v>Kaduna</v>
      </c>
      <c r="E400" s="4" t="str">
        <f>_xlfn.XLOOKUP(D400,'Sales Manager'!$A$2:$A$6,'Sales Manager'!$B$2:$B$6,"")</f>
        <v>Musa Garba</v>
      </c>
      <c r="F400" s="3">
        <f t="shared" si="64"/>
        <v>3</v>
      </c>
      <c r="G400" s="1" t="str">
        <f t="shared" si="64"/>
        <v>Mar</v>
      </c>
      <c r="H400" s="11">
        <v>9000</v>
      </c>
      <c r="I400" s="11">
        <v>2135</v>
      </c>
      <c r="J400" s="11" cm="1">
        <f t="array" ref="J400">_xlfn.XLOOKUP(C400&amp;D400&amp;F400,Expense!$C$2:$C$601&amp;Expense!$D$2:$D$601&amp;Expense!$E$2:$E$601,Expense!$G$2:$G$601,"")</f>
        <v>4500</v>
      </c>
      <c r="K400" s="11" cm="1">
        <f t="array" ref="K400">_xlfn.XLOOKUP(C400&amp;D400&amp;F400,Expense!$C$2:$C$601&amp;Expense!$D$2:$D$601&amp;Expense!$E$2:$E$601,Expense!$H$2:$H$601,"")</f>
        <v>3800</v>
      </c>
      <c r="L400" s="14">
        <f t="shared" si="62"/>
        <v>-6865</v>
      </c>
      <c r="M400" s="14">
        <f>Master_Table[[#This Row],[Expense Budget]]-Master_Table[[#This Row],[Actual Expense]]</f>
        <v>700</v>
      </c>
      <c r="N400" s="16">
        <f t="shared" si="63"/>
        <v>-1665</v>
      </c>
      <c r="O400" s="29">
        <f t="shared" si="60"/>
        <v>4500</v>
      </c>
      <c r="P400" s="16">
        <f t="shared" si="61"/>
        <v>-6165</v>
      </c>
      <c r="Q400" s="28">
        <f>Master_Table[[#This Row],[△Sales Variance]]/Master_Table[[#This Row],[Sales Budget]]</f>
        <v>-0.76277777777777778</v>
      </c>
      <c r="R400" s="28">
        <f>Master_Table[[#This Row],[△Expense  Variance]]/Master_Table[[#This Row],[Expense Budget]]</f>
        <v>0.15555555555555556</v>
      </c>
      <c r="S400" s="28">
        <f>Master_Table[[#This Row],[Net Profit Variance]]/Master_Table[[#This Row],[Budget Net Profit]]</f>
        <v>-1.37</v>
      </c>
      <c r="T400" s="28">
        <f>Master_Table[[#This Row],[Actual Net Profit]]/Master_Table[[#This Row],[Actual Sales]]</f>
        <v>-0.77985948477751754</v>
      </c>
      <c r="U400" s="28" t="str">
        <f>_xlfn.TEXTJOIN(" - ", TRUE, Master_Table[[#This Row],[Product]], Master_Table[[#This Row],[Branch]])</f>
        <v>Pineapple - Kaduna</v>
      </c>
    </row>
    <row r="401" spans="1:21" ht="14.4" x14ac:dyDescent="0.3">
      <c r="A401" s="2">
        <v>400</v>
      </c>
      <c r="B401" s="2">
        <f t="shared" si="57"/>
        <v>106</v>
      </c>
      <c r="C401" s="1" t="str">
        <f>VLOOKUP(B401,Products!A:C,2,FALSE)</f>
        <v>Pineapple</v>
      </c>
      <c r="D401" s="1" t="str">
        <f t="shared" si="58"/>
        <v>Kaduna</v>
      </c>
      <c r="E401" s="4" t="str">
        <f>_xlfn.XLOOKUP(D401,'Sales Manager'!$A$2:$A$6,'Sales Manager'!$B$2:$B$6,"")</f>
        <v>Musa Garba</v>
      </c>
      <c r="F401" s="3">
        <f t="shared" si="64"/>
        <v>4</v>
      </c>
      <c r="G401" s="1" t="str">
        <f t="shared" si="64"/>
        <v>Apr</v>
      </c>
      <c r="H401" s="11">
        <v>3000</v>
      </c>
      <c r="I401" s="11">
        <v>4849</v>
      </c>
      <c r="J401" s="11" cm="1">
        <f t="array" ref="J401">_xlfn.XLOOKUP(C401&amp;D401&amp;F401,Expense!$C$2:$C$601&amp;Expense!$D$2:$D$601&amp;Expense!$E$2:$E$601,Expense!$G$2:$G$601,"")</f>
        <v>1500</v>
      </c>
      <c r="K401" s="11" cm="1">
        <f t="array" ref="K401">_xlfn.XLOOKUP(C401&amp;D401&amp;F401,Expense!$C$2:$C$601&amp;Expense!$D$2:$D$601&amp;Expense!$E$2:$E$601,Expense!$H$2:$H$601,"")</f>
        <v>1100</v>
      </c>
      <c r="L401" s="14">
        <f t="shared" si="62"/>
        <v>1849</v>
      </c>
      <c r="M401" s="14">
        <f>Master_Table[[#This Row],[Expense Budget]]-Master_Table[[#This Row],[Actual Expense]]</f>
        <v>400</v>
      </c>
      <c r="N401" s="16">
        <f t="shared" si="63"/>
        <v>3749</v>
      </c>
      <c r="O401" s="29">
        <f t="shared" si="60"/>
        <v>1500</v>
      </c>
      <c r="P401" s="16">
        <f t="shared" si="61"/>
        <v>2249</v>
      </c>
      <c r="Q401" s="28">
        <f>Master_Table[[#This Row],[△Sales Variance]]/Master_Table[[#This Row],[Sales Budget]]</f>
        <v>0.61633333333333329</v>
      </c>
      <c r="R401" s="28">
        <f>Master_Table[[#This Row],[△Expense  Variance]]/Master_Table[[#This Row],[Expense Budget]]</f>
        <v>0.26666666666666666</v>
      </c>
      <c r="S401" s="28">
        <f>Master_Table[[#This Row],[Net Profit Variance]]/Master_Table[[#This Row],[Budget Net Profit]]</f>
        <v>1.4993333333333334</v>
      </c>
      <c r="T401" s="28">
        <f>Master_Table[[#This Row],[Actual Net Profit]]/Master_Table[[#This Row],[Actual Sales]]</f>
        <v>0.77314910290781602</v>
      </c>
      <c r="U401" s="28" t="str">
        <f>_xlfn.TEXTJOIN(" - ", TRUE, Master_Table[[#This Row],[Product]], Master_Table[[#This Row],[Branch]])</f>
        <v>Pineapple - Kaduna</v>
      </c>
    </row>
    <row r="402" spans="1:21" ht="14.4" x14ac:dyDescent="0.3">
      <c r="A402" s="2">
        <v>401</v>
      </c>
      <c r="B402" s="2">
        <f t="shared" si="57"/>
        <v>106</v>
      </c>
      <c r="C402" s="1" t="str">
        <f>VLOOKUP(B402,Products!A:C,2,FALSE)</f>
        <v>Pineapple</v>
      </c>
      <c r="D402" s="1" t="str">
        <f t="shared" si="58"/>
        <v>Kaduna</v>
      </c>
      <c r="E402" s="4" t="str">
        <f>_xlfn.XLOOKUP(D402,'Sales Manager'!$A$2:$A$6,'Sales Manager'!$B$2:$B$6,"")</f>
        <v>Musa Garba</v>
      </c>
      <c r="F402" s="3">
        <f t="shared" si="64"/>
        <v>5</v>
      </c>
      <c r="G402" s="1" t="str">
        <f t="shared" si="64"/>
        <v>May</v>
      </c>
      <c r="H402" s="11">
        <v>1000</v>
      </c>
      <c r="I402" s="11">
        <v>4212</v>
      </c>
      <c r="J402" s="11" cm="1">
        <f t="array" ref="J402">_xlfn.XLOOKUP(C402&amp;D402&amp;F402,Expense!$C$2:$C$601&amp;Expense!$D$2:$D$601&amp;Expense!$E$2:$E$601,Expense!$G$2:$G$601,"")</f>
        <v>333.33333333333331</v>
      </c>
      <c r="K402" s="11" cm="1">
        <f t="array" ref="K402">_xlfn.XLOOKUP(C402&amp;D402&amp;F402,Expense!$C$2:$C$601&amp;Expense!$D$2:$D$601&amp;Expense!$E$2:$E$601,Expense!$H$2:$H$601,"")</f>
        <v>266.66666666666669</v>
      </c>
      <c r="L402" s="14">
        <f t="shared" si="62"/>
        <v>3212</v>
      </c>
      <c r="M402" s="14">
        <f>Master_Table[[#This Row],[Expense Budget]]-Master_Table[[#This Row],[Actual Expense]]</f>
        <v>66.666666666666629</v>
      </c>
      <c r="N402" s="16">
        <f t="shared" si="63"/>
        <v>3945.3333333333335</v>
      </c>
      <c r="O402" s="29">
        <f t="shared" si="60"/>
        <v>666.66666666666674</v>
      </c>
      <c r="P402" s="16">
        <f t="shared" si="61"/>
        <v>3278.666666666667</v>
      </c>
      <c r="Q402" s="28">
        <f>Master_Table[[#This Row],[△Sales Variance]]/Master_Table[[#This Row],[Sales Budget]]</f>
        <v>3.2120000000000002</v>
      </c>
      <c r="R402" s="28">
        <f>Master_Table[[#This Row],[△Expense  Variance]]/Master_Table[[#This Row],[Expense Budget]]</f>
        <v>0.1999999999999999</v>
      </c>
      <c r="S402" s="28">
        <f>Master_Table[[#This Row],[Net Profit Variance]]/Master_Table[[#This Row],[Budget Net Profit]]</f>
        <v>4.9180000000000001</v>
      </c>
      <c r="T402" s="28">
        <f>Master_Table[[#This Row],[Actual Net Profit]]/Master_Table[[#This Row],[Actual Sales]]</f>
        <v>0.93668882557771449</v>
      </c>
      <c r="U402" s="28" t="str">
        <f>_xlfn.TEXTJOIN(" - ", TRUE, Master_Table[[#This Row],[Product]], Master_Table[[#This Row],[Branch]])</f>
        <v>Pineapple - Kaduna</v>
      </c>
    </row>
    <row r="403" spans="1:21" ht="14.4" x14ac:dyDescent="0.3">
      <c r="A403" s="2">
        <v>402</v>
      </c>
      <c r="B403" s="2">
        <f t="shared" si="57"/>
        <v>106</v>
      </c>
      <c r="C403" s="1" t="str">
        <f>VLOOKUP(B403,Products!A:C,2,FALSE)</f>
        <v>Pineapple</v>
      </c>
      <c r="D403" s="1" t="str">
        <f t="shared" si="58"/>
        <v>Kaduna</v>
      </c>
      <c r="E403" s="4" t="str">
        <f>_xlfn.XLOOKUP(D403,'Sales Manager'!$A$2:$A$6,'Sales Manager'!$B$2:$B$6,"")</f>
        <v>Musa Garba</v>
      </c>
      <c r="F403" s="3">
        <f t="shared" si="64"/>
        <v>6</v>
      </c>
      <c r="G403" s="1" t="str">
        <f t="shared" si="64"/>
        <v>Jun</v>
      </c>
      <c r="H403" s="11">
        <v>1000</v>
      </c>
      <c r="I403" s="11">
        <v>3545</v>
      </c>
      <c r="J403" s="11" cm="1">
        <f t="array" ref="J403">_xlfn.XLOOKUP(C403&amp;D403&amp;F403,Expense!$C$2:$C$601&amp;Expense!$D$2:$D$601&amp;Expense!$E$2:$E$601,Expense!$G$2:$G$601,"")</f>
        <v>500</v>
      </c>
      <c r="K403" s="11" cm="1">
        <f t="array" ref="K403">_xlfn.XLOOKUP(C403&amp;D403&amp;F403,Expense!$C$2:$C$601&amp;Expense!$D$2:$D$601&amp;Expense!$E$2:$E$601,Expense!$H$2:$H$601,"")</f>
        <v>200</v>
      </c>
      <c r="L403" s="14">
        <f t="shared" si="62"/>
        <v>2545</v>
      </c>
      <c r="M403" s="14">
        <f>Master_Table[[#This Row],[Expense Budget]]-Master_Table[[#This Row],[Actual Expense]]</f>
        <v>300</v>
      </c>
      <c r="N403" s="16">
        <f t="shared" si="63"/>
        <v>3345</v>
      </c>
      <c r="O403" s="29">
        <f t="shared" si="60"/>
        <v>500</v>
      </c>
      <c r="P403" s="16">
        <f t="shared" si="61"/>
        <v>2845</v>
      </c>
      <c r="Q403" s="28">
        <f>Master_Table[[#This Row],[△Sales Variance]]/Master_Table[[#This Row],[Sales Budget]]</f>
        <v>2.5449999999999999</v>
      </c>
      <c r="R403" s="28">
        <f>Master_Table[[#This Row],[△Expense  Variance]]/Master_Table[[#This Row],[Expense Budget]]</f>
        <v>0.6</v>
      </c>
      <c r="S403" s="28">
        <f>Master_Table[[#This Row],[Net Profit Variance]]/Master_Table[[#This Row],[Budget Net Profit]]</f>
        <v>5.69</v>
      </c>
      <c r="T403" s="28">
        <f>Master_Table[[#This Row],[Actual Net Profit]]/Master_Table[[#This Row],[Actual Sales]]</f>
        <v>0.94358251057827924</v>
      </c>
      <c r="U403" s="28" t="str">
        <f>_xlfn.TEXTJOIN(" - ", TRUE, Master_Table[[#This Row],[Product]], Master_Table[[#This Row],[Branch]])</f>
        <v>Pineapple - Kaduna</v>
      </c>
    </row>
    <row r="404" spans="1:21" ht="14.4" x14ac:dyDescent="0.3">
      <c r="A404" s="2">
        <v>403</v>
      </c>
      <c r="B404" s="2">
        <f t="shared" si="57"/>
        <v>106</v>
      </c>
      <c r="C404" s="1" t="str">
        <f>VLOOKUP(B404,Products!A:C,2,FALSE)</f>
        <v>Pineapple</v>
      </c>
      <c r="D404" s="1" t="str">
        <f t="shared" si="58"/>
        <v>Kaduna</v>
      </c>
      <c r="E404" s="4" t="str">
        <f>_xlfn.XLOOKUP(D404,'Sales Manager'!$A$2:$A$6,'Sales Manager'!$B$2:$B$6,"")</f>
        <v>Musa Garba</v>
      </c>
      <c r="F404" s="3">
        <f t="shared" si="64"/>
        <v>7</v>
      </c>
      <c r="G404" s="1" t="str">
        <f t="shared" si="64"/>
        <v>Jul</v>
      </c>
      <c r="H404" s="11">
        <v>3000</v>
      </c>
      <c r="I404" s="11">
        <v>4177</v>
      </c>
      <c r="J404" s="11" cm="1">
        <f t="array" ref="J404">_xlfn.XLOOKUP(C404&amp;D404&amp;F404,Expense!$C$2:$C$601&amp;Expense!$D$2:$D$601&amp;Expense!$E$2:$E$601,Expense!$G$2:$G$601,"")</f>
        <v>1000</v>
      </c>
      <c r="K404" s="11" cm="1">
        <f t="array" ref="K404">_xlfn.XLOOKUP(C404&amp;D404&amp;F404,Expense!$C$2:$C$601&amp;Expense!$D$2:$D$601&amp;Expense!$E$2:$E$601,Expense!$H$2:$H$601,"")</f>
        <v>700</v>
      </c>
      <c r="L404" s="14">
        <f t="shared" si="62"/>
        <v>1177</v>
      </c>
      <c r="M404" s="14">
        <f>Master_Table[[#This Row],[Expense Budget]]-Master_Table[[#This Row],[Actual Expense]]</f>
        <v>300</v>
      </c>
      <c r="N404" s="16">
        <f t="shared" si="63"/>
        <v>3477</v>
      </c>
      <c r="O404" s="29">
        <f t="shared" si="60"/>
        <v>2000</v>
      </c>
      <c r="P404" s="16">
        <f t="shared" si="61"/>
        <v>1477</v>
      </c>
      <c r="Q404" s="28">
        <f>Master_Table[[#This Row],[△Sales Variance]]/Master_Table[[#This Row],[Sales Budget]]</f>
        <v>0.39233333333333331</v>
      </c>
      <c r="R404" s="28">
        <f>Master_Table[[#This Row],[△Expense  Variance]]/Master_Table[[#This Row],[Expense Budget]]</f>
        <v>0.3</v>
      </c>
      <c r="S404" s="28">
        <f>Master_Table[[#This Row],[Net Profit Variance]]/Master_Table[[#This Row],[Budget Net Profit]]</f>
        <v>0.73850000000000005</v>
      </c>
      <c r="T404" s="28">
        <f>Master_Table[[#This Row],[Actual Net Profit]]/Master_Table[[#This Row],[Actual Sales]]</f>
        <v>0.83241560928896341</v>
      </c>
      <c r="U404" s="28" t="str">
        <f>_xlfn.TEXTJOIN(" - ", TRUE, Master_Table[[#This Row],[Product]], Master_Table[[#This Row],[Branch]])</f>
        <v>Pineapple - Kaduna</v>
      </c>
    </row>
    <row r="405" spans="1:21" ht="14.4" x14ac:dyDescent="0.3">
      <c r="A405" s="2">
        <v>404</v>
      </c>
      <c r="B405" s="2">
        <f t="shared" si="57"/>
        <v>106</v>
      </c>
      <c r="C405" s="1" t="str">
        <f>VLOOKUP(B405,Products!A:C,2,FALSE)</f>
        <v>Pineapple</v>
      </c>
      <c r="D405" s="1" t="str">
        <f t="shared" si="58"/>
        <v>Kaduna</v>
      </c>
      <c r="E405" s="4" t="str">
        <f>_xlfn.XLOOKUP(D405,'Sales Manager'!$A$2:$A$6,'Sales Manager'!$B$2:$B$6,"")</f>
        <v>Musa Garba</v>
      </c>
      <c r="F405" s="3">
        <f t="shared" si="64"/>
        <v>8</v>
      </c>
      <c r="G405" s="1" t="str">
        <f t="shared" si="64"/>
        <v>Aug</v>
      </c>
      <c r="H405" s="11">
        <v>7000</v>
      </c>
      <c r="I405" s="11">
        <v>4334</v>
      </c>
      <c r="J405" s="11" cm="1">
        <f t="array" ref="J405">_xlfn.XLOOKUP(C405&amp;D405&amp;F405,Expense!$C$2:$C$601&amp;Expense!$D$2:$D$601&amp;Expense!$E$2:$E$601,Expense!$G$2:$G$601,"")</f>
        <v>2333.3333333333335</v>
      </c>
      <c r="K405" s="11" cm="1">
        <f t="array" ref="K405">_xlfn.XLOOKUP(C405&amp;D405&amp;F405,Expense!$C$2:$C$601&amp;Expense!$D$2:$D$601&amp;Expense!$E$2:$E$601,Expense!$H$2:$H$601,"")</f>
        <v>1933.3333333333335</v>
      </c>
      <c r="L405" s="14">
        <f t="shared" si="62"/>
        <v>-2666</v>
      </c>
      <c r="M405" s="14">
        <f>Master_Table[[#This Row],[Expense Budget]]-Master_Table[[#This Row],[Actual Expense]]</f>
        <v>400</v>
      </c>
      <c r="N405" s="16">
        <f t="shared" si="63"/>
        <v>2400.6666666666665</v>
      </c>
      <c r="O405" s="29">
        <f t="shared" si="60"/>
        <v>4666.6666666666661</v>
      </c>
      <c r="P405" s="16">
        <f t="shared" si="61"/>
        <v>-2265.9999999999995</v>
      </c>
      <c r="Q405" s="28">
        <f>Master_Table[[#This Row],[△Sales Variance]]/Master_Table[[#This Row],[Sales Budget]]</f>
        <v>-0.38085714285714284</v>
      </c>
      <c r="R405" s="28">
        <f>Master_Table[[#This Row],[△Expense  Variance]]/Master_Table[[#This Row],[Expense Budget]]</f>
        <v>0.17142857142857143</v>
      </c>
      <c r="S405" s="28">
        <f>Master_Table[[#This Row],[Net Profit Variance]]/Master_Table[[#This Row],[Budget Net Profit]]</f>
        <v>-0.48557142857142854</v>
      </c>
      <c r="T405" s="28">
        <f>Master_Table[[#This Row],[Actual Net Profit]]/Master_Table[[#This Row],[Actual Sales]]</f>
        <v>0.55391478234117819</v>
      </c>
      <c r="U405" s="28" t="str">
        <f>_xlfn.TEXTJOIN(" - ", TRUE, Master_Table[[#This Row],[Product]], Master_Table[[#This Row],[Branch]])</f>
        <v>Pineapple - Kaduna</v>
      </c>
    </row>
    <row r="406" spans="1:21" ht="14.4" x14ac:dyDescent="0.3">
      <c r="A406" s="2">
        <v>405</v>
      </c>
      <c r="B406" s="2">
        <f t="shared" si="57"/>
        <v>106</v>
      </c>
      <c r="C406" s="1" t="str">
        <f>VLOOKUP(B406,Products!A:C,2,FALSE)</f>
        <v>Pineapple</v>
      </c>
      <c r="D406" s="1" t="str">
        <f t="shared" si="58"/>
        <v>Kaduna</v>
      </c>
      <c r="E406" s="4" t="str">
        <f>_xlfn.XLOOKUP(D406,'Sales Manager'!$A$2:$A$6,'Sales Manager'!$B$2:$B$6,"")</f>
        <v>Musa Garba</v>
      </c>
      <c r="F406" s="3">
        <f t="shared" si="64"/>
        <v>9</v>
      </c>
      <c r="G406" s="1" t="str">
        <f t="shared" si="64"/>
        <v>Sept</v>
      </c>
      <c r="H406" s="11">
        <v>4000</v>
      </c>
      <c r="I406" s="11">
        <v>11110</v>
      </c>
      <c r="J406" s="11" cm="1">
        <f t="array" ref="J406">_xlfn.XLOOKUP(C406&amp;D406&amp;F406,Expense!$C$2:$C$601&amp;Expense!$D$2:$D$601&amp;Expense!$E$2:$E$601,Expense!$G$2:$G$601,"")</f>
        <v>800</v>
      </c>
      <c r="K406" s="11" cm="1">
        <f t="array" ref="K406">_xlfn.XLOOKUP(C406&amp;D406&amp;F406,Expense!$C$2:$C$601&amp;Expense!$D$2:$D$601&amp;Expense!$E$2:$E$601,Expense!$H$2:$H$601,"")</f>
        <v>500</v>
      </c>
      <c r="L406" s="14">
        <f t="shared" si="62"/>
        <v>7110</v>
      </c>
      <c r="M406" s="14">
        <f>Master_Table[[#This Row],[Expense Budget]]-Master_Table[[#This Row],[Actual Expense]]</f>
        <v>300</v>
      </c>
      <c r="N406" s="16">
        <f t="shared" si="63"/>
        <v>10610</v>
      </c>
      <c r="O406" s="29">
        <f t="shared" si="60"/>
        <v>3200</v>
      </c>
      <c r="P406" s="16">
        <f t="shared" si="61"/>
        <v>7410</v>
      </c>
      <c r="Q406" s="28">
        <f>Master_Table[[#This Row],[△Sales Variance]]/Master_Table[[#This Row],[Sales Budget]]</f>
        <v>1.7775000000000001</v>
      </c>
      <c r="R406" s="28">
        <f>Master_Table[[#This Row],[△Expense  Variance]]/Master_Table[[#This Row],[Expense Budget]]</f>
        <v>0.375</v>
      </c>
      <c r="S406" s="28">
        <f>Master_Table[[#This Row],[Net Profit Variance]]/Master_Table[[#This Row],[Budget Net Profit]]</f>
        <v>2.3156249999999998</v>
      </c>
      <c r="T406" s="28">
        <f>Master_Table[[#This Row],[Actual Net Profit]]/Master_Table[[#This Row],[Actual Sales]]</f>
        <v>0.954995499549955</v>
      </c>
      <c r="U406" s="28" t="str">
        <f>_xlfn.TEXTJOIN(" - ", TRUE, Master_Table[[#This Row],[Product]], Master_Table[[#This Row],[Branch]])</f>
        <v>Pineapple - Kaduna</v>
      </c>
    </row>
    <row r="407" spans="1:21" ht="14.4" x14ac:dyDescent="0.3">
      <c r="A407" s="2">
        <v>406</v>
      </c>
      <c r="B407" s="2">
        <f t="shared" si="57"/>
        <v>106</v>
      </c>
      <c r="C407" s="1" t="str">
        <f>VLOOKUP(B407,Products!A:C,2,FALSE)</f>
        <v>Pineapple</v>
      </c>
      <c r="D407" s="1" t="str">
        <f t="shared" si="58"/>
        <v>Kaduna</v>
      </c>
      <c r="E407" s="4" t="str">
        <f>_xlfn.XLOOKUP(D407,'Sales Manager'!$A$2:$A$6,'Sales Manager'!$B$2:$B$6,"")</f>
        <v>Musa Garba</v>
      </c>
      <c r="F407" s="3">
        <f t="shared" si="64"/>
        <v>10</v>
      </c>
      <c r="G407" s="1" t="str">
        <f t="shared" si="64"/>
        <v>Oct</v>
      </c>
      <c r="H407" s="11">
        <v>5000</v>
      </c>
      <c r="I407" s="11">
        <v>6476</v>
      </c>
      <c r="J407" s="11" cm="1">
        <f t="array" ref="J407">_xlfn.XLOOKUP(C407&amp;D407&amp;F407,Expense!$C$2:$C$601&amp;Expense!$D$2:$D$601&amp;Expense!$E$2:$E$601,Expense!$G$2:$G$601,"")</f>
        <v>2500</v>
      </c>
      <c r="K407" s="11" cm="1">
        <f t="array" ref="K407">_xlfn.XLOOKUP(C407&amp;D407&amp;F407,Expense!$C$2:$C$601&amp;Expense!$D$2:$D$601&amp;Expense!$E$2:$E$601,Expense!$H$2:$H$601,"")</f>
        <v>2000</v>
      </c>
      <c r="L407" s="14">
        <f t="shared" si="62"/>
        <v>1476</v>
      </c>
      <c r="M407" s="14">
        <f>Master_Table[[#This Row],[Expense Budget]]-Master_Table[[#This Row],[Actual Expense]]</f>
        <v>500</v>
      </c>
      <c r="N407" s="16">
        <f t="shared" si="63"/>
        <v>4476</v>
      </c>
      <c r="O407" s="29">
        <f t="shared" si="60"/>
        <v>2500</v>
      </c>
      <c r="P407" s="16">
        <f t="shared" si="61"/>
        <v>1976</v>
      </c>
      <c r="Q407" s="28">
        <f>Master_Table[[#This Row],[△Sales Variance]]/Master_Table[[#This Row],[Sales Budget]]</f>
        <v>0.29520000000000002</v>
      </c>
      <c r="R407" s="28">
        <f>Master_Table[[#This Row],[△Expense  Variance]]/Master_Table[[#This Row],[Expense Budget]]</f>
        <v>0.2</v>
      </c>
      <c r="S407" s="28">
        <f>Master_Table[[#This Row],[Net Profit Variance]]/Master_Table[[#This Row],[Budget Net Profit]]</f>
        <v>0.79039999999999999</v>
      </c>
      <c r="T407" s="28">
        <f>Master_Table[[#This Row],[Actual Net Profit]]/Master_Table[[#This Row],[Actual Sales]]</f>
        <v>0.69116738727609639</v>
      </c>
      <c r="U407" s="28" t="str">
        <f>_xlfn.TEXTJOIN(" - ", TRUE, Master_Table[[#This Row],[Product]], Master_Table[[#This Row],[Branch]])</f>
        <v>Pineapple - Kaduna</v>
      </c>
    </row>
    <row r="408" spans="1:21" ht="14.4" x14ac:dyDescent="0.3">
      <c r="A408" s="2">
        <v>407</v>
      </c>
      <c r="B408" s="2">
        <f t="shared" si="57"/>
        <v>106</v>
      </c>
      <c r="C408" s="1" t="str">
        <f>VLOOKUP(B408,Products!A:C,2,FALSE)</f>
        <v>Pineapple</v>
      </c>
      <c r="D408" s="1" t="str">
        <f t="shared" si="58"/>
        <v>Kaduna</v>
      </c>
      <c r="E408" s="4" t="str">
        <f>_xlfn.XLOOKUP(D408,'Sales Manager'!$A$2:$A$6,'Sales Manager'!$B$2:$B$6,"")</f>
        <v>Musa Garba</v>
      </c>
      <c r="F408" s="3">
        <f t="shared" si="64"/>
        <v>11</v>
      </c>
      <c r="G408" s="1" t="str">
        <f t="shared" si="64"/>
        <v>Nov</v>
      </c>
      <c r="H408" s="11">
        <v>8000</v>
      </c>
      <c r="I408" s="11">
        <v>8553</v>
      </c>
      <c r="J408" s="11" cm="1">
        <f t="array" ref="J408">_xlfn.XLOOKUP(C408&amp;D408&amp;F408,Expense!$C$2:$C$601&amp;Expense!$D$2:$D$601&amp;Expense!$E$2:$E$601,Expense!$G$2:$G$601,"")</f>
        <v>4000</v>
      </c>
      <c r="K408" s="11" cm="1">
        <f t="array" ref="K408">_xlfn.XLOOKUP(C408&amp;D408&amp;F408,Expense!$C$2:$C$601&amp;Expense!$D$2:$D$601&amp;Expense!$E$2:$E$601,Expense!$H$2:$H$601,"")</f>
        <v>3500</v>
      </c>
      <c r="L408" s="14">
        <f t="shared" si="62"/>
        <v>553</v>
      </c>
      <c r="M408" s="14">
        <f>Master_Table[[#This Row],[Expense Budget]]-Master_Table[[#This Row],[Actual Expense]]</f>
        <v>500</v>
      </c>
      <c r="N408" s="16">
        <f t="shared" si="63"/>
        <v>5053</v>
      </c>
      <c r="O408" s="29">
        <f t="shared" si="60"/>
        <v>4000</v>
      </c>
      <c r="P408" s="16">
        <f t="shared" si="61"/>
        <v>1053</v>
      </c>
      <c r="Q408" s="28">
        <f>Master_Table[[#This Row],[△Sales Variance]]/Master_Table[[#This Row],[Sales Budget]]</f>
        <v>6.9125000000000006E-2</v>
      </c>
      <c r="R408" s="28">
        <f>Master_Table[[#This Row],[△Expense  Variance]]/Master_Table[[#This Row],[Expense Budget]]</f>
        <v>0.125</v>
      </c>
      <c r="S408" s="28">
        <f>Master_Table[[#This Row],[Net Profit Variance]]/Master_Table[[#This Row],[Budget Net Profit]]</f>
        <v>0.26324999999999998</v>
      </c>
      <c r="T408" s="28">
        <f>Master_Table[[#This Row],[Actual Net Profit]]/Master_Table[[#This Row],[Actual Sales]]</f>
        <v>0.59078685841225298</v>
      </c>
      <c r="U408" s="28" t="str">
        <f>_xlfn.TEXTJOIN(" - ", TRUE, Master_Table[[#This Row],[Product]], Master_Table[[#This Row],[Branch]])</f>
        <v>Pineapple - Kaduna</v>
      </c>
    </row>
    <row r="409" spans="1:21" ht="14.4" x14ac:dyDescent="0.3">
      <c r="A409" s="2">
        <v>408</v>
      </c>
      <c r="B409" s="2">
        <f t="shared" si="57"/>
        <v>106</v>
      </c>
      <c r="C409" s="1" t="str">
        <f>VLOOKUP(B409,Products!A:C,2,FALSE)</f>
        <v>Pineapple</v>
      </c>
      <c r="D409" s="1" t="str">
        <f t="shared" si="58"/>
        <v>Kaduna</v>
      </c>
      <c r="E409" s="4" t="str">
        <f>_xlfn.XLOOKUP(D409,'Sales Manager'!$A$2:$A$6,'Sales Manager'!$B$2:$B$6,"")</f>
        <v>Musa Garba</v>
      </c>
      <c r="F409" s="3">
        <f t="shared" si="64"/>
        <v>12</v>
      </c>
      <c r="G409" s="1" t="str">
        <f t="shared" si="64"/>
        <v>Dec</v>
      </c>
      <c r="H409" s="11">
        <v>1000</v>
      </c>
      <c r="I409" s="11">
        <v>2432</v>
      </c>
      <c r="J409" s="11" cm="1">
        <f t="array" ref="J409">_xlfn.XLOOKUP(C409&amp;D409&amp;F409,Expense!$C$2:$C$601&amp;Expense!$D$2:$D$601&amp;Expense!$E$2:$E$601,Expense!$G$2:$G$601,"")</f>
        <v>333.33333333333331</v>
      </c>
      <c r="K409" s="11" cm="1">
        <f t="array" ref="K409">_xlfn.XLOOKUP(C409&amp;D409&amp;F409,Expense!$C$2:$C$601&amp;Expense!$D$2:$D$601&amp;Expense!$E$2:$E$601,Expense!$H$2:$H$601,"")</f>
        <v>566.66666666666674</v>
      </c>
      <c r="L409" s="14">
        <f t="shared" si="62"/>
        <v>1432</v>
      </c>
      <c r="M409" s="14">
        <f>Master_Table[[#This Row],[Expense Budget]]-Master_Table[[#This Row],[Actual Expense]]</f>
        <v>-233.33333333333343</v>
      </c>
      <c r="N409" s="16">
        <f t="shared" si="63"/>
        <v>1865.3333333333333</v>
      </c>
      <c r="O409" s="29">
        <f t="shared" si="60"/>
        <v>666.66666666666674</v>
      </c>
      <c r="P409" s="16">
        <f t="shared" si="61"/>
        <v>1198.6666666666665</v>
      </c>
      <c r="Q409" s="28">
        <f>Master_Table[[#This Row],[△Sales Variance]]/Master_Table[[#This Row],[Sales Budget]]</f>
        <v>1.4319999999999999</v>
      </c>
      <c r="R409" s="28">
        <f>Master_Table[[#This Row],[△Expense  Variance]]/Master_Table[[#This Row],[Expense Budget]]</f>
        <v>-0.70000000000000029</v>
      </c>
      <c r="S409" s="28">
        <f>Master_Table[[#This Row],[Net Profit Variance]]/Master_Table[[#This Row],[Budget Net Profit]]</f>
        <v>1.7979999999999996</v>
      </c>
      <c r="T409" s="28">
        <f>Master_Table[[#This Row],[Actual Net Profit]]/Master_Table[[#This Row],[Actual Sales]]</f>
        <v>0.76699561403508765</v>
      </c>
      <c r="U409" s="28" t="str">
        <f>_xlfn.TEXTJOIN(" - ", TRUE, Master_Table[[#This Row],[Product]], Master_Table[[#This Row],[Branch]])</f>
        <v>Pineapple - Kaduna</v>
      </c>
    </row>
    <row r="410" spans="1:21" ht="14.4" x14ac:dyDescent="0.3">
      <c r="A410" s="2">
        <v>409</v>
      </c>
      <c r="B410" s="2">
        <f t="shared" si="57"/>
        <v>106</v>
      </c>
      <c r="C410" s="1" t="str">
        <f>VLOOKUP(B410,Products!A:C,2,FALSE)</f>
        <v>Pineapple</v>
      </c>
      <c r="D410" s="1" t="str">
        <f t="shared" si="58"/>
        <v>Ibadan</v>
      </c>
      <c r="E410" s="4" t="str">
        <f>_xlfn.XLOOKUP(D410,'Sales Manager'!$A$2:$A$6,'Sales Manager'!$B$2:$B$6,"")</f>
        <v>Funmi Adeyemi</v>
      </c>
      <c r="F410" s="3">
        <f t="shared" si="64"/>
        <v>1</v>
      </c>
      <c r="G410" s="1" t="str">
        <f t="shared" si="64"/>
        <v>Jan</v>
      </c>
      <c r="H410" s="11">
        <v>4000</v>
      </c>
      <c r="I410" s="11">
        <v>6537</v>
      </c>
      <c r="J410" s="11" cm="1">
        <f t="array" ref="J410">_xlfn.XLOOKUP(C410&amp;D410&amp;F410,Expense!$C$2:$C$601&amp;Expense!$D$2:$D$601&amp;Expense!$E$2:$E$601,Expense!$G$2:$G$601,"")</f>
        <v>800</v>
      </c>
      <c r="K410" s="11" cm="1">
        <f t="array" ref="K410">_xlfn.XLOOKUP(C410&amp;D410&amp;F410,Expense!$C$2:$C$601&amp;Expense!$D$2:$D$601&amp;Expense!$E$2:$E$601,Expense!$H$2:$H$601,"")</f>
        <v>700</v>
      </c>
      <c r="L410" s="14">
        <f t="shared" si="62"/>
        <v>2537</v>
      </c>
      <c r="M410" s="14">
        <f>Master_Table[[#This Row],[Expense Budget]]-Master_Table[[#This Row],[Actual Expense]]</f>
        <v>100</v>
      </c>
      <c r="N410" s="16">
        <f t="shared" si="63"/>
        <v>5837</v>
      </c>
      <c r="O410" s="29">
        <f t="shared" si="60"/>
        <v>3200</v>
      </c>
      <c r="P410" s="16">
        <f t="shared" si="61"/>
        <v>2637</v>
      </c>
      <c r="Q410" s="28">
        <f>Master_Table[[#This Row],[△Sales Variance]]/Master_Table[[#This Row],[Sales Budget]]</f>
        <v>0.63424999999999998</v>
      </c>
      <c r="R410" s="28">
        <f>Master_Table[[#This Row],[△Expense  Variance]]/Master_Table[[#This Row],[Expense Budget]]</f>
        <v>0.125</v>
      </c>
      <c r="S410" s="28">
        <f>Master_Table[[#This Row],[Net Profit Variance]]/Master_Table[[#This Row],[Budget Net Profit]]</f>
        <v>0.82406250000000003</v>
      </c>
      <c r="T410" s="28">
        <f>Master_Table[[#This Row],[Actual Net Profit]]/Master_Table[[#This Row],[Actual Sales]]</f>
        <v>0.89291724032430775</v>
      </c>
      <c r="U410" s="28" t="str">
        <f>_xlfn.TEXTJOIN(" - ", TRUE, Master_Table[[#This Row],[Product]], Master_Table[[#This Row],[Branch]])</f>
        <v>Pineapple - Ibadan</v>
      </c>
    </row>
    <row r="411" spans="1:21" ht="14.4" x14ac:dyDescent="0.3">
      <c r="A411" s="2">
        <v>410</v>
      </c>
      <c r="B411" s="2">
        <f t="shared" si="57"/>
        <v>106</v>
      </c>
      <c r="C411" s="1" t="str">
        <f>VLOOKUP(B411,Products!A:C,2,FALSE)</f>
        <v>Pineapple</v>
      </c>
      <c r="D411" s="1" t="str">
        <f t="shared" si="58"/>
        <v>Ibadan</v>
      </c>
      <c r="E411" s="4" t="str">
        <f>_xlfn.XLOOKUP(D411,'Sales Manager'!$A$2:$A$6,'Sales Manager'!$B$2:$B$6,"")</f>
        <v>Funmi Adeyemi</v>
      </c>
      <c r="F411" s="3">
        <f t="shared" si="64"/>
        <v>2</v>
      </c>
      <c r="G411" s="1" t="str">
        <f t="shared" si="64"/>
        <v>Feb</v>
      </c>
      <c r="H411" s="11">
        <v>1000</v>
      </c>
      <c r="I411" s="11">
        <v>2570</v>
      </c>
      <c r="J411" s="11" cm="1">
        <f t="array" ref="J411">_xlfn.XLOOKUP(C411&amp;D411&amp;F411,Expense!$C$2:$C$601&amp;Expense!$D$2:$D$601&amp;Expense!$E$2:$E$601,Expense!$G$2:$G$601,"")</f>
        <v>200</v>
      </c>
      <c r="K411" s="11" cm="1">
        <f t="array" ref="K411">_xlfn.XLOOKUP(C411&amp;D411&amp;F411,Expense!$C$2:$C$601&amp;Expense!$D$2:$D$601&amp;Expense!$E$2:$E$601,Expense!$H$2:$H$601,"")</f>
        <v>500</v>
      </c>
      <c r="L411" s="14">
        <f t="shared" si="62"/>
        <v>1570</v>
      </c>
      <c r="M411" s="14">
        <f>Master_Table[[#This Row],[Expense Budget]]-Master_Table[[#This Row],[Actual Expense]]</f>
        <v>-300</v>
      </c>
      <c r="N411" s="16">
        <f t="shared" si="63"/>
        <v>2070</v>
      </c>
      <c r="O411" s="29">
        <f t="shared" si="60"/>
        <v>800</v>
      </c>
      <c r="P411" s="16">
        <f t="shared" si="61"/>
        <v>1270</v>
      </c>
      <c r="Q411" s="28">
        <f>Master_Table[[#This Row],[△Sales Variance]]/Master_Table[[#This Row],[Sales Budget]]</f>
        <v>1.57</v>
      </c>
      <c r="R411" s="28">
        <f>Master_Table[[#This Row],[△Expense  Variance]]/Master_Table[[#This Row],[Expense Budget]]</f>
        <v>-1.5</v>
      </c>
      <c r="S411" s="28">
        <f>Master_Table[[#This Row],[Net Profit Variance]]/Master_Table[[#This Row],[Budget Net Profit]]</f>
        <v>1.5874999999999999</v>
      </c>
      <c r="T411" s="28">
        <f>Master_Table[[#This Row],[Actual Net Profit]]/Master_Table[[#This Row],[Actual Sales]]</f>
        <v>0.80544747081712065</v>
      </c>
      <c r="U411" s="28" t="str">
        <f>_xlfn.TEXTJOIN(" - ", TRUE, Master_Table[[#This Row],[Product]], Master_Table[[#This Row],[Branch]])</f>
        <v>Pineapple - Ibadan</v>
      </c>
    </row>
    <row r="412" spans="1:21" ht="14.4" x14ac:dyDescent="0.3">
      <c r="A412" s="2">
        <v>411</v>
      </c>
      <c r="B412" s="2">
        <f t="shared" si="57"/>
        <v>106</v>
      </c>
      <c r="C412" s="1" t="str">
        <f>VLOOKUP(B412,Products!A:C,2,FALSE)</f>
        <v>Pineapple</v>
      </c>
      <c r="D412" s="1" t="str">
        <f t="shared" si="58"/>
        <v>Ibadan</v>
      </c>
      <c r="E412" s="4" t="str">
        <f>_xlfn.XLOOKUP(D412,'Sales Manager'!$A$2:$A$6,'Sales Manager'!$B$2:$B$6,"")</f>
        <v>Funmi Adeyemi</v>
      </c>
      <c r="F412" s="3">
        <f t="shared" si="64"/>
        <v>3</v>
      </c>
      <c r="G412" s="1" t="str">
        <f t="shared" si="64"/>
        <v>Mar</v>
      </c>
      <c r="H412" s="11">
        <v>4000</v>
      </c>
      <c r="I412" s="11">
        <v>3182</v>
      </c>
      <c r="J412" s="11" cm="1">
        <f t="array" ref="J412">_xlfn.XLOOKUP(C412&amp;D412&amp;F412,Expense!$C$2:$C$601&amp;Expense!$D$2:$D$601&amp;Expense!$E$2:$E$601,Expense!$G$2:$G$601,"")</f>
        <v>1333.3333333333333</v>
      </c>
      <c r="K412" s="11" cm="1">
        <f t="array" ref="K412">_xlfn.XLOOKUP(C412&amp;D412&amp;F412,Expense!$C$2:$C$601&amp;Expense!$D$2:$D$601&amp;Expense!$E$2:$E$601,Expense!$H$2:$H$601,"")</f>
        <v>1333.3333333333333</v>
      </c>
      <c r="L412" s="14">
        <f t="shared" si="62"/>
        <v>-818</v>
      </c>
      <c r="M412" s="14">
        <f>Master_Table[[#This Row],[Expense Budget]]-Master_Table[[#This Row],[Actual Expense]]</f>
        <v>0</v>
      </c>
      <c r="N412" s="16">
        <f t="shared" si="63"/>
        <v>1848.6666666666667</v>
      </c>
      <c r="O412" s="29">
        <f t="shared" si="60"/>
        <v>2666.666666666667</v>
      </c>
      <c r="P412" s="16">
        <f t="shared" si="61"/>
        <v>-818.00000000000023</v>
      </c>
      <c r="Q412" s="28">
        <f>Master_Table[[#This Row],[△Sales Variance]]/Master_Table[[#This Row],[Sales Budget]]</f>
        <v>-0.20449999999999999</v>
      </c>
      <c r="R412" s="28">
        <f>Master_Table[[#This Row],[△Expense  Variance]]/Master_Table[[#This Row],[Expense Budget]]</f>
        <v>0</v>
      </c>
      <c r="S412" s="28">
        <f>Master_Table[[#This Row],[Net Profit Variance]]/Master_Table[[#This Row],[Budget Net Profit]]</f>
        <v>-0.30675000000000008</v>
      </c>
      <c r="T412" s="28">
        <f>Master_Table[[#This Row],[Actual Net Profit]]/Master_Table[[#This Row],[Actual Sales]]</f>
        <v>0.58097632516237174</v>
      </c>
      <c r="U412" s="28" t="str">
        <f>_xlfn.TEXTJOIN(" - ", TRUE, Master_Table[[#This Row],[Product]], Master_Table[[#This Row],[Branch]])</f>
        <v>Pineapple - Ibadan</v>
      </c>
    </row>
    <row r="413" spans="1:21" ht="14.4" x14ac:dyDescent="0.3">
      <c r="A413" s="2">
        <v>412</v>
      </c>
      <c r="B413" s="2">
        <f t="shared" si="57"/>
        <v>106</v>
      </c>
      <c r="C413" s="1" t="str">
        <f>VLOOKUP(B413,Products!A:C,2,FALSE)</f>
        <v>Pineapple</v>
      </c>
      <c r="D413" s="1" t="str">
        <f t="shared" si="58"/>
        <v>Ibadan</v>
      </c>
      <c r="E413" s="4" t="str">
        <f>_xlfn.XLOOKUP(D413,'Sales Manager'!$A$2:$A$6,'Sales Manager'!$B$2:$B$6,"")</f>
        <v>Funmi Adeyemi</v>
      </c>
      <c r="F413" s="3">
        <f t="shared" si="64"/>
        <v>4</v>
      </c>
      <c r="G413" s="1" t="str">
        <f t="shared" si="64"/>
        <v>Apr</v>
      </c>
      <c r="H413" s="11">
        <v>1000</v>
      </c>
      <c r="I413" s="11">
        <v>4414</v>
      </c>
      <c r="J413" s="11" cm="1">
        <f t="array" ref="J413">_xlfn.XLOOKUP(C413&amp;D413&amp;F413,Expense!$C$2:$C$601&amp;Expense!$D$2:$D$601&amp;Expense!$E$2:$E$601,Expense!$G$2:$G$601,"")</f>
        <v>200</v>
      </c>
      <c r="K413" s="11" cm="1">
        <f t="array" ref="K413">_xlfn.XLOOKUP(C413&amp;D413&amp;F413,Expense!$C$2:$C$601&amp;Expense!$D$2:$D$601&amp;Expense!$E$2:$E$601,Expense!$H$2:$H$601,"")</f>
        <v>300</v>
      </c>
      <c r="L413" s="14">
        <f t="shared" si="62"/>
        <v>3414</v>
      </c>
      <c r="M413" s="14">
        <f>Master_Table[[#This Row],[Expense Budget]]-Master_Table[[#This Row],[Actual Expense]]</f>
        <v>-100</v>
      </c>
      <c r="N413" s="16">
        <f t="shared" si="63"/>
        <v>4114</v>
      </c>
      <c r="O413" s="29">
        <f t="shared" si="60"/>
        <v>800</v>
      </c>
      <c r="P413" s="16">
        <f t="shared" si="61"/>
        <v>3314</v>
      </c>
      <c r="Q413" s="28">
        <f>Master_Table[[#This Row],[△Sales Variance]]/Master_Table[[#This Row],[Sales Budget]]</f>
        <v>3.4140000000000001</v>
      </c>
      <c r="R413" s="28">
        <f>Master_Table[[#This Row],[△Expense  Variance]]/Master_Table[[#This Row],[Expense Budget]]</f>
        <v>-0.5</v>
      </c>
      <c r="S413" s="28">
        <f>Master_Table[[#This Row],[Net Profit Variance]]/Master_Table[[#This Row],[Budget Net Profit]]</f>
        <v>4.1425000000000001</v>
      </c>
      <c r="T413" s="28">
        <f>Master_Table[[#This Row],[Actual Net Profit]]/Master_Table[[#This Row],[Actual Sales]]</f>
        <v>0.9320344358858178</v>
      </c>
      <c r="U413" s="28" t="str">
        <f>_xlfn.TEXTJOIN(" - ", TRUE, Master_Table[[#This Row],[Product]], Master_Table[[#This Row],[Branch]])</f>
        <v>Pineapple - Ibadan</v>
      </c>
    </row>
    <row r="414" spans="1:21" ht="14.4" x14ac:dyDescent="0.3">
      <c r="A414" s="2">
        <v>413</v>
      </c>
      <c r="B414" s="2">
        <f t="shared" si="57"/>
        <v>106</v>
      </c>
      <c r="C414" s="1" t="str">
        <f>VLOOKUP(B414,Products!A:C,2,FALSE)</f>
        <v>Pineapple</v>
      </c>
      <c r="D414" s="1" t="str">
        <f t="shared" si="58"/>
        <v>Ibadan</v>
      </c>
      <c r="E414" s="4" t="str">
        <f>_xlfn.XLOOKUP(D414,'Sales Manager'!$A$2:$A$6,'Sales Manager'!$B$2:$B$6,"")</f>
        <v>Funmi Adeyemi</v>
      </c>
      <c r="F414" s="3">
        <f t="shared" si="64"/>
        <v>5</v>
      </c>
      <c r="G414" s="1" t="str">
        <f t="shared" si="64"/>
        <v>May</v>
      </c>
      <c r="H414" s="11">
        <v>2000</v>
      </c>
      <c r="I414" s="11">
        <v>3066</v>
      </c>
      <c r="J414" s="11" cm="1">
        <f t="array" ref="J414">_xlfn.XLOOKUP(C414&amp;D414&amp;F414,Expense!$C$2:$C$601&amp;Expense!$D$2:$D$601&amp;Expense!$E$2:$E$601,Expense!$G$2:$G$601,"")</f>
        <v>400</v>
      </c>
      <c r="K414" s="11" cm="1">
        <f t="array" ref="K414">_xlfn.XLOOKUP(C414&amp;D414&amp;F414,Expense!$C$2:$C$601&amp;Expense!$D$2:$D$601&amp;Expense!$E$2:$E$601,Expense!$H$2:$H$601,"")</f>
        <v>200</v>
      </c>
      <c r="L414" s="14">
        <f t="shared" si="62"/>
        <v>1066</v>
      </c>
      <c r="M414" s="14">
        <f>Master_Table[[#This Row],[Expense Budget]]-Master_Table[[#This Row],[Actual Expense]]</f>
        <v>200</v>
      </c>
      <c r="N414" s="16">
        <f t="shared" si="63"/>
        <v>2866</v>
      </c>
      <c r="O414" s="29">
        <f t="shared" si="60"/>
        <v>1600</v>
      </c>
      <c r="P414" s="16">
        <f t="shared" si="61"/>
        <v>1266</v>
      </c>
      <c r="Q414" s="28">
        <f>Master_Table[[#This Row],[△Sales Variance]]/Master_Table[[#This Row],[Sales Budget]]</f>
        <v>0.53300000000000003</v>
      </c>
      <c r="R414" s="28">
        <f>Master_Table[[#This Row],[△Expense  Variance]]/Master_Table[[#This Row],[Expense Budget]]</f>
        <v>0.5</v>
      </c>
      <c r="S414" s="28">
        <f>Master_Table[[#This Row],[Net Profit Variance]]/Master_Table[[#This Row],[Budget Net Profit]]</f>
        <v>0.79125000000000001</v>
      </c>
      <c r="T414" s="28">
        <f>Master_Table[[#This Row],[Actual Net Profit]]/Master_Table[[#This Row],[Actual Sales]]</f>
        <v>0.93476842791911285</v>
      </c>
      <c r="U414" s="28" t="str">
        <f>_xlfn.TEXTJOIN(" - ", TRUE, Master_Table[[#This Row],[Product]], Master_Table[[#This Row],[Branch]])</f>
        <v>Pineapple - Ibadan</v>
      </c>
    </row>
    <row r="415" spans="1:21" ht="14.4" x14ac:dyDescent="0.3">
      <c r="A415" s="2">
        <v>414</v>
      </c>
      <c r="B415" s="2">
        <f t="shared" si="57"/>
        <v>106</v>
      </c>
      <c r="C415" s="1" t="str">
        <f>VLOOKUP(B415,Products!A:C,2,FALSE)</f>
        <v>Pineapple</v>
      </c>
      <c r="D415" s="1" t="str">
        <f t="shared" si="58"/>
        <v>Ibadan</v>
      </c>
      <c r="E415" s="4" t="str">
        <f>_xlfn.XLOOKUP(D415,'Sales Manager'!$A$2:$A$6,'Sales Manager'!$B$2:$B$6,"")</f>
        <v>Funmi Adeyemi</v>
      </c>
      <c r="F415" s="3">
        <f t="shared" ref="F415:G430" si="65">F403</f>
        <v>6</v>
      </c>
      <c r="G415" s="1" t="str">
        <f t="shared" si="65"/>
        <v>Jun</v>
      </c>
      <c r="H415" s="11">
        <v>7000</v>
      </c>
      <c r="I415" s="11">
        <v>4347</v>
      </c>
      <c r="J415" s="11" cm="1">
        <f t="array" ref="J415">_xlfn.XLOOKUP(C415&amp;D415&amp;F415,Expense!$C$2:$C$601&amp;Expense!$D$2:$D$601&amp;Expense!$E$2:$E$601,Expense!$G$2:$G$601,"")</f>
        <v>1400</v>
      </c>
      <c r="K415" s="11" cm="1">
        <f t="array" ref="K415">_xlfn.XLOOKUP(C415&amp;D415&amp;F415,Expense!$C$2:$C$601&amp;Expense!$D$2:$D$601&amp;Expense!$E$2:$E$601,Expense!$H$2:$H$601,"")</f>
        <v>1100</v>
      </c>
      <c r="L415" s="14">
        <f t="shared" si="62"/>
        <v>-2653</v>
      </c>
      <c r="M415" s="14">
        <f>Master_Table[[#This Row],[Expense Budget]]-Master_Table[[#This Row],[Actual Expense]]</f>
        <v>300</v>
      </c>
      <c r="N415" s="16">
        <f t="shared" si="63"/>
        <v>3247</v>
      </c>
      <c r="O415" s="29">
        <f t="shared" si="60"/>
        <v>5600</v>
      </c>
      <c r="P415" s="16">
        <f t="shared" si="61"/>
        <v>-2353</v>
      </c>
      <c r="Q415" s="28">
        <f>Master_Table[[#This Row],[△Sales Variance]]/Master_Table[[#This Row],[Sales Budget]]</f>
        <v>-0.379</v>
      </c>
      <c r="R415" s="28">
        <f>Master_Table[[#This Row],[△Expense  Variance]]/Master_Table[[#This Row],[Expense Budget]]</f>
        <v>0.21428571428571427</v>
      </c>
      <c r="S415" s="28">
        <f>Master_Table[[#This Row],[Net Profit Variance]]/Master_Table[[#This Row],[Budget Net Profit]]</f>
        <v>-0.4201785714285714</v>
      </c>
      <c r="T415" s="28">
        <f>Master_Table[[#This Row],[Actual Net Profit]]/Master_Table[[#This Row],[Actual Sales]]</f>
        <v>0.74695192086496431</v>
      </c>
      <c r="U415" s="28" t="str">
        <f>_xlfn.TEXTJOIN(" - ", TRUE, Master_Table[[#This Row],[Product]], Master_Table[[#This Row],[Branch]])</f>
        <v>Pineapple - Ibadan</v>
      </c>
    </row>
    <row r="416" spans="1:21" ht="14.4" x14ac:dyDescent="0.3">
      <c r="A416" s="2">
        <v>415</v>
      </c>
      <c r="B416" s="2">
        <f t="shared" si="57"/>
        <v>106</v>
      </c>
      <c r="C416" s="1" t="str">
        <f>VLOOKUP(B416,Products!A:C,2,FALSE)</f>
        <v>Pineapple</v>
      </c>
      <c r="D416" s="1" t="str">
        <f t="shared" si="58"/>
        <v>Ibadan</v>
      </c>
      <c r="E416" s="4" t="str">
        <f>_xlfn.XLOOKUP(D416,'Sales Manager'!$A$2:$A$6,'Sales Manager'!$B$2:$B$6,"")</f>
        <v>Funmi Adeyemi</v>
      </c>
      <c r="F416" s="3">
        <f t="shared" si="65"/>
        <v>7</v>
      </c>
      <c r="G416" s="1" t="str">
        <f t="shared" si="65"/>
        <v>Jul</v>
      </c>
      <c r="H416" s="11">
        <v>7000</v>
      </c>
      <c r="I416" s="11">
        <v>2233</v>
      </c>
      <c r="J416" s="11" cm="1">
        <f t="array" ref="J416">_xlfn.XLOOKUP(C416&amp;D416&amp;F416,Expense!$C$2:$C$601&amp;Expense!$D$2:$D$601&amp;Expense!$E$2:$E$601,Expense!$G$2:$G$601,"")</f>
        <v>3500</v>
      </c>
      <c r="K416" s="11" cm="1">
        <f t="array" ref="K416">_xlfn.XLOOKUP(C416&amp;D416&amp;F416,Expense!$C$2:$C$601&amp;Expense!$D$2:$D$601&amp;Expense!$E$2:$E$601,Expense!$H$2:$H$601,"")</f>
        <v>3500</v>
      </c>
      <c r="L416" s="14">
        <f t="shared" si="62"/>
        <v>-4767</v>
      </c>
      <c r="M416" s="14">
        <f>Master_Table[[#This Row],[Expense Budget]]-Master_Table[[#This Row],[Actual Expense]]</f>
        <v>0</v>
      </c>
      <c r="N416" s="16">
        <f t="shared" si="63"/>
        <v>-1267</v>
      </c>
      <c r="O416" s="29">
        <f t="shared" si="60"/>
        <v>3500</v>
      </c>
      <c r="P416" s="16">
        <f t="shared" si="61"/>
        <v>-4767</v>
      </c>
      <c r="Q416" s="28">
        <f>Master_Table[[#This Row],[△Sales Variance]]/Master_Table[[#This Row],[Sales Budget]]</f>
        <v>-0.68100000000000005</v>
      </c>
      <c r="R416" s="28">
        <f>Master_Table[[#This Row],[△Expense  Variance]]/Master_Table[[#This Row],[Expense Budget]]</f>
        <v>0</v>
      </c>
      <c r="S416" s="28">
        <f>Master_Table[[#This Row],[Net Profit Variance]]/Master_Table[[#This Row],[Budget Net Profit]]</f>
        <v>-1.3620000000000001</v>
      </c>
      <c r="T416" s="28">
        <f>Master_Table[[#This Row],[Actual Net Profit]]/Master_Table[[#This Row],[Actual Sales]]</f>
        <v>-0.56739811912225702</v>
      </c>
      <c r="U416" s="28" t="str">
        <f>_xlfn.TEXTJOIN(" - ", TRUE, Master_Table[[#This Row],[Product]], Master_Table[[#This Row],[Branch]])</f>
        <v>Pineapple - Ibadan</v>
      </c>
    </row>
    <row r="417" spans="1:21" ht="14.4" x14ac:dyDescent="0.3">
      <c r="A417" s="2">
        <v>416</v>
      </c>
      <c r="B417" s="2">
        <f t="shared" si="57"/>
        <v>106</v>
      </c>
      <c r="C417" s="1" t="str">
        <f>VLOOKUP(B417,Products!A:C,2,FALSE)</f>
        <v>Pineapple</v>
      </c>
      <c r="D417" s="1" t="str">
        <f t="shared" si="58"/>
        <v>Ibadan</v>
      </c>
      <c r="E417" s="4" t="str">
        <f>_xlfn.XLOOKUP(D417,'Sales Manager'!$A$2:$A$6,'Sales Manager'!$B$2:$B$6,"")</f>
        <v>Funmi Adeyemi</v>
      </c>
      <c r="F417" s="3">
        <f t="shared" si="65"/>
        <v>8</v>
      </c>
      <c r="G417" s="1" t="str">
        <f t="shared" si="65"/>
        <v>Aug</v>
      </c>
      <c r="H417" s="11">
        <v>6000</v>
      </c>
      <c r="I417" s="11">
        <v>7268</v>
      </c>
      <c r="J417" s="11" cm="1">
        <f t="array" ref="J417">_xlfn.XLOOKUP(C417&amp;D417&amp;F417,Expense!$C$2:$C$601&amp;Expense!$D$2:$D$601&amp;Expense!$E$2:$E$601,Expense!$G$2:$G$601,"")</f>
        <v>2000</v>
      </c>
      <c r="K417" s="11" cm="1">
        <f t="array" ref="K417">_xlfn.XLOOKUP(C417&amp;D417&amp;F417,Expense!$C$2:$C$601&amp;Expense!$D$2:$D$601&amp;Expense!$E$2:$E$601,Expense!$H$2:$H$601,"")</f>
        <v>2000</v>
      </c>
      <c r="L417" s="14">
        <f t="shared" si="62"/>
        <v>1268</v>
      </c>
      <c r="M417" s="14">
        <f>Master_Table[[#This Row],[Expense Budget]]-Master_Table[[#This Row],[Actual Expense]]</f>
        <v>0</v>
      </c>
      <c r="N417" s="16">
        <f t="shared" si="63"/>
        <v>5268</v>
      </c>
      <c r="O417" s="29">
        <f t="shared" si="60"/>
        <v>4000</v>
      </c>
      <c r="P417" s="16">
        <f t="shared" si="61"/>
        <v>1268</v>
      </c>
      <c r="Q417" s="28">
        <f>Master_Table[[#This Row],[△Sales Variance]]/Master_Table[[#This Row],[Sales Budget]]</f>
        <v>0.21133333333333335</v>
      </c>
      <c r="R417" s="28">
        <f>Master_Table[[#This Row],[△Expense  Variance]]/Master_Table[[#This Row],[Expense Budget]]</f>
        <v>0</v>
      </c>
      <c r="S417" s="28">
        <f>Master_Table[[#This Row],[Net Profit Variance]]/Master_Table[[#This Row],[Budget Net Profit]]</f>
        <v>0.317</v>
      </c>
      <c r="T417" s="28">
        <f>Master_Table[[#This Row],[Actual Net Profit]]/Master_Table[[#This Row],[Actual Sales]]</f>
        <v>0.72482113373692902</v>
      </c>
      <c r="U417" s="28" t="str">
        <f>_xlfn.TEXTJOIN(" - ", TRUE, Master_Table[[#This Row],[Product]], Master_Table[[#This Row],[Branch]])</f>
        <v>Pineapple - Ibadan</v>
      </c>
    </row>
    <row r="418" spans="1:21" ht="14.4" x14ac:dyDescent="0.3">
      <c r="A418" s="2">
        <v>417</v>
      </c>
      <c r="B418" s="2">
        <f t="shared" si="57"/>
        <v>106</v>
      </c>
      <c r="C418" s="1" t="str">
        <f>VLOOKUP(B418,Products!A:C,2,FALSE)</f>
        <v>Pineapple</v>
      </c>
      <c r="D418" s="1" t="str">
        <f t="shared" si="58"/>
        <v>Ibadan</v>
      </c>
      <c r="E418" s="4" t="str">
        <f>_xlfn.XLOOKUP(D418,'Sales Manager'!$A$2:$A$6,'Sales Manager'!$B$2:$B$6,"")</f>
        <v>Funmi Adeyemi</v>
      </c>
      <c r="F418" s="3">
        <f t="shared" si="65"/>
        <v>9</v>
      </c>
      <c r="G418" s="1" t="str">
        <f t="shared" si="65"/>
        <v>Sept</v>
      </c>
      <c r="H418" s="11">
        <v>5000</v>
      </c>
      <c r="I418" s="11">
        <v>2879</v>
      </c>
      <c r="J418" s="11" cm="1">
        <f t="array" ref="J418">_xlfn.XLOOKUP(C418&amp;D418&amp;F418,Expense!$C$2:$C$601&amp;Expense!$D$2:$D$601&amp;Expense!$E$2:$E$601,Expense!$G$2:$G$601,"")</f>
        <v>1666.6666666666667</v>
      </c>
      <c r="K418" s="11" cm="1">
        <f t="array" ref="K418">_xlfn.XLOOKUP(C418&amp;D418&amp;F418,Expense!$C$2:$C$601&amp;Expense!$D$2:$D$601&amp;Expense!$E$2:$E$601,Expense!$H$2:$H$601,"")</f>
        <v>1266.6666666666667</v>
      </c>
      <c r="L418" s="14">
        <f t="shared" si="62"/>
        <v>-2121</v>
      </c>
      <c r="M418" s="14">
        <f>Master_Table[[#This Row],[Expense Budget]]-Master_Table[[#This Row],[Actual Expense]]</f>
        <v>400</v>
      </c>
      <c r="N418" s="16">
        <f t="shared" si="63"/>
        <v>1612.3333333333333</v>
      </c>
      <c r="O418" s="29">
        <f t="shared" si="60"/>
        <v>3333.333333333333</v>
      </c>
      <c r="P418" s="16">
        <f t="shared" si="61"/>
        <v>-1720.9999999999998</v>
      </c>
      <c r="Q418" s="28">
        <f>Master_Table[[#This Row],[△Sales Variance]]/Master_Table[[#This Row],[Sales Budget]]</f>
        <v>-0.42420000000000002</v>
      </c>
      <c r="R418" s="28">
        <f>Master_Table[[#This Row],[△Expense  Variance]]/Master_Table[[#This Row],[Expense Budget]]</f>
        <v>0.24</v>
      </c>
      <c r="S418" s="28">
        <f>Master_Table[[#This Row],[Net Profit Variance]]/Master_Table[[#This Row],[Budget Net Profit]]</f>
        <v>-0.51629999999999998</v>
      </c>
      <c r="T418" s="28">
        <f>Master_Table[[#This Row],[Actual Net Profit]]/Master_Table[[#This Row],[Actual Sales]]</f>
        <v>0.56003241866388787</v>
      </c>
      <c r="U418" s="28" t="str">
        <f>_xlfn.TEXTJOIN(" - ", TRUE, Master_Table[[#This Row],[Product]], Master_Table[[#This Row],[Branch]])</f>
        <v>Pineapple - Ibadan</v>
      </c>
    </row>
    <row r="419" spans="1:21" ht="14.4" x14ac:dyDescent="0.3">
      <c r="A419" s="2">
        <v>418</v>
      </c>
      <c r="B419" s="2">
        <f t="shared" si="57"/>
        <v>106</v>
      </c>
      <c r="C419" s="1" t="str">
        <f>VLOOKUP(B419,Products!A:C,2,FALSE)</f>
        <v>Pineapple</v>
      </c>
      <c r="D419" s="1" t="str">
        <f t="shared" si="58"/>
        <v>Ibadan</v>
      </c>
      <c r="E419" s="4" t="str">
        <f>_xlfn.XLOOKUP(D419,'Sales Manager'!$A$2:$A$6,'Sales Manager'!$B$2:$B$6,"")</f>
        <v>Funmi Adeyemi</v>
      </c>
      <c r="F419" s="3">
        <f t="shared" si="65"/>
        <v>10</v>
      </c>
      <c r="G419" s="1" t="str">
        <f t="shared" si="65"/>
        <v>Oct</v>
      </c>
      <c r="H419" s="11">
        <v>3000</v>
      </c>
      <c r="I419" s="11">
        <v>6644</v>
      </c>
      <c r="J419" s="11" cm="1">
        <f t="array" ref="J419">_xlfn.XLOOKUP(C419&amp;D419&amp;F419,Expense!$C$2:$C$601&amp;Expense!$D$2:$D$601&amp;Expense!$E$2:$E$601,Expense!$G$2:$G$601,"")</f>
        <v>750</v>
      </c>
      <c r="K419" s="11" cm="1">
        <f t="array" ref="K419">_xlfn.XLOOKUP(C419&amp;D419&amp;F419,Expense!$C$2:$C$601&amp;Expense!$D$2:$D$601&amp;Expense!$E$2:$E$601,Expense!$H$2:$H$601,"")</f>
        <v>550</v>
      </c>
      <c r="L419" s="14">
        <f t="shared" si="62"/>
        <v>3644</v>
      </c>
      <c r="M419" s="14">
        <f>Master_Table[[#This Row],[Expense Budget]]-Master_Table[[#This Row],[Actual Expense]]</f>
        <v>200</v>
      </c>
      <c r="N419" s="16">
        <f t="shared" si="63"/>
        <v>6094</v>
      </c>
      <c r="O419" s="29">
        <f t="shared" si="60"/>
        <v>2250</v>
      </c>
      <c r="P419" s="16">
        <f t="shared" si="61"/>
        <v>3844</v>
      </c>
      <c r="Q419" s="28">
        <f>Master_Table[[#This Row],[△Sales Variance]]/Master_Table[[#This Row],[Sales Budget]]</f>
        <v>1.2146666666666666</v>
      </c>
      <c r="R419" s="28">
        <f>Master_Table[[#This Row],[△Expense  Variance]]/Master_Table[[#This Row],[Expense Budget]]</f>
        <v>0.26666666666666666</v>
      </c>
      <c r="S419" s="28">
        <f>Master_Table[[#This Row],[Net Profit Variance]]/Master_Table[[#This Row],[Budget Net Profit]]</f>
        <v>1.7084444444444444</v>
      </c>
      <c r="T419" s="28">
        <f>Master_Table[[#This Row],[Actual Net Profit]]/Master_Table[[#This Row],[Actual Sales]]</f>
        <v>0.91721854304635764</v>
      </c>
      <c r="U419" s="28" t="str">
        <f>_xlfn.TEXTJOIN(" - ", TRUE, Master_Table[[#This Row],[Product]], Master_Table[[#This Row],[Branch]])</f>
        <v>Pineapple - Ibadan</v>
      </c>
    </row>
    <row r="420" spans="1:21" ht="14.4" x14ac:dyDescent="0.3">
      <c r="A420" s="2">
        <v>419</v>
      </c>
      <c r="B420" s="2">
        <f t="shared" si="57"/>
        <v>106</v>
      </c>
      <c r="C420" s="1" t="str">
        <f>VLOOKUP(B420,Products!A:C,2,FALSE)</f>
        <v>Pineapple</v>
      </c>
      <c r="D420" s="1" t="str">
        <f t="shared" si="58"/>
        <v>Ibadan</v>
      </c>
      <c r="E420" s="4" t="str">
        <f>_xlfn.XLOOKUP(D420,'Sales Manager'!$A$2:$A$6,'Sales Manager'!$B$2:$B$6,"")</f>
        <v>Funmi Adeyemi</v>
      </c>
      <c r="F420" s="3">
        <f t="shared" si="65"/>
        <v>11</v>
      </c>
      <c r="G420" s="1" t="str">
        <f t="shared" si="65"/>
        <v>Nov</v>
      </c>
      <c r="H420" s="11">
        <v>5000</v>
      </c>
      <c r="I420" s="11">
        <v>7347</v>
      </c>
      <c r="J420" s="11" cm="1">
        <f t="array" ref="J420">_xlfn.XLOOKUP(C420&amp;D420&amp;F420,Expense!$C$2:$C$601&amp;Expense!$D$2:$D$601&amp;Expense!$E$2:$E$601,Expense!$G$2:$G$601,"")</f>
        <v>2500</v>
      </c>
      <c r="K420" s="11" cm="1">
        <f t="array" ref="K420">_xlfn.XLOOKUP(C420&amp;D420&amp;F420,Expense!$C$2:$C$601&amp;Expense!$D$2:$D$601&amp;Expense!$E$2:$E$601,Expense!$H$2:$H$601,"")</f>
        <v>2100</v>
      </c>
      <c r="L420" s="14">
        <f t="shared" si="62"/>
        <v>2347</v>
      </c>
      <c r="M420" s="14">
        <f>Master_Table[[#This Row],[Expense Budget]]-Master_Table[[#This Row],[Actual Expense]]</f>
        <v>400</v>
      </c>
      <c r="N420" s="16">
        <f t="shared" si="63"/>
        <v>5247</v>
      </c>
      <c r="O420" s="29">
        <f t="shared" si="60"/>
        <v>2500</v>
      </c>
      <c r="P420" s="16">
        <f t="shared" si="61"/>
        <v>2747</v>
      </c>
      <c r="Q420" s="28">
        <f>Master_Table[[#This Row],[△Sales Variance]]/Master_Table[[#This Row],[Sales Budget]]</f>
        <v>0.46939999999999998</v>
      </c>
      <c r="R420" s="28">
        <f>Master_Table[[#This Row],[△Expense  Variance]]/Master_Table[[#This Row],[Expense Budget]]</f>
        <v>0.16</v>
      </c>
      <c r="S420" s="28">
        <f>Master_Table[[#This Row],[Net Profit Variance]]/Master_Table[[#This Row],[Budget Net Profit]]</f>
        <v>1.0988</v>
      </c>
      <c r="T420" s="28">
        <f>Master_Table[[#This Row],[Actual Net Profit]]/Master_Table[[#This Row],[Actual Sales]]</f>
        <v>0.71416904859126173</v>
      </c>
      <c r="U420" s="28" t="str">
        <f>_xlfn.TEXTJOIN(" - ", TRUE, Master_Table[[#This Row],[Product]], Master_Table[[#This Row],[Branch]])</f>
        <v>Pineapple - Ibadan</v>
      </c>
    </row>
    <row r="421" spans="1:21" ht="14.4" x14ac:dyDescent="0.3">
      <c r="A421" s="2">
        <v>420</v>
      </c>
      <c r="B421" s="2">
        <f t="shared" si="57"/>
        <v>106</v>
      </c>
      <c r="C421" s="1" t="str">
        <f>VLOOKUP(B421,Products!A:C,2,FALSE)</f>
        <v>Pineapple</v>
      </c>
      <c r="D421" s="1" t="str">
        <f t="shared" si="58"/>
        <v>Ibadan</v>
      </c>
      <c r="E421" s="4" t="str">
        <f>_xlfn.XLOOKUP(D421,'Sales Manager'!$A$2:$A$6,'Sales Manager'!$B$2:$B$6,"")</f>
        <v>Funmi Adeyemi</v>
      </c>
      <c r="F421" s="3">
        <f t="shared" si="65"/>
        <v>12</v>
      </c>
      <c r="G421" s="1" t="str">
        <f t="shared" si="65"/>
        <v>Dec</v>
      </c>
      <c r="H421" s="11">
        <v>7000</v>
      </c>
      <c r="I421" s="11">
        <v>2145</v>
      </c>
      <c r="J421" s="11" cm="1">
        <f t="array" ref="J421">_xlfn.XLOOKUP(C421&amp;D421&amp;F421,Expense!$C$2:$C$601&amp;Expense!$D$2:$D$601&amp;Expense!$E$2:$E$601,Expense!$G$2:$G$601,"")</f>
        <v>1400</v>
      </c>
      <c r="K421" s="11" cm="1">
        <f t="array" ref="K421">_xlfn.XLOOKUP(C421&amp;D421&amp;F421,Expense!$C$2:$C$601&amp;Expense!$D$2:$D$601&amp;Expense!$E$2:$E$601,Expense!$H$2:$H$601,"")</f>
        <v>1200</v>
      </c>
      <c r="L421" s="14">
        <f t="shared" si="62"/>
        <v>-4855</v>
      </c>
      <c r="M421" s="14">
        <f>Master_Table[[#This Row],[Expense Budget]]-Master_Table[[#This Row],[Actual Expense]]</f>
        <v>200</v>
      </c>
      <c r="N421" s="16">
        <f t="shared" si="63"/>
        <v>945</v>
      </c>
      <c r="O421" s="29">
        <f t="shared" si="60"/>
        <v>5600</v>
      </c>
      <c r="P421" s="16">
        <f t="shared" si="61"/>
        <v>-4655</v>
      </c>
      <c r="Q421" s="28">
        <f>Master_Table[[#This Row],[△Sales Variance]]/Master_Table[[#This Row],[Sales Budget]]</f>
        <v>-0.69357142857142862</v>
      </c>
      <c r="R421" s="28">
        <f>Master_Table[[#This Row],[△Expense  Variance]]/Master_Table[[#This Row],[Expense Budget]]</f>
        <v>0.14285714285714285</v>
      </c>
      <c r="S421" s="28">
        <f>Master_Table[[#This Row],[Net Profit Variance]]/Master_Table[[#This Row],[Budget Net Profit]]</f>
        <v>-0.83125000000000004</v>
      </c>
      <c r="T421" s="28">
        <f>Master_Table[[#This Row],[Actual Net Profit]]/Master_Table[[#This Row],[Actual Sales]]</f>
        <v>0.44055944055944057</v>
      </c>
      <c r="U421" s="28" t="str">
        <f>_xlfn.TEXTJOIN(" - ", TRUE, Master_Table[[#This Row],[Product]], Master_Table[[#This Row],[Branch]])</f>
        <v>Pineapple - Ibadan</v>
      </c>
    </row>
    <row r="422" spans="1:21" ht="14.4" x14ac:dyDescent="0.3">
      <c r="A422" s="2">
        <v>421</v>
      </c>
      <c r="B422" s="2">
        <f t="shared" si="57"/>
        <v>107</v>
      </c>
      <c r="C422" s="1" t="str">
        <f>VLOOKUP(B422,Products!A:C,2,FALSE)</f>
        <v>Cucumber</v>
      </c>
      <c r="D422" s="1" t="str">
        <f t="shared" si="58"/>
        <v>Lagos</v>
      </c>
      <c r="E422" s="4" t="str">
        <f>_xlfn.XLOOKUP(D422,'Sales Manager'!$A$2:$A$6,'Sales Manager'!$B$2:$B$6,"")</f>
        <v>Adaora Okafor</v>
      </c>
      <c r="F422" s="3">
        <f t="shared" si="65"/>
        <v>1</v>
      </c>
      <c r="G422" s="1" t="str">
        <f t="shared" si="65"/>
        <v>Jan</v>
      </c>
      <c r="H422" s="11">
        <v>5000</v>
      </c>
      <c r="I422" s="11">
        <v>4513</v>
      </c>
      <c r="J422" s="11" cm="1">
        <f t="array" ref="J422">_xlfn.XLOOKUP(C422&amp;D422&amp;F422,Expense!$C$2:$C$601&amp;Expense!$D$2:$D$601&amp;Expense!$E$2:$E$601,Expense!$G$2:$G$601,"")</f>
        <v>1666.6666666666667</v>
      </c>
      <c r="K422" s="11" cm="1">
        <f t="array" ref="K422">_xlfn.XLOOKUP(C422&amp;D422&amp;F422,Expense!$C$2:$C$601&amp;Expense!$D$2:$D$601&amp;Expense!$E$2:$E$601,Expense!$H$2:$H$601,"")</f>
        <v>1266.6666666666667</v>
      </c>
      <c r="L422" s="14">
        <f t="shared" si="62"/>
        <v>-487</v>
      </c>
      <c r="M422" s="14">
        <f>Master_Table[[#This Row],[Expense Budget]]-Master_Table[[#This Row],[Actual Expense]]</f>
        <v>400</v>
      </c>
      <c r="N422" s="16">
        <f t="shared" si="63"/>
        <v>3246.333333333333</v>
      </c>
      <c r="O422" s="29">
        <f t="shared" si="60"/>
        <v>3333.333333333333</v>
      </c>
      <c r="P422" s="16">
        <f t="shared" si="61"/>
        <v>-87</v>
      </c>
      <c r="Q422" s="28">
        <f>Master_Table[[#This Row],[△Sales Variance]]/Master_Table[[#This Row],[Sales Budget]]</f>
        <v>-9.74E-2</v>
      </c>
      <c r="R422" s="28">
        <f>Master_Table[[#This Row],[△Expense  Variance]]/Master_Table[[#This Row],[Expense Budget]]</f>
        <v>0.24</v>
      </c>
      <c r="S422" s="28">
        <f>Master_Table[[#This Row],[Net Profit Variance]]/Master_Table[[#This Row],[Budget Net Profit]]</f>
        <v>-2.6100000000000002E-2</v>
      </c>
      <c r="T422" s="28">
        <f>Master_Table[[#This Row],[Actual Net Profit]]/Master_Table[[#This Row],[Actual Sales]]</f>
        <v>0.71932934485560229</v>
      </c>
      <c r="U422" s="28" t="str">
        <f>_xlfn.TEXTJOIN(" - ", TRUE, Master_Table[[#This Row],[Product]], Master_Table[[#This Row],[Branch]])</f>
        <v>Cucumber - Lagos</v>
      </c>
    </row>
    <row r="423" spans="1:21" ht="14.4" x14ac:dyDescent="0.3">
      <c r="A423" s="2">
        <v>422</v>
      </c>
      <c r="B423" s="2">
        <f t="shared" si="57"/>
        <v>107</v>
      </c>
      <c r="C423" s="1" t="str">
        <f>VLOOKUP(B423,Products!A:C,2,FALSE)</f>
        <v>Cucumber</v>
      </c>
      <c r="D423" s="1" t="str">
        <f t="shared" si="58"/>
        <v>Lagos</v>
      </c>
      <c r="E423" s="4" t="str">
        <f>_xlfn.XLOOKUP(D423,'Sales Manager'!$A$2:$A$6,'Sales Manager'!$B$2:$B$6,"")</f>
        <v>Adaora Okafor</v>
      </c>
      <c r="F423" s="3">
        <f t="shared" si="65"/>
        <v>2</v>
      </c>
      <c r="G423" s="1" t="str">
        <f t="shared" si="65"/>
        <v>Feb</v>
      </c>
      <c r="H423" s="11">
        <v>1000</v>
      </c>
      <c r="I423" s="11">
        <v>7035</v>
      </c>
      <c r="J423" s="11" cm="1">
        <f t="array" ref="J423">_xlfn.XLOOKUP(C423&amp;D423&amp;F423,Expense!$C$2:$C$601&amp;Expense!$D$2:$D$601&amp;Expense!$E$2:$E$601,Expense!$G$2:$G$601,"")</f>
        <v>333.33333333333331</v>
      </c>
      <c r="K423" s="11" cm="1">
        <f t="array" ref="K423">_xlfn.XLOOKUP(C423&amp;D423&amp;F423,Expense!$C$2:$C$601&amp;Expense!$D$2:$D$601&amp;Expense!$E$2:$E$601,Expense!$H$2:$H$601,"")</f>
        <v>366.66666666666669</v>
      </c>
      <c r="L423" s="14">
        <f t="shared" si="62"/>
        <v>6035</v>
      </c>
      <c r="M423" s="14">
        <f>Master_Table[[#This Row],[Expense Budget]]-Master_Table[[#This Row],[Actual Expense]]</f>
        <v>-33.333333333333371</v>
      </c>
      <c r="N423" s="16">
        <f t="shared" si="63"/>
        <v>6668.333333333333</v>
      </c>
      <c r="O423" s="29">
        <f t="shared" si="60"/>
        <v>666.66666666666674</v>
      </c>
      <c r="P423" s="16">
        <f t="shared" si="61"/>
        <v>6001.6666666666661</v>
      </c>
      <c r="Q423" s="28">
        <f>Master_Table[[#This Row],[△Sales Variance]]/Master_Table[[#This Row],[Sales Budget]]</f>
        <v>6.0350000000000001</v>
      </c>
      <c r="R423" s="28">
        <f>Master_Table[[#This Row],[△Expense  Variance]]/Master_Table[[#This Row],[Expense Budget]]</f>
        <v>-0.10000000000000012</v>
      </c>
      <c r="S423" s="28">
        <f>Master_Table[[#This Row],[Net Profit Variance]]/Master_Table[[#This Row],[Budget Net Profit]]</f>
        <v>9.0024999999999977</v>
      </c>
      <c r="T423" s="28">
        <f>Master_Table[[#This Row],[Actual Net Profit]]/Master_Table[[#This Row],[Actual Sales]]</f>
        <v>0.94787964937218661</v>
      </c>
      <c r="U423" s="28" t="str">
        <f>_xlfn.TEXTJOIN(" - ", TRUE, Master_Table[[#This Row],[Product]], Master_Table[[#This Row],[Branch]])</f>
        <v>Cucumber - Lagos</v>
      </c>
    </row>
    <row r="424" spans="1:21" ht="14.4" x14ac:dyDescent="0.3">
      <c r="A424" s="2">
        <v>423</v>
      </c>
      <c r="B424" s="2">
        <f t="shared" si="57"/>
        <v>107</v>
      </c>
      <c r="C424" s="1" t="str">
        <f>VLOOKUP(B424,Products!A:C,2,FALSE)</f>
        <v>Cucumber</v>
      </c>
      <c r="D424" s="1" t="str">
        <f t="shared" si="58"/>
        <v>Lagos</v>
      </c>
      <c r="E424" s="4" t="str">
        <f>_xlfn.XLOOKUP(D424,'Sales Manager'!$A$2:$A$6,'Sales Manager'!$B$2:$B$6,"")</f>
        <v>Adaora Okafor</v>
      </c>
      <c r="F424" s="3">
        <f t="shared" si="65"/>
        <v>3</v>
      </c>
      <c r="G424" s="1" t="str">
        <f t="shared" si="65"/>
        <v>Mar</v>
      </c>
      <c r="H424" s="11">
        <v>4000</v>
      </c>
      <c r="I424" s="11">
        <v>4422</v>
      </c>
      <c r="J424" s="11" cm="1">
        <f t="array" ref="J424">_xlfn.XLOOKUP(C424&amp;D424&amp;F424,Expense!$C$2:$C$601&amp;Expense!$D$2:$D$601&amp;Expense!$E$2:$E$601,Expense!$G$2:$G$601,"")</f>
        <v>1000</v>
      </c>
      <c r="K424" s="11" cm="1">
        <f t="array" ref="K424">_xlfn.XLOOKUP(C424&amp;D424&amp;F424,Expense!$C$2:$C$601&amp;Expense!$D$2:$D$601&amp;Expense!$E$2:$E$601,Expense!$H$2:$H$601,"")</f>
        <v>400</v>
      </c>
      <c r="L424" s="14">
        <f t="shared" si="62"/>
        <v>422</v>
      </c>
      <c r="M424" s="14">
        <f>Master_Table[[#This Row],[Expense Budget]]-Master_Table[[#This Row],[Actual Expense]]</f>
        <v>600</v>
      </c>
      <c r="N424" s="16">
        <f t="shared" si="63"/>
        <v>4022</v>
      </c>
      <c r="O424" s="29">
        <f t="shared" si="60"/>
        <v>3000</v>
      </c>
      <c r="P424" s="16">
        <f t="shared" si="61"/>
        <v>1022</v>
      </c>
      <c r="Q424" s="28">
        <f>Master_Table[[#This Row],[△Sales Variance]]/Master_Table[[#This Row],[Sales Budget]]</f>
        <v>0.1055</v>
      </c>
      <c r="R424" s="28">
        <f>Master_Table[[#This Row],[△Expense  Variance]]/Master_Table[[#This Row],[Expense Budget]]</f>
        <v>0.6</v>
      </c>
      <c r="S424" s="28">
        <f>Master_Table[[#This Row],[Net Profit Variance]]/Master_Table[[#This Row],[Budget Net Profit]]</f>
        <v>0.34066666666666667</v>
      </c>
      <c r="T424" s="28">
        <f>Master_Table[[#This Row],[Actual Net Profit]]/Master_Table[[#This Row],[Actual Sales]]</f>
        <v>0.90954319312528265</v>
      </c>
      <c r="U424" s="28" t="str">
        <f>_xlfn.TEXTJOIN(" - ", TRUE, Master_Table[[#This Row],[Product]], Master_Table[[#This Row],[Branch]])</f>
        <v>Cucumber - Lagos</v>
      </c>
    </row>
    <row r="425" spans="1:21" ht="14.4" x14ac:dyDescent="0.3">
      <c r="A425" s="2">
        <v>424</v>
      </c>
      <c r="B425" s="2">
        <f t="shared" si="57"/>
        <v>107</v>
      </c>
      <c r="C425" s="1" t="str">
        <f>VLOOKUP(B425,Products!A:C,2,FALSE)</f>
        <v>Cucumber</v>
      </c>
      <c r="D425" s="1" t="str">
        <f t="shared" si="58"/>
        <v>Lagos</v>
      </c>
      <c r="E425" s="4" t="str">
        <f>_xlfn.XLOOKUP(D425,'Sales Manager'!$A$2:$A$6,'Sales Manager'!$B$2:$B$6,"")</f>
        <v>Adaora Okafor</v>
      </c>
      <c r="F425" s="3">
        <f t="shared" si="65"/>
        <v>4</v>
      </c>
      <c r="G425" s="1" t="str">
        <f t="shared" si="65"/>
        <v>Apr</v>
      </c>
      <c r="H425" s="11">
        <v>4000</v>
      </c>
      <c r="I425" s="11">
        <v>2145</v>
      </c>
      <c r="J425" s="11" cm="1">
        <f t="array" ref="J425">_xlfn.XLOOKUP(C425&amp;D425&amp;F425,Expense!$C$2:$C$601&amp;Expense!$D$2:$D$601&amp;Expense!$E$2:$E$601,Expense!$G$2:$G$601,"")</f>
        <v>1000</v>
      </c>
      <c r="K425" s="11" cm="1">
        <f t="array" ref="K425">_xlfn.XLOOKUP(C425&amp;D425&amp;F425,Expense!$C$2:$C$601&amp;Expense!$D$2:$D$601&amp;Expense!$E$2:$E$601,Expense!$H$2:$H$601,"")</f>
        <v>500</v>
      </c>
      <c r="L425" s="14">
        <f t="shared" si="62"/>
        <v>-1855</v>
      </c>
      <c r="M425" s="14">
        <f>Master_Table[[#This Row],[Expense Budget]]-Master_Table[[#This Row],[Actual Expense]]</f>
        <v>500</v>
      </c>
      <c r="N425" s="16">
        <f t="shared" si="63"/>
        <v>1645</v>
      </c>
      <c r="O425" s="29">
        <f t="shared" si="60"/>
        <v>3000</v>
      </c>
      <c r="P425" s="16">
        <f t="shared" si="61"/>
        <v>-1355</v>
      </c>
      <c r="Q425" s="28">
        <f>Master_Table[[#This Row],[△Sales Variance]]/Master_Table[[#This Row],[Sales Budget]]</f>
        <v>-0.46375</v>
      </c>
      <c r="R425" s="28">
        <f>Master_Table[[#This Row],[△Expense  Variance]]/Master_Table[[#This Row],[Expense Budget]]</f>
        <v>0.5</v>
      </c>
      <c r="S425" s="28">
        <f>Master_Table[[#This Row],[Net Profit Variance]]/Master_Table[[#This Row],[Budget Net Profit]]</f>
        <v>-0.45166666666666666</v>
      </c>
      <c r="T425" s="28">
        <f>Master_Table[[#This Row],[Actual Net Profit]]/Master_Table[[#This Row],[Actual Sales]]</f>
        <v>0.76689976689976691</v>
      </c>
      <c r="U425" s="28" t="str">
        <f>_xlfn.TEXTJOIN(" - ", TRUE, Master_Table[[#This Row],[Product]], Master_Table[[#This Row],[Branch]])</f>
        <v>Cucumber - Lagos</v>
      </c>
    </row>
    <row r="426" spans="1:21" ht="14.4" x14ac:dyDescent="0.3">
      <c r="A426" s="2">
        <v>425</v>
      </c>
      <c r="B426" s="2">
        <f t="shared" si="57"/>
        <v>107</v>
      </c>
      <c r="C426" s="1" t="str">
        <f>VLOOKUP(B426,Products!A:C,2,FALSE)</f>
        <v>Cucumber</v>
      </c>
      <c r="D426" s="1" t="str">
        <f t="shared" si="58"/>
        <v>Lagos</v>
      </c>
      <c r="E426" s="4" t="str">
        <f>_xlfn.XLOOKUP(D426,'Sales Manager'!$A$2:$A$6,'Sales Manager'!$B$2:$B$6,"")</f>
        <v>Adaora Okafor</v>
      </c>
      <c r="F426" s="3">
        <f t="shared" si="65"/>
        <v>5</v>
      </c>
      <c r="G426" s="1" t="str">
        <f t="shared" si="65"/>
        <v>May</v>
      </c>
      <c r="H426" s="11">
        <v>5000</v>
      </c>
      <c r="I426" s="11">
        <v>4335</v>
      </c>
      <c r="J426" s="11" cm="1">
        <f t="array" ref="J426">_xlfn.XLOOKUP(C426&amp;D426&amp;F426,Expense!$C$2:$C$601&amp;Expense!$D$2:$D$601&amp;Expense!$E$2:$E$601,Expense!$G$2:$G$601,"")</f>
        <v>1666.6666666666667</v>
      </c>
      <c r="K426" s="11" cm="1">
        <f t="array" ref="K426">_xlfn.XLOOKUP(C426&amp;D426&amp;F426,Expense!$C$2:$C$601&amp;Expense!$D$2:$D$601&amp;Expense!$E$2:$E$601,Expense!$H$2:$H$601,"")</f>
        <v>966.66666666666674</v>
      </c>
      <c r="L426" s="14">
        <f t="shared" si="62"/>
        <v>-665</v>
      </c>
      <c r="M426" s="14">
        <f>Master_Table[[#This Row],[Expense Budget]]-Master_Table[[#This Row],[Actual Expense]]</f>
        <v>700</v>
      </c>
      <c r="N426" s="16">
        <f t="shared" si="63"/>
        <v>3368.333333333333</v>
      </c>
      <c r="O426" s="29">
        <f t="shared" si="60"/>
        <v>3333.333333333333</v>
      </c>
      <c r="P426" s="16">
        <f t="shared" si="61"/>
        <v>35</v>
      </c>
      <c r="Q426" s="28">
        <f>Master_Table[[#This Row],[△Sales Variance]]/Master_Table[[#This Row],[Sales Budget]]</f>
        <v>-0.13300000000000001</v>
      </c>
      <c r="R426" s="28">
        <f>Master_Table[[#This Row],[△Expense  Variance]]/Master_Table[[#This Row],[Expense Budget]]</f>
        <v>0.42</v>
      </c>
      <c r="S426" s="28">
        <f>Master_Table[[#This Row],[Net Profit Variance]]/Master_Table[[#This Row],[Budget Net Profit]]</f>
        <v>1.0500000000000001E-2</v>
      </c>
      <c r="T426" s="28">
        <f>Master_Table[[#This Row],[Actual Net Profit]]/Master_Table[[#This Row],[Actual Sales]]</f>
        <v>0.77700884275278737</v>
      </c>
      <c r="U426" s="28" t="str">
        <f>_xlfn.TEXTJOIN(" - ", TRUE, Master_Table[[#This Row],[Product]], Master_Table[[#This Row],[Branch]])</f>
        <v>Cucumber - Lagos</v>
      </c>
    </row>
    <row r="427" spans="1:21" ht="14.4" x14ac:dyDescent="0.3">
      <c r="A427" s="2">
        <v>426</v>
      </c>
      <c r="B427" s="2">
        <f t="shared" si="57"/>
        <v>107</v>
      </c>
      <c r="C427" s="1" t="str">
        <f>VLOOKUP(B427,Products!A:C,2,FALSE)</f>
        <v>Cucumber</v>
      </c>
      <c r="D427" s="1" t="str">
        <f t="shared" si="58"/>
        <v>Lagos</v>
      </c>
      <c r="E427" s="4" t="str">
        <f>_xlfn.XLOOKUP(D427,'Sales Manager'!$A$2:$A$6,'Sales Manager'!$B$2:$B$6,"")</f>
        <v>Adaora Okafor</v>
      </c>
      <c r="F427" s="3">
        <f t="shared" si="65"/>
        <v>6</v>
      </c>
      <c r="G427" s="1" t="str">
        <f t="shared" si="65"/>
        <v>Jun</v>
      </c>
      <c r="H427" s="11">
        <v>5000</v>
      </c>
      <c r="I427" s="11">
        <v>7528</v>
      </c>
      <c r="J427" s="11" cm="1">
        <f t="array" ref="J427">_xlfn.XLOOKUP(C427&amp;D427&amp;F427,Expense!$C$2:$C$601&amp;Expense!$D$2:$D$601&amp;Expense!$E$2:$E$601,Expense!$G$2:$G$601,"")</f>
        <v>2500</v>
      </c>
      <c r="K427" s="11" cm="1">
        <f t="array" ref="K427">_xlfn.XLOOKUP(C427&amp;D427&amp;F427,Expense!$C$2:$C$601&amp;Expense!$D$2:$D$601&amp;Expense!$E$2:$E$601,Expense!$H$2:$H$601,"")</f>
        <v>1800</v>
      </c>
      <c r="L427" s="14">
        <f t="shared" si="62"/>
        <v>2528</v>
      </c>
      <c r="M427" s="14">
        <f>Master_Table[[#This Row],[Expense Budget]]-Master_Table[[#This Row],[Actual Expense]]</f>
        <v>700</v>
      </c>
      <c r="N427" s="16">
        <f t="shared" si="63"/>
        <v>5728</v>
      </c>
      <c r="O427" s="29">
        <f t="shared" si="60"/>
        <v>2500</v>
      </c>
      <c r="P427" s="16">
        <f t="shared" si="61"/>
        <v>3228</v>
      </c>
      <c r="Q427" s="28">
        <f>Master_Table[[#This Row],[△Sales Variance]]/Master_Table[[#This Row],[Sales Budget]]</f>
        <v>0.50560000000000005</v>
      </c>
      <c r="R427" s="28">
        <f>Master_Table[[#This Row],[△Expense  Variance]]/Master_Table[[#This Row],[Expense Budget]]</f>
        <v>0.28000000000000003</v>
      </c>
      <c r="S427" s="28">
        <f>Master_Table[[#This Row],[Net Profit Variance]]/Master_Table[[#This Row],[Budget Net Profit]]</f>
        <v>1.2911999999999999</v>
      </c>
      <c r="T427" s="28">
        <f>Master_Table[[#This Row],[Actual Net Profit]]/Master_Table[[#This Row],[Actual Sales]]</f>
        <v>0.76089266737513284</v>
      </c>
      <c r="U427" s="28" t="str">
        <f>_xlfn.TEXTJOIN(" - ", TRUE, Master_Table[[#This Row],[Product]], Master_Table[[#This Row],[Branch]])</f>
        <v>Cucumber - Lagos</v>
      </c>
    </row>
    <row r="428" spans="1:21" ht="14.4" x14ac:dyDescent="0.3">
      <c r="A428" s="2">
        <v>427</v>
      </c>
      <c r="B428" s="2">
        <f t="shared" si="57"/>
        <v>107</v>
      </c>
      <c r="C428" s="1" t="str">
        <f>VLOOKUP(B428,Products!A:C,2,FALSE)</f>
        <v>Cucumber</v>
      </c>
      <c r="D428" s="1" t="str">
        <f t="shared" si="58"/>
        <v>Lagos</v>
      </c>
      <c r="E428" s="4" t="str">
        <f>_xlfn.XLOOKUP(D428,'Sales Manager'!$A$2:$A$6,'Sales Manager'!$B$2:$B$6,"")</f>
        <v>Adaora Okafor</v>
      </c>
      <c r="F428" s="3">
        <f t="shared" si="65"/>
        <v>7</v>
      </c>
      <c r="G428" s="1" t="str">
        <f t="shared" si="65"/>
        <v>Jul</v>
      </c>
      <c r="H428" s="11">
        <v>1000</v>
      </c>
      <c r="I428" s="11">
        <v>10390</v>
      </c>
      <c r="J428" s="11" cm="1">
        <f t="array" ref="J428">_xlfn.XLOOKUP(C428&amp;D428&amp;F428,Expense!$C$2:$C$601&amp;Expense!$D$2:$D$601&amp;Expense!$E$2:$E$601,Expense!$G$2:$G$601,"")</f>
        <v>500</v>
      </c>
      <c r="K428" s="11" cm="1">
        <f t="array" ref="K428">_xlfn.XLOOKUP(C428&amp;D428&amp;F428,Expense!$C$2:$C$601&amp;Expense!$D$2:$D$601&amp;Expense!$E$2:$E$601,Expense!$H$2:$H$601,"")</f>
        <v>400</v>
      </c>
      <c r="L428" s="14">
        <f t="shared" si="62"/>
        <v>9390</v>
      </c>
      <c r="M428" s="14">
        <f>Master_Table[[#This Row],[Expense Budget]]-Master_Table[[#This Row],[Actual Expense]]</f>
        <v>100</v>
      </c>
      <c r="N428" s="16">
        <f t="shared" si="63"/>
        <v>9990</v>
      </c>
      <c r="O428" s="29">
        <f t="shared" si="60"/>
        <v>500</v>
      </c>
      <c r="P428" s="16">
        <f t="shared" si="61"/>
        <v>9490</v>
      </c>
      <c r="Q428" s="28">
        <f>Master_Table[[#This Row],[△Sales Variance]]/Master_Table[[#This Row],[Sales Budget]]</f>
        <v>9.39</v>
      </c>
      <c r="R428" s="28">
        <f>Master_Table[[#This Row],[△Expense  Variance]]/Master_Table[[#This Row],[Expense Budget]]</f>
        <v>0.2</v>
      </c>
      <c r="S428" s="28">
        <f>Master_Table[[#This Row],[Net Profit Variance]]/Master_Table[[#This Row],[Budget Net Profit]]</f>
        <v>18.98</v>
      </c>
      <c r="T428" s="28">
        <f>Master_Table[[#This Row],[Actual Net Profit]]/Master_Table[[#This Row],[Actual Sales]]</f>
        <v>0.96150144369586144</v>
      </c>
      <c r="U428" s="28" t="str">
        <f>_xlfn.TEXTJOIN(" - ", TRUE, Master_Table[[#This Row],[Product]], Master_Table[[#This Row],[Branch]])</f>
        <v>Cucumber - Lagos</v>
      </c>
    </row>
    <row r="429" spans="1:21" ht="14.4" x14ac:dyDescent="0.3">
      <c r="A429" s="2">
        <v>428</v>
      </c>
      <c r="B429" s="2">
        <f t="shared" si="57"/>
        <v>107</v>
      </c>
      <c r="C429" s="1" t="str">
        <f>VLOOKUP(B429,Products!A:C,2,FALSE)</f>
        <v>Cucumber</v>
      </c>
      <c r="D429" s="1" t="str">
        <f t="shared" si="58"/>
        <v>Lagos</v>
      </c>
      <c r="E429" s="4" t="str">
        <f>_xlfn.XLOOKUP(D429,'Sales Manager'!$A$2:$A$6,'Sales Manager'!$B$2:$B$6,"")</f>
        <v>Adaora Okafor</v>
      </c>
      <c r="F429" s="3">
        <f t="shared" si="65"/>
        <v>8</v>
      </c>
      <c r="G429" s="1" t="str">
        <f t="shared" si="65"/>
        <v>Aug</v>
      </c>
      <c r="H429" s="11">
        <v>3000</v>
      </c>
      <c r="I429" s="11">
        <v>7916</v>
      </c>
      <c r="J429" s="11" cm="1">
        <f t="array" ref="J429">_xlfn.XLOOKUP(C429&amp;D429&amp;F429,Expense!$C$2:$C$601&amp;Expense!$D$2:$D$601&amp;Expense!$E$2:$E$601,Expense!$G$2:$G$601,"")</f>
        <v>750</v>
      </c>
      <c r="K429" s="11" cm="1">
        <f t="array" ref="K429">_xlfn.XLOOKUP(C429&amp;D429&amp;F429,Expense!$C$2:$C$601&amp;Expense!$D$2:$D$601&amp;Expense!$E$2:$E$601,Expense!$H$2:$H$601,"")</f>
        <v>450</v>
      </c>
      <c r="L429" s="14">
        <f t="shared" si="62"/>
        <v>4916</v>
      </c>
      <c r="M429" s="14">
        <f>Master_Table[[#This Row],[Expense Budget]]-Master_Table[[#This Row],[Actual Expense]]</f>
        <v>300</v>
      </c>
      <c r="N429" s="16">
        <f t="shared" si="63"/>
        <v>7466</v>
      </c>
      <c r="O429" s="29">
        <f t="shared" si="60"/>
        <v>2250</v>
      </c>
      <c r="P429" s="16">
        <f t="shared" si="61"/>
        <v>5216</v>
      </c>
      <c r="Q429" s="28">
        <f>Master_Table[[#This Row],[△Sales Variance]]/Master_Table[[#This Row],[Sales Budget]]</f>
        <v>1.6386666666666667</v>
      </c>
      <c r="R429" s="28">
        <f>Master_Table[[#This Row],[△Expense  Variance]]/Master_Table[[#This Row],[Expense Budget]]</f>
        <v>0.4</v>
      </c>
      <c r="S429" s="28">
        <f>Master_Table[[#This Row],[Net Profit Variance]]/Master_Table[[#This Row],[Budget Net Profit]]</f>
        <v>2.3182222222222224</v>
      </c>
      <c r="T429" s="28">
        <f>Master_Table[[#This Row],[Actual Net Profit]]/Master_Table[[#This Row],[Actual Sales]]</f>
        <v>0.94315310763011617</v>
      </c>
      <c r="U429" s="28" t="str">
        <f>_xlfn.TEXTJOIN(" - ", TRUE, Master_Table[[#This Row],[Product]], Master_Table[[#This Row],[Branch]])</f>
        <v>Cucumber - Lagos</v>
      </c>
    </row>
    <row r="430" spans="1:21" ht="14.4" x14ac:dyDescent="0.3">
      <c r="A430" s="2">
        <v>429</v>
      </c>
      <c r="B430" s="2">
        <f t="shared" si="57"/>
        <v>107</v>
      </c>
      <c r="C430" s="1" t="str">
        <f>VLOOKUP(B430,Products!A:C,2,FALSE)</f>
        <v>Cucumber</v>
      </c>
      <c r="D430" s="1" t="str">
        <f t="shared" si="58"/>
        <v>Lagos</v>
      </c>
      <c r="E430" s="4" t="str">
        <f>_xlfn.XLOOKUP(D430,'Sales Manager'!$A$2:$A$6,'Sales Manager'!$B$2:$B$6,"")</f>
        <v>Adaora Okafor</v>
      </c>
      <c r="F430" s="3">
        <f t="shared" si="65"/>
        <v>9</v>
      </c>
      <c r="G430" s="1" t="str">
        <f t="shared" si="65"/>
        <v>Sept</v>
      </c>
      <c r="H430" s="11">
        <v>9000</v>
      </c>
      <c r="I430" s="11">
        <v>4725</v>
      </c>
      <c r="J430" s="11" cm="1">
        <f t="array" ref="J430">_xlfn.XLOOKUP(C430&amp;D430&amp;F430,Expense!$C$2:$C$601&amp;Expense!$D$2:$D$601&amp;Expense!$E$2:$E$601,Expense!$G$2:$G$601,"")</f>
        <v>3000</v>
      </c>
      <c r="K430" s="11" cm="1">
        <f t="array" ref="K430">_xlfn.XLOOKUP(C430&amp;D430&amp;F430,Expense!$C$2:$C$601&amp;Expense!$D$2:$D$601&amp;Expense!$E$2:$E$601,Expense!$H$2:$H$601,"")</f>
        <v>3000</v>
      </c>
      <c r="L430" s="14">
        <f t="shared" si="62"/>
        <v>-4275</v>
      </c>
      <c r="M430" s="14">
        <f>Master_Table[[#This Row],[Expense Budget]]-Master_Table[[#This Row],[Actual Expense]]</f>
        <v>0</v>
      </c>
      <c r="N430" s="16">
        <f t="shared" si="63"/>
        <v>1725</v>
      </c>
      <c r="O430" s="29">
        <f t="shared" si="60"/>
        <v>6000</v>
      </c>
      <c r="P430" s="16">
        <f t="shared" si="61"/>
        <v>-4275</v>
      </c>
      <c r="Q430" s="28">
        <f>Master_Table[[#This Row],[△Sales Variance]]/Master_Table[[#This Row],[Sales Budget]]</f>
        <v>-0.47499999999999998</v>
      </c>
      <c r="R430" s="28">
        <f>Master_Table[[#This Row],[△Expense  Variance]]/Master_Table[[#This Row],[Expense Budget]]</f>
        <v>0</v>
      </c>
      <c r="S430" s="28">
        <f>Master_Table[[#This Row],[Net Profit Variance]]/Master_Table[[#This Row],[Budget Net Profit]]</f>
        <v>-0.71250000000000002</v>
      </c>
      <c r="T430" s="28">
        <f>Master_Table[[#This Row],[Actual Net Profit]]/Master_Table[[#This Row],[Actual Sales]]</f>
        <v>0.36507936507936506</v>
      </c>
      <c r="U430" s="28" t="str">
        <f>_xlfn.TEXTJOIN(" - ", TRUE, Master_Table[[#This Row],[Product]], Master_Table[[#This Row],[Branch]])</f>
        <v>Cucumber - Lagos</v>
      </c>
    </row>
    <row r="431" spans="1:21" ht="14.4" x14ac:dyDescent="0.3">
      <c r="A431" s="2">
        <v>430</v>
      </c>
      <c r="B431" s="2">
        <f t="shared" si="57"/>
        <v>107</v>
      </c>
      <c r="C431" s="1" t="str">
        <f>VLOOKUP(B431,Products!A:C,2,FALSE)</f>
        <v>Cucumber</v>
      </c>
      <c r="D431" s="1" t="str">
        <f t="shared" si="58"/>
        <v>Lagos</v>
      </c>
      <c r="E431" s="4" t="str">
        <f>_xlfn.XLOOKUP(D431,'Sales Manager'!$A$2:$A$6,'Sales Manager'!$B$2:$B$6,"")</f>
        <v>Adaora Okafor</v>
      </c>
      <c r="F431" s="3">
        <f t="shared" ref="F431:G446" si="66">F419</f>
        <v>10</v>
      </c>
      <c r="G431" s="1" t="str">
        <f t="shared" si="66"/>
        <v>Oct</v>
      </c>
      <c r="H431" s="11">
        <v>5000</v>
      </c>
      <c r="I431" s="11">
        <v>2211</v>
      </c>
      <c r="J431" s="11" cm="1">
        <f t="array" ref="J431">_xlfn.XLOOKUP(C431&amp;D431&amp;F431,Expense!$C$2:$C$601&amp;Expense!$D$2:$D$601&amp;Expense!$E$2:$E$601,Expense!$G$2:$G$601,"")</f>
        <v>2500</v>
      </c>
      <c r="K431" s="11" cm="1">
        <f t="array" ref="K431">_xlfn.XLOOKUP(C431&amp;D431&amp;F431,Expense!$C$2:$C$601&amp;Expense!$D$2:$D$601&amp;Expense!$E$2:$E$601,Expense!$H$2:$H$601,"")</f>
        <v>2300</v>
      </c>
      <c r="L431" s="14">
        <f t="shared" si="62"/>
        <v>-2789</v>
      </c>
      <c r="M431" s="14">
        <f>Master_Table[[#This Row],[Expense Budget]]-Master_Table[[#This Row],[Actual Expense]]</f>
        <v>200</v>
      </c>
      <c r="N431" s="16">
        <f t="shared" si="63"/>
        <v>-89</v>
      </c>
      <c r="O431" s="29">
        <f t="shared" si="60"/>
        <v>2500</v>
      </c>
      <c r="P431" s="16">
        <f t="shared" si="61"/>
        <v>-2589</v>
      </c>
      <c r="Q431" s="28">
        <f>Master_Table[[#This Row],[△Sales Variance]]/Master_Table[[#This Row],[Sales Budget]]</f>
        <v>-0.55779999999999996</v>
      </c>
      <c r="R431" s="28">
        <f>Master_Table[[#This Row],[△Expense  Variance]]/Master_Table[[#This Row],[Expense Budget]]</f>
        <v>0.08</v>
      </c>
      <c r="S431" s="28">
        <f>Master_Table[[#This Row],[Net Profit Variance]]/Master_Table[[#This Row],[Budget Net Profit]]</f>
        <v>-1.0356000000000001</v>
      </c>
      <c r="T431" s="28">
        <f>Master_Table[[#This Row],[Actual Net Profit]]/Master_Table[[#This Row],[Actual Sales]]</f>
        <v>-4.0253279059249206E-2</v>
      </c>
      <c r="U431" s="28" t="str">
        <f>_xlfn.TEXTJOIN(" - ", TRUE, Master_Table[[#This Row],[Product]], Master_Table[[#This Row],[Branch]])</f>
        <v>Cucumber - Lagos</v>
      </c>
    </row>
    <row r="432" spans="1:21" ht="14.4" x14ac:dyDescent="0.3">
      <c r="A432" s="2">
        <v>431</v>
      </c>
      <c r="B432" s="2">
        <f t="shared" si="57"/>
        <v>107</v>
      </c>
      <c r="C432" s="1" t="str">
        <f>VLOOKUP(B432,Products!A:C,2,FALSE)</f>
        <v>Cucumber</v>
      </c>
      <c r="D432" s="1" t="str">
        <f t="shared" si="58"/>
        <v>Lagos</v>
      </c>
      <c r="E432" s="4" t="str">
        <f>_xlfn.XLOOKUP(D432,'Sales Manager'!$A$2:$A$6,'Sales Manager'!$B$2:$B$6,"")</f>
        <v>Adaora Okafor</v>
      </c>
      <c r="F432" s="3">
        <f t="shared" si="66"/>
        <v>11</v>
      </c>
      <c r="G432" s="1" t="str">
        <f t="shared" si="66"/>
        <v>Nov</v>
      </c>
      <c r="H432" s="11">
        <v>5000</v>
      </c>
      <c r="I432" s="11">
        <v>4896</v>
      </c>
      <c r="J432" s="11" cm="1">
        <f t="array" ref="J432">_xlfn.XLOOKUP(C432&amp;D432&amp;F432,Expense!$C$2:$C$601&amp;Expense!$D$2:$D$601&amp;Expense!$E$2:$E$601,Expense!$G$2:$G$601,"")</f>
        <v>1250</v>
      </c>
      <c r="K432" s="11" cm="1">
        <f t="array" ref="K432">_xlfn.XLOOKUP(C432&amp;D432&amp;F432,Expense!$C$2:$C$601&amp;Expense!$D$2:$D$601&amp;Expense!$E$2:$E$601,Expense!$H$2:$H$601,"")</f>
        <v>1050</v>
      </c>
      <c r="L432" s="14">
        <f t="shared" si="62"/>
        <v>-104</v>
      </c>
      <c r="M432" s="14">
        <f>Master_Table[[#This Row],[Expense Budget]]-Master_Table[[#This Row],[Actual Expense]]</f>
        <v>200</v>
      </c>
      <c r="N432" s="16">
        <f t="shared" si="63"/>
        <v>3846</v>
      </c>
      <c r="O432" s="29">
        <f t="shared" si="60"/>
        <v>3750</v>
      </c>
      <c r="P432" s="16">
        <f t="shared" si="61"/>
        <v>96</v>
      </c>
      <c r="Q432" s="28">
        <f>Master_Table[[#This Row],[△Sales Variance]]/Master_Table[[#This Row],[Sales Budget]]</f>
        <v>-2.0799999999999999E-2</v>
      </c>
      <c r="R432" s="28">
        <f>Master_Table[[#This Row],[△Expense  Variance]]/Master_Table[[#This Row],[Expense Budget]]</f>
        <v>0.16</v>
      </c>
      <c r="S432" s="28">
        <f>Master_Table[[#This Row],[Net Profit Variance]]/Master_Table[[#This Row],[Budget Net Profit]]</f>
        <v>2.5600000000000001E-2</v>
      </c>
      <c r="T432" s="28">
        <f>Master_Table[[#This Row],[Actual Net Profit]]/Master_Table[[#This Row],[Actual Sales]]</f>
        <v>0.78553921568627449</v>
      </c>
      <c r="U432" s="28" t="str">
        <f>_xlfn.TEXTJOIN(" - ", TRUE, Master_Table[[#This Row],[Product]], Master_Table[[#This Row],[Branch]])</f>
        <v>Cucumber - Lagos</v>
      </c>
    </row>
    <row r="433" spans="1:21" ht="14.4" x14ac:dyDescent="0.3">
      <c r="A433" s="2">
        <v>432</v>
      </c>
      <c r="B433" s="2">
        <f t="shared" si="57"/>
        <v>107</v>
      </c>
      <c r="C433" s="1" t="str">
        <f>VLOOKUP(B433,Products!A:C,2,FALSE)</f>
        <v>Cucumber</v>
      </c>
      <c r="D433" s="1" t="str">
        <f t="shared" si="58"/>
        <v>Lagos</v>
      </c>
      <c r="E433" s="4" t="str">
        <f>_xlfn.XLOOKUP(D433,'Sales Manager'!$A$2:$A$6,'Sales Manager'!$B$2:$B$6,"")</f>
        <v>Adaora Okafor</v>
      </c>
      <c r="F433" s="3">
        <f t="shared" si="66"/>
        <v>12</v>
      </c>
      <c r="G433" s="1" t="str">
        <f t="shared" si="66"/>
        <v>Dec</v>
      </c>
      <c r="H433" s="11">
        <v>4000</v>
      </c>
      <c r="I433" s="11">
        <v>5215</v>
      </c>
      <c r="J433" s="11" cm="1">
        <f t="array" ref="J433">_xlfn.XLOOKUP(C433&amp;D433&amp;F433,Expense!$C$2:$C$601&amp;Expense!$D$2:$D$601&amp;Expense!$E$2:$E$601,Expense!$G$2:$G$601,"")</f>
        <v>1333.3333333333333</v>
      </c>
      <c r="K433" s="11" cm="1">
        <f t="array" ref="K433">_xlfn.XLOOKUP(C433&amp;D433&amp;F433,Expense!$C$2:$C$601&amp;Expense!$D$2:$D$601&amp;Expense!$E$2:$E$601,Expense!$H$2:$H$601,"")</f>
        <v>833.33333333333326</v>
      </c>
      <c r="L433" s="14">
        <f t="shared" si="62"/>
        <v>1215</v>
      </c>
      <c r="M433" s="14">
        <f>Master_Table[[#This Row],[Expense Budget]]-Master_Table[[#This Row],[Actual Expense]]</f>
        <v>500</v>
      </c>
      <c r="N433" s="16">
        <f t="shared" si="63"/>
        <v>4381.666666666667</v>
      </c>
      <c r="O433" s="29">
        <f t="shared" si="60"/>
        <v>2666.666666666667</v>
      </c>
      <c r="P433" s="16">
        <f t="shared" si="61"/>
        <v>1715</v>
      </c>
      <c r="Q433" s="28">
        <f>Master_Table[[#This Row],[△Sales Variance]]/Master_Table[[#This Row],[Sales Budget]]</f>
        <v>0.30375000000000002</v>
      </c>
      <c r="R433" s="28">
        <f>Master_Table[[#This Row],[△Expense  Variance]]/Master_Table[[#This Row],[Expense Budget]]</f>
        <v>0.375</v>
      </c>
      <c r="S433" s="28">
        <f>Master_Table[[#This Row],[Net Profit Variance]]/Master_Table[[#This Row],[Budget Net Profit]]</f>
        <v>0.64312499999999995</v>
      </c>
      <c r="T433" s="28">
        <f>Master_Table[[#This Row],[Actual Net Profit]]/Master_Table[[#This Row],[Actual Sales]]</f>
        <v>0.8402045381911154</v>
      </c>
      <c r="U433" s="28" t="str">
        <f>_xlfn.TEXTJOIN(" - ", TRUE, Master_Table[[#This Row],[Product]], Master_Table[[#This Row],[Branch]])</f>
        <v>Cucumber - Lagos</v>
      </c>
    </row>
    <row r="434" spans="1:21" ht="14.4" x14ac:dyDescent="0.3">
      <c r="A434" s="2">
        <v>433</v>
      </c>
      <c r="B434" s="2">
        <f t="shared" si="57"/>
        <v>107</v>
      </c>
      <c r="C434" s="1" t="str">
        <f>VLOOKUP(B434,Products!A:C,2,FALSE)</f>
        <v>Cucumber</v>
      </c>
      <c r="D434" s="1" t="str">
        <f t="shared" si="58"/>
        <v>Abuja</v>
      </c>
      <c r="E434" s="4" t="str">
        <f>_xlfn.XLOOKUP(D434,'Sales Manager'!$A$2:$A$6,'Sales Manager'!$B$2:$B$6,"")</f>
        <v>Emeka Nwosu</v>
      </c>
      <c r="F434" s="3">
        <f t="shared" si="66"/>
        <v>1</v>
      </c>
      <c r="G434" s="1" t="str">
        <f t="shared" si="66"/>
        <v>Jan</v>
      </c>
      <c r="H434" s="11">
        <v>3000</v>
      </c>
      <c r="I434" s="11">
        <v>6454</v>
      </c>
      <c r="J434" s="11" cm="1">
        <f t="array" ref="J434">_xlfn.XLOOKUP(C434&amp;D434&amp;F434,Expense!$C$2:$C$601&amp;Expense!$D$2:$D$601&amp;Expense!$E$2:$E$601,Expense!$G$2:$G$601,"")</f>
        <v>1000</v>
      </c>
      <c r="K434" s="11" cm="1">
        <f t="array" ref="K434">_xlfn.XLOOKUP(C434&amp;D434&amp;F434,Expense!$C$2:$C$601&amp;Expense!$D$2:$D$601&amp;Expense!$E$2:$E$601,Expense!$H$2:$H$601,"")</f>
        <v>900</v>
      </c>
      <c r="L434" s="14">
        <f t="shared" si="62"/>
        <v>3454</v>
      </c>
      <c r="M434" s="14">
        <f>Master_Table[[#This Row],[Expense Budget]]-Master_Table[[#This Row],[Actual Expense]]</f>
        <v>100</v>
      </c>
      <c r="N434" s="16">
        <f t="shared" si="63"/>
        <v>5554</v>
      </c>
      <c r="O434" s="29">
        <f t="shared" si="60"/>
        <v>2000</v>
      </c>
      <c r="P434" s="16">
        <f t="shared" si="61"/>
        <v>3554</v>
      </c>
      <c r="Q434" s="28">
        <f>Master_Table[[#This Row],[△Sales Variance]]/Master_Table[[#This Row],[Sales Budget]]</f>
        <v>1.1513333333333333</v>
      </c>
      <c r="R434" s="28">
        <f>Master_Table[[#This Row],[△Expense  Variance]]/Master_Table[[#This Row],[Expense Budget]]</f>
        <v>0.1</v>
      </c>
      <c r="S434" s="28">
        <f>Master_Table[[#This Row],[Net Profit Variance]]/Master_Table[[#This Row],[Budget Net Profit]]</f>
        <v>1.7769999999999999</v>
      </c>
      <c r="T434" s="28">
        <f>Master_Table[[#This Row],[Actual Net Profit]]/Master_Table[[#This Row],[Actual Sales]]</f>
        <v>0.86055159590951347</v>
      </c>
      <c r="U434" s="28" t="str">
        <f>_xlfn.TEXTJOIN(" - ", TRUE, Master_Table[[#This Row],[Product]], Master_Table[[#This Row],[Branch]])</f>
        <v>Cucumber - Abuja</v>
      </c>
    </row>
    <row r="435" spans="1:21" ht="14.4" x14ac:dyDescent="0.3">
      <c r="A435" s="2">
        <v>434</v>
      </c>
      <c r="B435" s="2">
        <f t="shared" si="57"/>
        <v>107</v>
      </c>
      <c r="C435" s="1" t="str">
        <f>VLOOKUP(B435,Products!A:C,2,FALSE)</f>
        <v>Cucumber</v>
      </c>
      <c r="D435" s="1" t="str">
        <f t="shared" si="58"/>
        <v>Abuja</v>
      </c>
      <c r="E435" s="4" t="str">
        <f>_xlfn.XLOOKUP(D435,'Sales Manager'!$A$2:$A$6,'Sales Manager'!$B$2:$B$6,"")</f>
        <v>Emeka Nwosu</v>
      </c>
      <c r="F435" s="3">
        <f t="shared" si="66"/>
        <v>2</v>
      </c>
      <c r="G435" s="1" t="str">
        <f t="shared" si="66"/>
        <v>Feb</v>
      </c>
      <c r="H435" s="11">
        <v>5000</v>
      </c>
      <c r="I435" s="11">
        <v>3418</v>
      </c>
      <c r="J435" s="11" cm="1">
        <f t="array" ref="J435">_xlfn.XLOOKUP(C435&amp;D435&amp;F435,Expense!$C$2:$C$601&amp;Expense!$D$2:$D$601&amp;Expense!$E$2:$E$601,Expense!$G$2:$G$601,"")</f>
        <v>1666.6666666666667</v>
      </c>
      <c r="K435" s="11" cm="1">
        <f t="array" ref="K435">_xlfn.XLOOKUP(C435&amp;D435&amp;F435,Expense!$C$2:$C$601&amp;Expense!$D$2:$D$601&amp;Expense!$E$2:$E$601,Expense!$H$2:$H$601,"")</f>
        <v>1466.6666666666667</v>
      </c>
      <c r="L435" s="14">
        <f t="shared" si="62"/>
        <v>-1582</v>
      </c>
      <c r="M435" s="14">
        <f>Master_Table[[#This Row],[Expense Budget]]-Master_Table[[#This Row],[Actual Expense]]</f>
        <v>200</v>
      </c>
      <c r="N435" s="16">
        <f t="shared" si="63"/>
        <v>1951.3333333333333</v>
      </c>
      <c r="O435" s="29">
        <f t="shared" si="60"/>
        <v>3333.333333333333</v>
      </c>
      <c r="P435" s="16">
        <f t="shared" si="61"/>
        <v>-1381.9999999999998</v>
      </c>
      <c r="Q435" s="28">
        <f>Master_Table[[#This Row],[△Sales Variance]]/Master_Table[[#This Row],[Sales Budget]]</f>
        <v>-0.31640000000000001</v>
      </c>
      <c r="R435" s="28">
        <f>Master_Table[[#This Row],[△Expense  Variance]]/Master_Table[[#This Row],[Expense Budget]]</f>
        <v>0.12</v>
      </c>
      <c r="S435" s="28">
        <f>Master_Table[[#This Row],[Net Profit Variance]]/Master_Table[[#This Row],[Budget Net Profit]]</f>
        <v>-0.41459999999999997</v>
      </c>
      <c r="T435" s="28">
        <f>Master_Table[[#This Row],[Actual Net Profit]]/Master_Table[[#This Row],[Actual Sales]]</f>
        <v>0.57089916130290619</v>
      </c>
      <c r="U435" s="28" t="str">
        <f>_xlfn.TEXTJOIN(" - ", TRUE, Master_Table[[#This Row],[Product]], Master_Table[[#This Row],[Branch]])</f>
        <v>Cucumber - Abuja</v>
      </c>
    </row>
    <row r="436" spans="1:21" ht="14.4" x14ac:dyDescent="0.3">
      <c r="A436" s="2">
        <v>435</v>
      </c>
      <c r="B436" s="2">
        <f t="shared" si="57"/>
        <v>107</v>
      </c>
      <c r="C436" s="1" t="str">
        <f>VLOOKUP(B436,Products!A:C,2,FALSE)</f>
        <v>Cucumber</v>
      </c>
      <c r="D436" s="1" t="str">
        <f t="shared" si="58"/>
        <v>Abuja</v>
      </c>
      <c r="E436" s="4" t="str">
        <f>_xlfn.XLOOKUP(D436,'Sales Manager'!$A$2:$A$6,'Sales Manager'!$B$2:$B$6,"")</f>
        <v>Emeka Nwosu</v>
      </c>
      <c r="F436" s="3">
        <f t="shared" si="66"/>
        <v>3</v>
      </c>
      <c r="G436" s="1" t="str">
        <f t="shared" si="66"/>
        <v>Mar</v>
      </c>
      <c r="H436" s="11">
        <v>5000</v>
      </c>
      <c r="I436" s="11">
        <v>8150</v>
      </c>
      <c r="J436" s="11" cm="1">
        <f t="array" ref="J436">_xlfn.XLOOKUP(C436&amp;D436&amp;F436,Expense!$C$2:$C$601&amp;Expense!$D$2:$D$601&amp;Expense!$E$2:$E$601,Expense!$G$2:$G$601,"")</f>
        <v>1666.6666666666667</v>
      </c>
      <c r="K436" s="11" cm="1">
        <f t="array" ref="K436">_xlfn.XLOOKUP(C436&amp;D436&amp;F436,Expense!$C$2:$C$601&amp;Expense!$D$2:$D$601&amp;Expense!$E$2:$E$601,Expense!$H$2:$H$601,"")</f>
        <v>1566.6666666666667</v>
      </c>
      <c r="L436" s="14">
        <f t="shared" si="62"/>
        <v>3150</v>
      </c>
      <c r="M436" s="14">
        <f>Master_Table[[#This Row],[Expense Budget]]-Master_Table[[#This Row],[Actual Expense]]</f>
        <v>100</v>
      </c>
      <c r="N436" s="16">
        <f t="shared" si="63"/>
        <v>6583.333333333333</v>
      </c>
      <c r="O436" s="29">
        <f t="shared" si="60"/>
        <v>3333.333333333333</v>
      </c>
      <c r="P436" s="16">
        <f t="shared" si="61"/>
        <v>3250</v>
      </c>
      <c r="Q436" s="28">
        <f>Master_Table[[#This Row],[△Sales Variance]]/Master_Table[[#This Row],[Sales Budget]]</f>
        <v>0.63</v>
      </c>
      <c r="R436" s="28">
        <f>Master_Table[[#This Row],[△Expense  Variance]]/Master_Table[[#This Row],[Expense Budget]]</f>
        <v>0.06</v>
      </c>
      <c r="S436" s="28">
        <f>Master_Table[[#This Row],[Net Profit Variance]]/Master_Table[[#This Row],[Budget Net Profit]]</f>
        <v>0.97500000000000009</v>
      </c>
      <c r="T436" s="28">
        <f>Master_Table[[#This Row],[Actual Net Profit]]/Master_Table[[#This Row],[Actual Sales]]</f>
        <v>0.8077709611451942</v>
      </c>
      <c r="U436" s="28" t="str">
        <f>_xlfn.TEXTJOIN(" - ", TRUE, Master_Table[[#This Row],[Product]], Master_Table[[#This Row],[Branch]])</f>
        <v>Cucumber - Abuja</v>
      </c>
    </row>
    <row r="437" spans="1:21" ht="14.4" x14ac:dyDescent="0.3">
      <c r="A437" s="2">
        <v>436</v>
      </c>
      <c r="B437" s="2">
        <f t="shared" si="57"/>
        <v>107</v>
      </c>
      <c r="C437" s="1" t="str">
        <f>VLOOKUP(B437,Products!A:C,2,FALSE)</f>
        <v>Cucumber</v>
      </c>
      <c r="D437" s="1" t="str">
        <f t="shared" si="58"/>
        <v>Abuja</v>
      </c>
      <c r="E437" s="4" t="str">
        <f>_xlfn.XLOOKUP(D437,'Sales Manager'!$A$2:$A$6,'Sales Manager'!$B$2:$B$6,"")</f>
        <v>Emeka Nwosu</v>
      </c>
      <c r="F437" s="3">
        <f t="shared" si="66"/>
        <v>4</v>
      </c>
      <c r="G437" s="1" t="str">
        <f t="shared" si="66"/>
        <v>Apr</v>
      </c>
      <c r="H437" s="11">
        <v>1000</v>
      </c>
      <c r="I437" s="11">
        <v>9655</v>
      </c>
      <c r="J437" s="11" cm="1">
        <f t="array" ref="J437">_xlfn.XLOOKUP(C437&amp;D437&amp;F437,Expense!$C$2:$C$601&amp;Expense!$D$2:$D$601&amp;Expense!$E$2:$E$601,Expense!$G$2:$G$601,"")</f>
        <v>200</v>
      </c>
      <c r="K437" s="11" cm="1">
        <f t="array" ref="K437">_xlfn.XLOOKUP(C437&amp;D437&amp;F437,Expense!$C$2:$C$601&amp;Expense!$D$2:$D$601&amp;Expense!$E$2:$E$601,Expense!$H$2:$H$601,"")</f>
        <v>800</v>
      </c>
      <c r="L437" s="14">
        <f t="shared" si="62"/>
        <v>8655</v>
      </c>
      <c r="M437" s="14">
        <f>Master_Table[[#This Row],[Expense Budget]]-Master_Table[[#This Row],[Actual Expense]]</f>
        <v>-600</v>
      </c>
      <c r="N437" s="16">
        <f t="shared" si="63"/>
        <v>8855</v>
      </c>
      <c r="O437" s="29">
        <f t="shared" si="60"/>
        <v>800</v>
      </c>
      <c r="P437" s="16">
        <f t="shared" si="61"/>
        <v>8055</v>
      </c>
      <c r="Q437" s="28">
        <f>Master_Table[[#This Row],[△Sales Variance]]/Master_Table[[#This Row],[Sales Budget]]</f>
        <v>8.6549999999999994</v>
      </c>
      <c r="R437" s="28">
        <f>Master_Table[[#This Row],[△Expense  Variance]]/Master_Table[[#This Row],[Expense Budget]]</f>
        <v>-3</v>
      </c>
      <c r="S437" s="28">
        <f>Master_Table[[#This Row],[Net Profit Variance]]/Master_Table[[#This Row],[Budget Net Profit]]</f>
        <v>10.06875</v>
      </c>
      <c r="T437" s="28">
        <f>Master_Table[[#This Row],[Actual Net Profit]]/Master_Table[[#This Row],[Actual Sales]]</f>
        <v>0.91714137752459868</v>
      </c>
      <c r="U437" s="28" t="str">
        <f>_xlfn.TEXTJOIN(" - ", TRUE, Master_Table[[#This Row],[Product]], Master_Table[[#This Row],[Branch]])</f>
        <v>Cucumber - Abuja</v>
      </c>
    </row>
    <row r="438" spans="1:21" ht="14.4" x14ac:dyDescent="0.3">
      <c r="A438" s="2">
        <v>437</v>
      </c>
      <c r="B438" s="2">
        <f t="shared" si="57"/>
        <v>107</v>
      </c>
      <c r="C438" s="1" t="str">
        <f>VLOOKUP(B438,Products!A:C,2,FALSE)</f>
        <v>Cucumber</v>
      </c>
      <c r="D438" s="1" t="str">
        <f t="shared" si="58"/>
        <v>Abuja</v>
      </c>
      <c r="E438" s="4" t="str">
        <f>_xlfn.XLOOKUP(D438,'Sales Manager'!$A$2:$A$6,'Sales Manager'!$B$2:$B$6,"")</f>
        <v>Emeka Nwosu</v>
      </c>
      <c r="F438" s="3">
        <f t="shared" si="66"/>
        <v>5</v>
      </c>
      <c r="G438" s="1" t="str">
        <f t="shared" si="66"/>
        <v>May</v>
      </c>
      <c r="H438" s="11">
        <v>1000</v>
      </c>
      <c r="I438" s="11">
        <v>8140</v>
      </c>
      <c r="J438" s="11" cm="1">
        <f t="array" ref="J438">_xlfn.XLOOKUP(C438&amp;D438&amp;F438,Expense!$C$2:$C$601&amp;Expense!$D$2:$D$601&amp;Expense!$E$2:$E$601,Expense!$G$2:$G$601,"")</f>
        <v>333.33333333333331</v>
      </c>
      <c r="K438" s="11" cm="1">
        <f t="array" ref="K438">_xlfn.XLOOKUP(C438&amp;D438&amp;F438,Expense!$C$2:$C$601&amp;Expense!$D$2:$D$601&amp;Expense!$E$2:$E$601,Expense!$H$2:$H$601,"")</f>
        <v>233.33333333333331</v>
      </c>
      <c r="L438" s="14">
        <f t="shared" si="62"/>
        <v>7140</v>
      </c>
      <c r="M438" s="14">
        <f>Master_Table[[#This Row],[Expense Budget]]-Master_Table[[#This Row],[Actual Expense]]</f>
        <v>100</v>
      </c>
      <c r="N438" s="16">
        <f t="shared" si="63"/>
        <v>7906.666666666667</v>
      </c>
      <c r="O438" s="29">
        <f t="shared" si="60"/>
        <v>666.66666666666674</v>
      </c>
      <c r="P438" s="16">
        <f t="shared" si="61"/>
        <v>7240</v>
      </c>
      <c r="Q438" s="28">
        <f>Master_Table[[#This Row],[△Sales Variance]]/Master_Table[[#This Row],[Sales Budget]]</f>
        <v>7.14</v>
      </c>
      <c r="R438" s="28">
        <f>Master_Table[[#This Row],[△Expense  Variance]]/Master_Table[[#This Row],[Expense Budget]]</f>
        <v>0.30000000000000004</v>
      </c>
      <c r="S438" s="28">
        <f>Master_Table[[#This Row],[Net Profit Variance]]/Master_Table[[#This Row],[Budget Net Profit]]</f>
        <v>10.86</v>
      </c>
      <c r="T438" s="28">
        <f>Master_Table[[#This Row],[Actual Net Profit]]/Master_Table[[#This Row],[Actual Sales]]</f>
        <v>0.97133497133497138</v>
      </c>
      <c r="U438" s="28" t="str">
        <f>_xlfn.TEXTJOIN(" - ", TRUE, Master_Table[[#This Row],[Product]], Master_Table[[#This Row],[Branch]])</f>
        <v>Cucumber - Abuja</v>
      </c>
    </row>
    <row r="439" spans="1:21" ht="14.4" x14ac:dyDescent="0.3">
      <c r="A439" s="2">
        <v>438</v>
      </c>
      <c r="B439" s="2">
        <f t="shared" si="57"/>
        <v>107</v>
      </c>
      <c r="C439" s="1" t="str">
        <f>VLOOKUP(B439,Products!A:C,2,FALSE)</f>
        <v>Cucumber</v>
      </c>
      <c r="D439" s="1" t="str">
        <f t="shared" si="58"/>
        <v>Abuja</v>
      </c>
      <c r="E439" s="4" t="str">
        <f>_xlfn.XLOOKUP(D439,'Sales Manager'!$A$2:$A$6,'Sales Manager'!$B$2:$B$6,"")</f>
        <v>Emeka Nwosu</v>
      </c>
      <c r="F439" s="3">
        <f t="shared" si="66"/>
        <v>6</v>
      </c>
      <c r="G439" s="1" t="str">
        <f t="shared" si="66"/>
        <v>Jun</v>
      </c>
      <c r="H439" s="11">
        <v>5000</v>
      </c>
      <c r="I439" s="11">
        <v>5513</v>
      </c>
      <c r="J439" s="11" cm="1">
        <f t="array" ref="J439">_xlfn.XLOOKUP(C439&amp;D439&amp;F439,Expense!$C$2:$C$601&amp;Expense!$D$2:$D$601&amp;Expense!$E$2:$E$601,Expense!$G$2:$G$601,"")</f>
        <v>1666.6666666666667</v>
      </c>
      <c r="K439" s="11" cm="1">
        <f t="array" ref="K439">_xlfn.XLOOKUP(C439&amp;D439&amp;F439,Expense!$C$2:$C$601&amp;Expense!$D$2:$D$601&amp;Expense!$E$2:$E$601,Expense!$H$2:$H$601,"")</f>
        <v>1666.6666666666667</v>
      </c>
      <c r="L439" s="14">
        <f t="shared" si="62"/>
        <v>513</v>
      </c>
      <c r="M439" s="14">
        <f>Master_Table[[#This Row],[Expense Budget]]-Master_Table[[#This Row],[Actual Expense]]</f>
        <v>0</v>
      </c>
      <c r="N439" s="16">
        <f t="shared" si="63"/>
        <v>3846.333333333333</v>
      </c>
      <c r="O439" s="29">
        <f t="shared" si="60"/>
        <v>3333.333333333333</v>
      </c>
      <c r="P439" s="16">
        <f t="shared" si="61"/>
        <v>513</v>
      </c>
      <c r="Q439" s="28">
        <f>Master_Table[[#This Row],[△Sales Variance]]/Master_Table[[#This Row],[Sales Budget]]</f>
        <v>0.1026</v>
      </c>
      <c r="R439" s="28">
        <f>Master_Table[[#This Row],[△Expense  Variance]]/Master_Table[[#This Row],[Expense Budget]]</f>
        <v>0</v>
      </c>
      <c r="S439" s="28">
        <f>Master_Table[[#This Row],[Net Profit Variance]]/Master_Table[[#This Row],[Budget Net Profit]]</f>
        <v>0.15390000000000001</v>
      </c>
      <c r="T439" s="28">
        <f>Master_Table[[#This Row],[Actual Net Profit]]/Master_Table[[#This Row],[Actual Sales]]</f>
        <v>0.69768426144265061</v>
      </c>
      <c r="U439" s="28" t="str">
        <f>_xlfn.TEXTJOIN(" - ", TRUE, Master_Table[[#This Row],[Product]], Master_Table[[#This Row],[Branch]])</f>
        <v>Cucumber - Abuja</v>
      </c>
    </row>
    <row r="440" spans="1:21" ht="14.4" x14ac:dyDescent="0.3">
      <c r="A440" s="2">
        <v>439</v>
      </c>
      <c r="B440" s="2">
        <f t="shared" si="57"/>
        <v>107</v>
      </c>
      <c r="C440" s="1" t="str">
        <f>VLOOKUP(B440,Products!A:C,2,FALSE)</f>
        <v>Cucumber</v>
      </c>
      <c r="D440" s="1" t="str">
        <f t="shared" si="58"/>
        <v>Abuja</v>
      </c>
      <c r="E440" s="4" t="str">
        <f>_xlfn.XLOOKUP(D440,'Sales Manager'!$A$2:$A$6,'Sales Manager'!$B$2:$B$6,"")</f>
        <v>Emeka Nwosu</v>
      </c>
      <c r="F440" s="3">
        <f t="shared" si="66"/>
        <v>7</v>
      </c>
      <c r="G440" s="1" t="str">
        <f t="shared" si="66"/>
        <v>Jul</v>
      </c>
      <c r="H440" s="11">
        <v>9000</v>
      </c>
      <c r="I440" s="11">
        <v>2596</v>
      </c>
      <c r="J440" s="11" cm="1">
        <f t="array" ref="J440">_xlfn.XLOOKUP(C440&amp;D440&amp;F440,Expense!$C$2:$C$601&amp;Expense!$D$2:$D$601&amp;Expense!$E$2:$E$601,Expense!$G$2:$G$601,"")</f>
        <v>4500</v>
      </c>
      <c r="K440" s="11" cm="1">
        <f t="array" ref="K440">_xlfn.XLOOKUP(C440&amp;D440&amp;F440,Expense!$C$2:$C$601&amp;Expense!$D$2:$D$601&amp;Expense!$E$2:$E$601,Expense!$H$2:$H$601,"")</f>
        <v>4100</v>
      </c>
      <c r="L440" s="14">
        <f t="shared" si="62"/>
        <v>-6404</v>
      </c>
      <c r="M440" s="14">
        <f>Master_Table[[#This Row],[Expense Budget]]-Master_Table[[#This Row],[Actual Expense]]</f>
        <v>400</v>
      </c>
      <c r="N440" s="16">
        <f t="shared" si="63"/>
        <v>-1504</v>
      </c>
      <c r="O440" s="29">
        <f t="shared" si="60"/>
        <v>4500</v>
      </c>
      <c r="P440" s="16">
        <f t="shared" si="61"/>
        <v>-6004</v>
      </c>
      <c r="Q440" s="28">
        <f>Master_Table[[#This Row],[△Sales Variance]]/Master_Table[[#This Row],[Sales Budget]]</f>
        <v>-0.71155555555555561</v>
      </c>
      <c r="R440" s="28">
        <f>Master_Table[[#This Row],[△Expense  Variance]]/Master_Table[[#This Row],[Expense Budget]]</f>
        <v>8.8888888888888892E-2</v>
      </c>
      <c r="S440" s="28">
        <f>Master_Table[[#This Row],[Net Profit Variance]]/Master_Table[[#This Row],[Budget Net Profit]]</f>
        <v>-1.3342222222222222</v>
      </c>
      <c r="T440" s="28">
        <f>Master_Table[[#This Row],[Actual Net Profit]]/Master_Table[[#This Row],[Actual Sales]]</f>
        <v>-0.5793528505392912</v>
      </c>
      <c r="U440" s="28" t="str">
        <f>_xlfn.TEXTJOIN(" - ", TRUE, Master_Table[[#This Row],[Product]], Master_Table[[#This Row],[Branch]])</f>
        <v>Cucumber - Abuja</v>
      </c>
    </row>
    <row r="441" spans="1:21" ht="14.4" x14ac:dyDescent="0.3">
      <c r="A441" s="2">
        <v>440</v>
      </c>
      <c r="B441" s="2">
        <f t="shared" si="57"/>
        <v>107</v>
      </c>
      <c r="C441" s="1" t="str">
        <f>VLOOKUP(B441,Products!A:C,2,FALSE)</f>
        <v>Cucumber</v>
      </c>
      <c r="D441" s="1" t="str">
        <f t="shared" si="58"/>
        <v>Abuja</v>
      </c>
      <c r="E441" s="4" t="str">
        <f>_xlfn.XLOOKUP(D441,'Sales Manager'!$A$2:$A$6,'Sales Manager'!$B$2:$B$6,"")</f>
        <v>Emeka Nwosu</v>
      </c>
      <c r="F441" s="3">
        <f t="shared" si="66"/>
        <v>8</v>
      </c>
      <c r="G441" s="1" t="str">
        <f t="shared" si="66"/>
        <v>Aug</v>
      </c>
      <c r="H441" s="11">
        <v>5000</v>
      </c>
      <c r="I441" s="11">
        <v>10438</v>
      </c>
      <c r="J441" s="11" cm="1">
        <f t="array" ref="J441">_xlfn.XLOOKUP(C441&amp;D441&amp;F441,Expense!$C$2:$C$601&amp;Expense!$D$2:$D$601&amp;Expense!$E$2:$E$601,Expense!$G$2:$G$601,"")</f>
        <v>1666.6666666666667</v>
      </c>
      <c r="K441" s="11" cm="1">
        <f t="array" ref="K441">_xlfn.XLOOKUP(C441&amp;D441&amp;F441,Expense!$C$2:$C$601&amp;Expense!$D$2:$D$601&amp;Expense!$E$2:$E$601,Expense!$H$2:$H$601,"")</f>
        <v>1566.6666666666667</v>
      </c>
      <c r="L441" s="14">
        <f t="shared" si="62"/>
        <v>5438</v>
      </c>
      <c r="M441" s="14">
        <f>Master_Table[[#This Row],[Expense Budget]]-Master_Table[[#This Row],[Actual Expense]]</f>
        <v>100</v>
      </c>
      <c r="N441" s="16">
        <f t="shared" si="63"/>
        <v>8871.3333333333339</v>
      </c>
      <c r="O441" s="29">
        <f t="shared" si="60"/>
        <v>3333.333333333333</v>
      </c>
      <c r="P441" s="16">
        <f t="shared" si="61"/>
        <v>5538.0000000000009</v>
      </c>
      <c r="Q441" s="28">
        <f>Master_Table[[#This Row],[△Sales Variance]]/Master_Table[[#This Row],[Sales Budget]]</f>
        <v>1.0875999999999999</v>
      </c>
      <c r="R441" s="28">
        <f>Master_Table[[#This Row],[△Expense  Variance]]/Master_Table[[#This Row],[Expense Budget]]</f>
        <v>0.06</v>
      </c>
      <c r="S441" s="28">
        <f>Master_Table[[#This Row],[Net Profit Variance]]/Master_Table[[#This Row],[Budget Net Profit]]</f>
        <v>1.6614000000000004</v>
      </c>
      <c r="T441" s="28">
        <f>Master_Table[[#This Row],[Actual Net Profit]]/Master_Table[[#This Row],[Actual Sales]]</f>
        <v>0.84990738966596413</v>
      </c>
      <c r="U441" s="28" t="str">
        <f>_xlfn.TEXTJOIN(" - ", TRUE, Master_Table[[#This Row],[Product]], Master_Table[[#This Row],[Branch]])</f>
        <v>Cucumber - Abuja</v>
      </c>
    </row>
    <row r="442" spans="1:21" ht="14.4" x14ac:dyDescent="0.3">
      <c r="A442" s="2">
        <v>441</v>
      </c>
      <c r="B442" s="2">
        <f t="shared" si="57"/>
        <v>107</v>
      </c>
      <c r="C442" s="1" t="str">
        <f>VLOOKUP(B442,Products!A:C,2,FALSE)</f>
        <v>Cucumber</v>
      </c>
      <c r="D442" s="1" t="str">
        <f t="shared" si="58"/>
        <v>Abuja</v>
      </c>
      <c r="E442" s="4" t="str">
        <f>_xlfn.XLOOKUP(D442,'Sales Manager'!$A$2:$A$6,'Sales Manager'!$B$2:$B$6,"")</f>
        <v>Emeka Nwosu</v>
      </c>
      <c r="F442" s="3">
        <f t="shared" si="66"/>
        <v>9</v>
      </c>
      <c r="G442" s="1" t="str">
        <f t="shared" si="66"/>
        <v>Sept</v>
      </c>
      <c r="H442" s="11">
        <v>3000</v>
      </c>
      <c r="I442" s="11">
        <v>7251</v>
      </c>
      <c r="J442" s="11" cm="1">
        <f t="array" ref="J442">_xlfn.XLOOKUP(C442&amp;D442&amp;F442,Expense!$C$2:$C$601&amp;Expense!$D$2:$D$601&amp;Expense!$E$2:$E$601,Expense!$G$2:$G$601,"")</f>
        <v>750</v>
      </c>
      <c r="K442" s="11" cm="1">
        <f t="array" ref="K442">_xlfn.XLOOKUP(C442&amp;D442&amp;F442,Expense!$C$2:$C$601&amp;Expense!$D$2:$D$601&amp;Expense!$E$2:$E$601,Expense!$H$2:$H$601,"")</f>
        <v>350</v>
      </c>
      <c r="L442" s="14">
        <f t="shared" si="62"/>
        <v>4251</v>
      </c>
      <c r="M442" s="14">
        <f>Master_Table[[#This Row],[Expense Budget]]-Master_Table[[#This Row],[Actual Expense]]</f>
        <v>400</v>
      </c>
      <c r="N442" s="16">
        <f t="shared" si="63"/>
        <v>6901</v>
      </c>
      <c r="O442" s="29">
        <f t="shared" si="60"/>
        <v>2250</v>
      </c>
      <c r="P442" s="16">
        <f t="shared" si="61"/>
        <v>4651</v>
      </c>
      <c r="Q442" s="28">
        <f>Master_Table[[#This Row],[△Sales Variance]]/Master_Table[[#This Row],[Sales Budget]]</f>
        <v>1.417</v>
      </c>
      <c r="R442" s="28">
        <f>Master_Table[[#This Row],[△Expense  Variance]]/Master_Table[[#This Row],[Expense Budget]]</f>
        <v>0.53333333333333333</v>
      </c>
      <c r="S442" s="28">
        <f>Master_Table[[#This Row],[Net Profit Variance]]/Master_Table[[#This Row],[Budget Net Profit]]</f>
        <v>2.0671111111111111</v>
      </c>
      <c r="T442" s="28">
        <f>Master_Table[[#This Row],[Actual Net Profit]]/Master_Table[[#This Row],[Actual Sales]]</f>
        <v>0.95173079575231001</v>
      </c>
      <c r="U442" s="28" t="str">
        <f>_xlfn.TEXTJOIN(" - ", TRUE, Master_Table[[#This Row],[Product]], Master_Table[[#This Row],[Branch]])</f>
        <v>Cucumber - Abuja</v>
      </c>
    </row>
    <row r="443" spans="1:21" ht="14.4" x14ac:dyDescent="0.3">
      <c r="A443" s="2">
        <v>442</v>
      </c>
      <c r="B443" s="2">
        <f t="shared" si="57"/>
        <v>107</v>
      </c>
      <c r="C443" s="1" t="str">
        <f>VLOOKUP(B443,Products!A:C,2,FALSE)</f>
        <v>Cucumber</v>
      </c>
      <c r="D443" s="1" t="str">
        <f t="shared" si="58"/>
        <v>Abuja</v>
      </c>
      <c r="E443" s="4" t="str">
        <f>_xlfn.XLOOKUP(D443,'Sales Manager'!$A$2:$A$6,'Sales Manager'!$B$2:$B$6,"")</f>
        <v>Emeka Nwosu</v>
      </c>
      <c r="F443" s="3">
        <f t="shared" si="66"/>
        <v>10</v>
      </c>
      <c r="G443" s="1" t="str">
        <f t="shared" si="66"/>
        <v>Oct</v>
      </c>
      <c r="H443" s="11">
        <v>2000</v>
      </c>
      <c r="I443" s="11">
        <v>6522</v>
      </c>
      <c r="J443" s="11" cm="1">
        <f t="array" ref="J443">_xlfn.XLOOKUP(C443&amp;D443&amp;F443,Expense!$C$2:$C$601&amp;Expense!$D$2:$D$601&amp;Expense!$E$2:$E$601,Expense!$G$2:$G$601,"")</f>
        <v>500</v>
      </c>
      <c r="K443" s="11" cm="1">
        <f t="array" ref="K443">_xlfn.XLOOKUP(C443&amp;D443&amp;F443,Expense!$C$2:$C$601&amp;Expense!$D$2:$D$601&amp;Expense!$E$2:$E$601,Expense!$H$2:$H$601,"")</f>
        <v>400</v>
      </c>
      <c r="L443" s="14">
        <f t="shared" si="62"/>
        <v>4522</v>
      </c>
      <c r="M443" s="14">
        <f>Master_Table[[#This Row],[Expense Budget]]-Master_Table[[#This Row],[Actual Expense]]</f>
        <v>100</v>
      </c>
      <c r="N443" s="16">
        <f t="shared" si="63"/>
        <v>6122</v>
      </c>
      <c r="O443" s="29">
        <f t="shared" si="60"/>
        <v>1500</v>
      </c>
      <c r="P443" s="16">
        <f t="shared" si="61"/>
        <v>4622</v>
      </c>
      <c r="Q443" s="28">
        <f>Master_Table[[#This Row],[△Sales Variance]]/Master_Table[[#This Row],[Sales Budget]]</f>
        <v>2.2610000000000001</v>
      </c>
      <c r="R443" s="28">
        <f>Master_Table[[#This Row],[△Expense  Variance]]/Master_Table[[#This Row],[Expense Budget]]</f>
        <v>0.2</v>
      </c>
      <c r="S443" s="28">
        <f>Master_Table[[#This Row],[Net Profit Variance]]/Master_Table[[#This Row],[Budget Net Profit]]</f>
        <v>3.0813333333333333</v>
      </c>
      <c r="T443" s="28">
        <f>Master_Table[[#This Row],[Actual Net Profit]]/Master_Table[[#This Row],[Actual Sales]]</f>
        <v>0.93866911990187063</v>
      </c>
      <c r="U443" s="28" t="str">
        <f>_xlfn.TEXTJOIN(" - ", TRUE, Master_Table[[#This Row],[Product]], Master_Table[[#This Row],[Branch]])</f>
        <v>Cucumber - Abuja</v>
      </c>
    </row>
    <row r="444" spans="1:21" ht="14.4" x14ac:dyDescent="0.3">
      <c r="A444" s="2">
        <v>443</v>
      </c>
      <c r="B444" s="2">
        <f t="shared" si="57"/>
        <v>107</v>
      </c>
      <c r="C444" s="1" t="str">
        <f>VLOOKUP(B444,Products!A:C,2,FALSE)</f>
        <v>Cucumber</v>
      </c>
      <c r="D444" s="1" t="str">
        <f t="shared" si="58"/>
        <v>Abuja</v>
      </c>
      <c r="E444" s="4" t="str">
        <f>_xlfn.XLOOKUP(D444,'Sales Manager'!$A$2:$A$6,'Sales Manager'!$B$2:$B$6,"")</f>
        <v>Emeka Nwosu</v>
      </c>
      <c r="F444" s="3">
        <f t="shared" si="66"/>
        <v>11</v>
      </c>
      <c r="G444" s="1" t="str">
        <f t="shared" si="66"/>
        <v>Nov</v>
      </c>
      <c r="H444" s="11">
        <v>3000</v>
      </c>
      <c r="I444" s="11">
        <v>7794</v>
      </c>
      <c r="J444" s="11" cm="1">
        <f t="array" ref="J444">_xlfn.XLOOKUP(C444&amp;D444&amp;F444,Expense!$C$2:$C$601&amp;Expense!$D$2:$D$601&amp;Expense!$E$2:$E$601,Expense!$G$2:$G$601,"")</f>
        <v>1500</v>
      </c>
      <c r="K444" s="11" cm="1">
        <f t="array" ref="K444">_xlfn.XLOOKUP(C444&amp;D444&amp;F444,Expense!$C$2:$C$601&amp;Expense!$D$2:$D$601&amp;Expense!$E$2:$E$601,Expense!$H$2:$H$601,"")</f>
        <v>1500</v>
      </c>
      <c r="L444" s="14">
        <f t="shared" si="62"/>
        <v>4794</v>
      </c>
      <c r="M444" s="14">
        <f>Master_Table[[#This Row],[Expense Budget]]-Master_Table[[#This Row],[Actual Expense]]</f>
        <v>0</v>
      </c>
      <c r="N444" s="16">
        <f t="shared" si="63"/>
        <v>6294</v>
      </c>
      <c r="O444" s="29">
        <f t="shared" si="60"/>
        <v>1500</v>
      </c>
      <c r="P444" s="16">
        <f t="shared" si="61"/>
        <v>4794</v>
      </c>
      <c r="Q444" s="28">
        <f>Master_Table[[#This Row],[△Sales Variance]]/Master_Table[[#This Row],[Sales Budget]]</f>
        <v>1.5980000000000001</v>
      </c>
      <c r="R444" s="28">
        <f>Master_Table[[#This Row],[△Expense  Variance]]/Master_Table[[#This Row],[Expense Budget]]</f>
        <v>0</v>
      </c>
      <c r="S444" s="28">
        <f>Master_Table[[#This Row],[Net Profit Variance]]/Master_Table[[#This Row],[Budget Net Profit]]</f>
        <v>3.1960000000000002</v>
      </c>
      <c r="T444" s="28">
        <f>Master_Table[[#This Row],[Actual Net Profit]]/Master_Table[[#This Row],[Actual Sales]]</f>
        <v>0.80754426481909158</v>
      </c>
      <c r="U444" s="28" t="str">
        <f>_xlfn.TEXTJOIN(" - ", TRUE, Master_Table[[#This Row],[Product]], Master_Table[[#This Row],[Branch]])</f>
        <v>Cucumber - Abuja</v>
      </c>
    </row>
    <row r="445" spans="1:21" ht="14.4" x14ac:dyDescent="0.3">
      <c r="A445" s="2">
        <v>444</v>
      </c>
      <c r="B445" s="2">
        <f t="shared" si="57"/>
        <v>107</v>
      </c>
      <c r="C445" s="1" t="str">
        <f>VLOOKUP(B445,Products!A:C,2,FALSE)</f>
        <v>Cucumber</v>
      </c>
      <c r="D445" s="1" t="str">
        <f t="shared" si="58"/>
        <v>Abuja</v>
      </c>
      <c r="E445" s="4" t="str">
        <f>_xlfn.XLOOKUP(D445,'Sales Manager'!$A$2:$A$6,'Sales Manager'!$B$2:$B$6,"")</f>
        <v>Emeka Nwosu</v>
      </c>
      <c r="F445" s="3">
        <f t="shared" si="66"/>
        <v>12</v>
      </c>
      <c r="G445" s="1" t="str">
        <f t="shared" si="66"/>
        <v>Dec</v>
      </c>
      <c r="H445" s="11">
        <v>5000</v>
      </c>
      <c r="I445" s="11">
        <v>5554</v>
      </c>
      <c r="J445" s="11" cm="1">
        <f t="array" ref="J445">_xlfn.XLOOKUP(C445&amp;D445&amp;F445,Expense!$C$2:$C$601&amp;Expense!$D$2:$D$601&amp;Expense!$E$2:$E$601,Expense!$G$2:$G$601,"")</f>
        <v>1666.6666666666667</v>
      </c>
      <c r="K445" s="11" cm="1">
        <f t="array" ref="K445">_xlfn.XLOOKUP(C445&amp;D445&amp;F445,Expense!$C$2:$C$601&amp;Expense!$D$2:$D$601&amp;Expense!$E$2:$E$601,Expense!$H$2:$H$601,"")</f>
        <v>1066.6666666666667</v>
      </c>
      <c r="L445" s="14">
        <f t="shared" si="62"/>
        <v>554</v>
      </c>
      <c r="M445" s="14">
        <f>Master_Table[[#This Row],[Expense Budget]]-Master_Table[[#This Row],[Actual Expense]]</f>
        <v>600</v>
      </c>
      <c r="N445" s="16">
        <f t="shared" si="63"/>
        <v>4487.333333333333</v>
      </c>
      <c r="O445" s="29">
        <f t="shared" si="60"/>
        <v>3333.333333333333</v>
      </c>
      <c r="P445" s="16">
        <f t="shared" si="61"/>
        <v>1154</v>
      </c>
      <c r="Q445" s="28">
        <f>Master_Table[[#This Row],[△Sales Variance]]/Master_Table[[#This Row],[Sales Budget]]</f>
        <v>0.1108</v>
      </c>
      <c r="R445" s="28">
        <f>Master_Table[[#This Row],[△Expense  Variance]]/Master_Table[[#This Row],[Expense Budget]]</f>
        <v>0.36</v>
      </c>
      <c r="S445" s="28">
        <f>Master_Table[[#This Row],[Net Profit Variance]]/Master_Table[[#This Row],[Budget Net Profit]]</f>
        <v>0.34620000000000001</v>
      </c>
      <c r="T445" s="28">
        <f>Master_Table[[#This Row],[Actual Net Profit]]/Master_Table[[#This Row],[Actual Sales]]</f>
        <v>0.80794622494298396</v>
      </c>
      <c r="U445" s="28" t="str">
        <f>_xlfn.TEXTJOIN(" - ", TRUE, Master_Table[[#This Row],[Product]], Master_Table[[#This Row],[Branch]])</f>
        <v>Cucumber - Abuja</v>
      </c>
    </row>
    <row r="446" spans="1:21" ht="14.4" x14ac:dyDescent="0.3">
      <c r="A446" s="2">
        <v>445</v>
      </c>
      <c r="B446" s="2">
        <f t="shared" si="57"/>
        <v>107</v>
      </c>
      <c r="C446" s="1" t="str">
        <f>VLOOKUP(B446,Products!A:C,2,FALSE)</f>
        <v>Cucumber</v>
      </c>
      <c r="D446" s="1" t="str">
        <f t="shared" si="58"/>
        <v>Warri</v>
      </c>
      <c r="E446" s="4" t="str">
        <f>_xlfn.XLOOKUP(D446,'Sales Manager'!$A$2:$A$6,'Sales Manager'!$B$2:$B$6,"")</f>
        <v>Gbenga Adesanya</v>
      </c>
      <c r="F446" s="3">
        <f t="shared" si="66"/>
        <v>1</v>
      </c>
      <c r="G446" s="1" t="str">
        <f t="shared" si="66"/>
        <v>Jan</v>
      </c>
      <c r="H446" s="11">
        <v>3000</v>
      </c>
      <c r="I446" s="11">
        <v>3226</v>
      </c>
      <c r="J446" s="11" cm="1">
        <f t="array" ref="J446">_xlfn.XLOOKUP(C446&amp;D446&amp;F446,Expense!$C$2:$C$601&amp;Expense!$D$2:$D$601&amp;Expense!$E$2:$E$601,Expense!$G$2:$G$601,"")</f>
        <v>1000</v>
      </c>
      <c r="K446" s="11" cm="1">
        <f t="array" ref="K446">_xlfn.XLOOKUP(C446&amp;D446&amp;F446,Expense!$C$2:$C$601&amp;Expense!$D$2:$D$601&amp;Expense!$E$2:$E$601,Expense!$H$2:$H$601,"")</f>
        <v>400</v>
      </c>
      <c r="L446" s="14">
        <f t="shared" si="62"/>
        <v>226</v>
      </c>
      <c r="M446" s="14">
        <f>Master_Table[[#This Row],[Expense Budget]]-Master_Table[[#This Row],[Actual Expense]]</f>
        <v>600</v>
      </c>
      <c r="N446" s="16">
        <f t="shared" si="63"/>
        <v>2826</v>
      </c>
      <c r="O446" s="29">
        <f t="shared" si="60"/>
        <v>2000</v>
      </c>
      <c r="P446" s="16">
        <f t="shared" si="61"/>
        <v>826</v>
      </c>
      <c r="Q446" s="28">
        <f>Master_Table[[#This Row],[△Sales Variance]]/Master_Table[[#This Row],[Sales Budget]]</f>
        <v>7.5333333333333335E-2</v>
      </c>
      <c r="R446" s="28">
        <f>Master_Table[[#This Row],[△Expense  Variance]]/Master_Table[[#This Row],[Expense Budget]]</f>
        <v>0.6</v>
      </c>
      <c r="S446" s="28">
        <f>Master_Table[[#This Row],[Net Profit Variance]]/Master_Table[[#This Row],[Budget Net Profit]]</f>
        <v>0.41299999999999998</v>
      </c>
      <c r="T446" s="28">
        <f>Master_Table[[#This Row],[Actual Net Profit]]/Master_Table[[#This Row],[Actual Sales]]</f>
        <v>0.87600743955362681</v>
      </c>
      <c r="U446" s="28" t="str">
        <f>_xlfn.TEXTJOIN(" - ", TRUE, Master_Table[[#This Row],[Product]], Master_Table[[#This Row],[Branch]])</f>
        <v>Cucumber - Warri</v>
      </c>
    </row>
    <row r="447" spans="1:21" ht="14.4" x14ac:dyDescent="0.3">
      <c r="A447" s="2">
        <v>446</v>
      </c>
      <c r="B447" s="2">
        <f t="shared" ref="B447:B510" si="67">B387+1</f>
        <v>107</v>
      </c>
      <c r="C447" s="1" t="str">
        <f>VLOOKUP(B447,Products!A:C,2,FALSE)</f>
        <v>Cucumber</v>
      </c>
      <c r="D447" s="1" t="str">
        <f t="shared" ref="D447:D510" si="68">D387</f>
        <v>Warri</v>
      </c>
      <c r="E447" s="4" t="str">
        <f>_xlfn.XLOOKUP(D447,'Sales Manager'!$A$2:$A$6,'Sales Manager'!$B$2:$B$6,"")</f>
        <v>Gbenga Adesanya</v>
      </c>
      <c r="F447" s="3">
        <f t="shared" ref="F447:G462" si="69">F435</f>
        <v>2</v>
      </c>
      <c r="G447" s="1" t="str">
        <f t="shared" si="69"/>
        <v>Feb</v>
      </c>
      <c r="H447" s="11">
        <v>10000</v>
      </c>
      <c r="I447" s="11">
        <v>5253</v>
      </c>
      <c r="J447" s="11" cm="1">
        <f t="array" ref="J447">_xlfn.XLOOKUP(C447&amp;D447&amp;F447,Expense!$C$2:$C$601&amp;Expense!$D$2:$D$601&amp;Expense!$E$2:$E$601,Expense!$G$2:$G$601,"")</f>
        <v>3333.3333333333335</v>
      </c>
      <c r="K447" s="11" cm="1">
        <f t="array" ref="K447">_xlfn.XLOOKUP(C447&amp;D447&amp;F447,Expense!$C$2:$C$601&amp;Expense!$D$2:$D$601&amp;Expense!$E$2:$E$601,Expense!$H$2:$H$601,"")</f>
        <v>3133.3333333333335</v>
      </c>
      <c r="L447" s="14">
        <f t="shared" si="62"/>
        <v>-4747</v>
      </c>
      <c r="M447" s="14">
        <f>Master_Table[[#This Row],[Expense Budget]]-Master_Table[[#This Row],[Actual Expense]]</f>
        <v>200</v>
      </c>
      <c r="N447" s="16">
        <f t="shared" si="63"/>
        <v>2119.6666666666665</v>
      </c>
      <c r="O447" s="29">
        <f t="shared" si="60"/>
        <v>6666.6666666666661</v>
      </c>
      <c r="P447" s="16">
        <f t="shared" si="61"/>
        <v>-4547</v>
      </c>
      <c r="Q447" s="28">
        <f>Master_Table[[#This Row],[△Sales Variance]]/Master_Table[[#This Row],[Sales Budget]]</f>
        <v>-0.47470000000000001</v>
      </c>
      <c r="R447" s="28">
        <f>Master_Table[[#This Row],[△Expense  Variance]]/Master_Table[[#This Row],[Expense Budget]]</f>
        <v>0.06</v>
      </c>
      <c r="S447" s="28">
        <f>Master_Table[[#This Row],[Net Profit Variance]]/Master_Table[[#This Row],[Budget Net Profit]]</f>
        <v>-0.68205000000000005</v>
      </c>
      <c r="T447" s="28">
        <f>Master_Table[[#This Row],[Actual Net Profit]]/Master_Table[[#This Row],[Actual Sales]]</f>
        <v>0.40351545148803858</v>
      </c>
      <c r="U447" s="28" t="str">
        <f>_xlfn.TEXTJOIN(" - ", TRUE, Master_Table[[#This Row],[Product]], Master_Table[[#This Row],[Branch]])</f>
        <v>Cucumber - Warri</v>
      </c>
    </row>
    <row r="448" spans="1:21" ht="14.4" x14ac:dyDescent="0.3">
      <c r="A448" s="2">
        <v>447</v>
      </c>
      <c r="B448" s="2">
        <f t="shared" si="67"/>
        <v>107</v>
      </c>
      <c r="C448" s="1" t="str">
        <f>VLOOKUP(B448,Products!A:C,2,FALSE)</f>
        <v>Cucumber</v>
      </c>
      <c r="D448" s="1" t="str">
        <f t="shared" si="68"/>
        <v>Warri</v>
      </c>
      <c r="E448" s="4" t="str">
        <f>_xlfn.XLOOKUP(D448,'Sales Manager'!$A$2:$A$6,'Sales Manager'!$B$2:$B$6,"")</f>
        <v>Gbenga Adesanya</v>
      </c>
      <c r="F448" s="3">
        <f t="shared" si="69"/>
        <v>3</v>
      </c>
      <c r="G448" s="1" t="str">
        <f t="shared" si="69"/>
        <v>Mar</v>
      </c>
      <c r="H448" s="11">
        <v>3000</v>
      </c>
      <c r="I448" s="11">
        <v>5211</v>
      </c>
      <c r="J448" s="11" cm="1">
        <f t="array" ref="J448">_xlfn.XLOOKUP(C448&amp;D448&amp;F448,Expense!$C$2:$C$601&amp;Expense!$D$2:$D$601&amp;Expense!$E$2:$E$601,Expense!$G$2:$G$601,"")</f>
        <v>1500</v>
      </c>
      <c r="K448" s="11" cm="1">
        <f t="array" ref="K448">_xlfn.XLOOKUP(C448&amp;D448&amp;F448,Expense!$C$2:$C$601&amp;Expense!$D$2:$D$601&amp;Expense!$E$2:$E$601,Expense!$H$2:$H$601,"")</f>
        <v>1400</v>
      </c>
      <c r="L448" s="14">
        <f t="shared" si="62"/>
        <v>2211</v>
      </c>
      <c r="M448" s="14">
        <f>Master_Table[[#This Row],[Expense Budget]]-Master_Table[[#This Row],[Actual Expense]]</f>
        <v>100</v>
      </c>
      <c r="N448" s="16">
        <f t="shared" si="63"/>
        <v>3811</v>
      </c>
      <c r="O448" s="29">
        <f t="shared" si="60"/>
        <v>1500</v>
      </c>
      <c r="P448" s="16">
        <f t="shared" si="61"/>
        <v>2311</v>
      </c>
      <c r="Q448" s="28">
        <f>Master_Table[[#This Row],[△Sales Variance]]/Master_Table[[#This Row],[Sales Budget]]</f>
        <v>0.73699999999999999</v>
      </c>
      <c r="R448" s="28">
        <f>Master_Table[[#This Row],[△Expense  Variance]]/Master_Table[[#This Row],[Expense Budget]]</f>
        <v>6.6666666666666666E-2</v>
      </c>
      <c r="S448" s="28">
        <f>Master_Table[[#This Row],[Net Profit Variance]]/Master_Table[[#This Row],[Budget Net Profit]]</f>
        <v>1.5406666666666666</v>
      </c>
      <c r="T448" s="28">
        <f>Master_Table[[#This Row],[Actual Net Profit]]/Master_Table[[#This Row],[Actual Sales]]</f>
        <v>0.73133755517175203</v>
      </c>
      <c r="U448" s="28" t="str">
        <f>_xlfn.TEXTJOIN(" - ", TRUE, Master_Table[[#This Row],[Product]], Master_Table[[#This Row],[Branch]])</f>
        <v>Cucumber - Warri</v>
      </c>
    </row>
    <row r="449" spans="1:21" ht="14.4" x14ac:dyDescent="0.3">
      <c r="A449" s="2">
        <v>448</v>
      </c>
      <c r="B449" s="2">
        <f t="shared" si="67"/>
        <v>107</v>
      </c>
      <c r="C449" s="1" t="str">
        <f>VLOOKUP(B449,Products!A:C,2,FALSE)</f>
        <v>Cucumber</v>
      </c>
      <c r="D449" s="1" t="str">
        <f t="shared" si="68"/>
        <v>Warri</v>
      </c>
      <c r="E449" s="4" t="str">
        <f>_xlfn.XLOOKUP(D449,'Sales Manager'!$A$2:$A$6,'Sales Manager'!$B$2:$B$6,"")</f>
        <v>Gbenga Adesanya</v>
      </c>
      <c r="F449" s="3">
        <f t="shared" si="69"/>
        <v>4</v>
      </c>
      <c r="G449" s="1" t="str">
        <f t="shared" si="69"/>
        <v>Apr</v>
      </c>
      <c r="H449" s="11">
        <v>5000</v>
      </c>
      <c r="I449" s="11">
        <v>2297</v>
      </c>
      <c r="J449" s="11" cm="1">
        <f t="array" ref="J449">_xlfn.XLOOKUP(C449&amp;D449&amp;F449,Expense!$C$2:$C$601&amp;Expense!$D$2:$D$601&amp;Expense!$E$2:$E$601,Expense!$G$2:$G$601,"")</f>
        <v>1250</v>
      </c>
      <c r="K449" s="11" cm="1">
        <f t="array" ref="K449">_xlfn.XLOOKUP(C449&amp;D449&amp;F449,Expense!$C$2:$C$601&amp;Expense!$D$2:$D$601&amp;Expense!$E$2:$E$601,Expense!$H$2:$H$601,"")</f>
        <v>1150</v>
      </c>
      <c r="L449" s="14">
        <f t="shared" si="62"/>
        <v>-2703</v>
      </c>
      <c r="M449" s="14">
        <f>Master_Table[[#This Row],[Expense Budget]]-Master_Table[[#This Row],[Actual Expense]]</f>
        <v>100</v>
      </c>
      <c r="N449" s="16">
        <f t="shared" si="63"/>
        <v>1147</v>
      </c>
      <c r="O449" s="29">
        <f t="shared" si="60"/>
        <v>3750</v>
      </c>
      <c r="P449" s="16">
        <f t="shared" si="61"/>
        <v>-2603</v>
      </c>
      <c r="Q449" s="28">
        <f>Master_Table[[#This Row],[△Sales Variance]]/Master_Table[[#This Row],[Sales Budget]]</f>
        <v>-0.54059999999999997</v>
      </c>
      <c r="R449" s="28">
        <f>Master_Table[[#This Row],[△Expense  Variance]]/Master_Table[[#This Row],[Expense Budget]]</f>
        <v>0.08</v>
      </c>
      <c r="S449" s="28">
        <f>Master_Table[[#This Row],[Net Profit Variance]]/Master_Table[[#This Row],[Budget Net Profit]]</f>
        <v>-0.69413333333333338</v>
      </c>
      <c r="T449" s="28">
        <f>Master_Table[[#This Row],[Actual Net Profit]]/Master_Table[[#This Row],[Actual Sales]]</f>
        <v>0.49934697431432301</v>
      </c>
      <c r="U449" s="28" t="str">
        <f>_xlfn.TEXTJOIN(" - ", TRUE, Master_Table[[#This Row],[Product]], Master_Table[[#This Row],[Branch]])</f>
        <v>Cucumber - Warri</v>
      </c>
    </row>
    <row r="450" spans="1:21" ht="14.4" x14ac:dyDescent="0.3">
      <c r="A450" s="2">
        <v>449</v>
      </c>
      <c r="B450" s="2">
        <f t="shared" si="67"/>
        <v>107</v>
      </c>
      <c r="C450" s="1" t="str">
        <f>VLOOKUP(B450,Products!A:C,2,FALSE)</f>
        <v>Cucumber</v>
      </c>
      <c r="D450" s="1" t="str">
        <f t="shared" si="68"/>
        <v>Warri</v>
      </c>
      <c r="E450" s="4" t="str">
        <f>_xlfn.XLOOKUP(D450,'Sales Manager'!$A$2:$A$6,'Sales Manager'!$B$2:$B$6,"")</f>
        <v>Gbenga Adesanya</v>
      </c>
      <c r="F450" s="3">
        <f t="shared" si="69"/>
        <v>5</v>
      </c>
      <c r="G450" s="1" t="str">
        <f t="shared" si="69"/>
        <v>May</v>
      </c>
      <c r="H450" s="11">
        <v>4000</v>
      </c>
      <c r="I450" s="11">
        <v>5385</v>
      </c>
      <c r="J450" s="11" cm="1">
        <f t="array" ref="J450">_xlfn.XLOOKUP(C450&amp;D450&amp;F450,Expense!$C$2:$C$601&amp;Expense!$D$2:$D$601&amp;Expense!$E$2:$E$601,Expense!$G$2:$G$601,"")</f>
        <v>800</v>
      </c>
      <c r="K450" s="11" cm="1">
        <f t="array" ref="K450">_xlfn.XLOOKUP(C450&amp;D450&amp;F450,Expense!$C$2:$C$601&amp;Expense!$D$2:$D$601&amp;Expense!$E$2:$E$601,Expense!$H$2:$H$601,"")</f>
        <v>400</v>
      </c>
      <c r="L450" s="14">
        <f t="shared" si="62"/>
        <v>1385</v>
      </c>
      <c r="M450" s="14">
        <f>Master_Table[[#This Row],[Expense Budget]]-Master_Table[[#This Row],[Actual Expense]]</f>
        <v>400</v>
      </c>
      <c r="N450" s="16">
        <f t="shared" si="63"/>
        <v>4985</v>
      </c>
      <c r="O450" s="29">
        <f t="shared" ref="O450:O513" si="70">H450-J450</f>
        <v>3200</v>
      </c>
      <c r="P450" s="16">
        <f t="shared" ref="P450:P513" si="71">N450-O450</f>
        <v>1785</v>
      </c>
      <c r="Q450" s="28">
        <f>Master_Table[[#This Row],[△Sales Variance]]/Master_Table[[#This Row],[Sales Budget]]</f>
        <v>0.34625</v>
      </c>
      <c r="R450" s="28">
        <f>Master_Table[[#This Row],[△Expense  Variance]]/Master_Table[[#This Row],[Expense Budget]]</f>
        <v>0.5</v>
      </c>
      <c r="S450" s="28">
        <f>Master_Table[[#This Row],[Net Profit Variance]]/Master_Table[[#This Row],[Budget Net Profit]]</f>
        <v>0.55781250000000004</v>
      </c>
      <c r="T450" s="28">
        <f>Master_Table[[#This Row],[Actual Net Profit]]/Master_Table[[#This Row],[Actual Sales]]</f>
        <v>0.92571959145775307</v>
      </c>
      <c r="U450" s="28" t="str">
        <f>_xlfn.TEXTJOIN(" - ", TRUE, Master_Table[[#This Row],[Product]], Master_Table[[#This Row],[Branch]])</f>
        <v>Cucumber - Warri</v>
      </c>
    </row>
    <row r="451" spans="1:21" ht="14.4" x14ac:dyDescent="0.3">
      <c r="A451" s="2">
        <v>450</v>
      </c>
      <c r="B451" s="2">
        <f t="shared" si="67"/>
        <v>107</v>
      </c>
      <c r="C451" s="1" t="str">
        <f>VLOOKUP(B451,Products!A:C,2,FALSE)</f>
        <v>Cucumber</v>
      </c>
      <c r="D451" s="1" t="str">
        <f t="shared" si="68"/>
        <v>Warri</v>
      </c>
      <c r="E451" s="4" t="str">
        <f>_xlfn.XLOOKUP(D451,'Sales Manager'!$A$2:$A$6,'Sales Manager'!$B$2:$B$6,"")</f>
        <v>Gbenga Adesanya</v>
      </c>
      <c r="F451" s="3">
        <f t="shared" si="69"/>
        <v>6</v>
      </c>
      <c r="G451" s="1" t="str">
        <f t="shared" si="69"/>
        <v>Jun</v>
      </c>
      <c r="H451" s="11">
        <v>7000</v>
      </c>
      <c r="I451" s="11">
        <v>6451</v>
      </c>
      <c r="J451" s="11" cm="1">
        <f t="array" ref="J451">_xlfn.XLOOKUP(C451&amp;D451&amp;F451,Expense!$C$2:$C$601&amp;Expense!$D$2:$D$601&amp;Expense!$E$2:$E$601,Expense!$G$2:$G$601,"")</f>
        <v>3500</v>
      </c>
      <c r="K451" s="11" cm="1">
        <f t="array" ref="K451">_xlfn.XLOOKUP(C451&amp;D451&amp;F451,Expense!$C$2:$C$601&amp;Expense!$D$2:$D$601&amp;Expense!$E$2:$E$601,Expense!$H$2:$H$601,"")</f>
        <v>3100</v>
      </c>
      <c r="L451" s="14">
        <f t="shared" ref="L451:L514" si="72">I451-H451</f>
        <v>-549</v>
      </c>
      <c r="M451" s="14">
        <f>Master_Table[[#This Row],[Expense Budget]]-Master_Table[[#This Row],[Actual Expense]]</f>
        <v>400</v>
      </c>
      <c r="N451" s="16">
        <f t="shared" ref="N451:N514" si="73">I451-K451</f>
        <v>3351</v>
      </c>
      <c r="O451" s="29">
        <f t="shared" si="70"/>
        <v>3500</v>
      </c>
      <c r="P451" s="16">
        <f t="shared" si="71"/>
        <v>-149</v>
      </c>
      <c r="Q451" s="28">
        <f>Master_Table[[#This Row],[△Sales Variance]]/Master_Table[[#This Row],[Sales Budget]]</f>
        <v>-7.8428571428571431E-2</v>
      </c>
      <c r="R451" s="28">
        <f>Master_Table[[#This Row],[△Expense  Variance]]/Master_Table[[#This Row],[Expense Budget]]</f>
        <v>0.11428571428571428</v>
      </c>
      <c r="S451" s="28">
        <f>Master_Table[[#This Row],[Net Profit Variance]]/Master_Table[[#This Row],[Budget Net Profit]]</f>
        <v>-4.2571428571428573E-2</v>
      </c>
      <c r="T451" s="28">
        <f>Master_Table[[#This Row],[Actual Net Profit]]/Master_Table[[#This Row],[Actual Sales]]</f>
        <v>0.51945434816307545</v>
      </c>
      <c r="U451" s="28" t="str">
        <f>_xlfn.TEXTJOIN(" - ", TRUE, Master_Table[[#This Row],[Product]], Master_Table[[#This Row],[Branch]])</f>
        <v>Cucumber - Warri</v>
      </c>
    </row>
    <row r="452" spans="1:21" ht="14.4" x14ac:dyDescent="0.3">
      <c r="A452" s="2">
        <v>451</v>
      </c>
      <c r="B452" s="2">
        <f t="shared" si="67"/>
        <v>107</v>
      </c>
      <c r="C452" s="1" t="str">
        <f>VLOOKUP(B452,Products!A:C,2,FALSE)</f>
        <v>Cucumber</v>
      </c>
      <c r="D452" s="1" t="str">
        <f t="shared" si="68"/>
        <v>Warri</v>
      </c>
      <c r="E452" s="4" t="str">
        <f>_xlfn.XLOOKUP(D452,'Sales Manager'!$A$2:$A$6,'Sales Manager'!$B$2:$B$6,"")</f>
        <v>Gbenga Adesanya</v>
      </c>
      <c r="F452" s="3">
        <f t="shared" si="69"/>
        <v>7</v>
      </c>
      <c r="G452" s="1" t="str">
        <f t="shared" si="69"/>
        <v>Jul</v>
      </c>
      <c r="H452" s="11">
        <v>10000</v>
      </c>
      <c r="I452" s="11">
        <v>5518</v>
      </c>
      <c r="J452" s="11" cm="1">
        <f t="array" ref="J452">_xlfn.XLOOKUP(C452&amp;D452&amp;F452,Expense!$C$2:$C$601&amp;Expense!$D$2:$D$601&amp;Expense!$E$2:$E$601,Expense!$G$2:$G$601,"")</f>
        <v>2500</v>
      </c>
      <c r="K452" s="11" cm="1">
        <f t="array" ref="K452">_xlfn.XLOOKUP(C452&amp;D452&amp;F452,Expense!$C$2:$C$601&amp;Expense!$D$2:$D$601&amp;Expense!$E$2:$E$601,Expense!$H$2:$H$601,"")</f>
        <v>2200</v>
      </c>
      <c r="L452" s="14">
        <f t="shared" si="72"/>
        <v>-4482</v>
      </c>
      <c r="M452" s="14">
        <f>Master_Table[[#This Row],[Expense Budget]]-Master_Table[[#This Row],[Actual Expense]]</f>
        <v>300</v>
      </c>
      <c r="N452" s="16">
        <f t="shared" si="73"/>
        <v>3318</v>
      </c>
      <c r="O452" s="29">
        <f t="shared" si="70"/>
        <v>7500</v>
      </c>
      <c r="P452" s="16">
        <f t="shared" si="71"/>
        <v>-4182</v>
      </c>
      <c r="Q452" s="28">
        <f>Master_Table[[#This Row],[△Sales Variance]]/Master_Table[[#This Row],[Sales Budget]]</f>
        <v>-0.44819999999999999</v>
      </c>
      <c r="R452" s="28">
        <f>Master_Table[[#This Row],[△Expense  Variance]]/Master_Table[[#This Row],[Expense Budget]]</f>
        <v>0.12</v>
      </c>
      <c r="S452" s="28">
        <f>Master_Table[[#This Row],[Net Profit Variance]]/Master_Table[[#This Row],[Budget Net Profit]]</f>
        <v>-0.55759999999999998</v>
      </c>
      <c r="T452" s="28">
        <f>Master_Table[[#This Row],[Actual Net Profit]]/Master_Table[[#This Row],[Actual Sales]]</f>
        <v>0.60130482058716928</v>
      </c>
      <c r="U452" s="28" t="str">
        <f>_xlfn.TEXTJOIN(" - ", TRUE, Master_Table[[#This Row],[Product]], Master_Table[[#This Row],[Branch]])</f>
        <v>Cucumber - Warri</v>
      </c>
    </row>
    <row r="453" spans="1:21" ht="14.4" x14ac:dyDescent="0.3">
      <c r="A453" s="2">
        <v>452</v>
      </c>
      <c r="B453" s="2">
        <f t="shared" si="67"/>
        <v>107</v>
      </c>
      <c r="C453" s="1" t="str">
        <f>VLOOKUP(B453,Products!A:C,2,FALSE)</f>
        <v>Cucumber</v>
      </c>
      <c r="D453" s="1" t="str">
        <f t="shared" si="68"/>
        <v>Warri</v>
      </c>
      <c r="E453" s="4" t="str">
        <f>_xlfn.XLOOKUP(D453,'Sales Manager'!$A$2:$A$6,'Sales Manager'!$B$2:$B$6,"")</f>
        <v>Gbenga Adesanya</v>
      </c>
      <c r="F453" s="3">
        <f t="shared" si="69"/>
        <v>8</v>
      </c>
      <c r="G453" s="1" t="str">
        <f t="shared" si="69"/>
        <v>Aug</v>
      </c>
      <c r="H453" s="11">
        <v>10000</v>
      </c>
      <c r="I453" s="11">
        <v>2166</v>
      </c>
      <c r="J453" s="11" cm="1">
        <f t="array" ref="J453">_xlfn.XLOOKUP(C453&amp;D453&amp;F453,Expense!$C$2:$C$601&amp;Expense!$D$2:$D$601&amp;Expense!$E$2:$E$601,Expense!$G$2:$G$601,"")</f>
        <v>3333.3333333333335</v>
      </c>
      <c r="K453" s="11" cm="1">
        <f t="array" ref="K453">_xlfn.XLOOKUP(C453&amp;D453&amp;F453,Expense!$C$2:$C$601&amp;Expense!$D$2:$D$601&amp;Expense!$E$2:$E$601,Expense!$H$2:$H$601,"")</f>
        <v>3033.3333333333335</v>
      </c>
      <c r="L453" s="14">
        <f t="shared" si="72"/>
        <v>-7834</v>
      </c>
      <c r="M453" s="14">
        <f>Master_Table[[#This Row],[Expense Budget]]-Master_Table[[#This Row],[Actual Expense]]</f>
        <v>300</v>
      </c>
      <c r="N453" s="16">
        <f t="shared" si="73"/>
        <v>-867.33333333333348</v>
      </c>
      <c r="O453" s="29">
        <f t="shared" si="70"/>
        <v>6666.6666666666661</v>
      </c>
      <c r="P453" s="16">
        <f t="shared" si="71"/>
        <v>-7534</v>
      </c>
      <c r="Q453" s="28">
        <f>Master_Table[[#This Row],[△Sales Variance]]/Master_Table[[#This Row],[Sales Budget]]</f>
        <v>-0.78339999999999999</v>
      </c>
      <c r="R453" s="28">
        <f>Master_Table[[#This Row],[△Expense  Variance]]/Master_Table[[#This Row],[Expense Budget]]</f>
        <v>0.09</v>
      </c>
      <c r="S453" s="28">
        <f>Master_Table[[#This Row],[Net Profit Variance]]/Master_Table[[#This Row],[Budget Net Profit]]</f>
        <v>-1.1301000000000001</v>
      </c>
      <c r="T453" s="28">
        <f>Master_Table[[#This Row],[Actual Net Profit]]/Master_Table[[#This Row],[Actual Sales]]</f>
        <v>-0.40043090181594343</v>
      </c>
      <c r="U453" s="28" t="str">
        <f>_xlfn.TEXTJOIN(" - ", TRUE, Master_Table[[#This Row],[Product]], Master_Table[[#This Row],[Branch]])</f>
        <v>Cucumber - Warri</v>
      </c>
    </row>
    <row r="454" spans="1:21" ht="14.4" x14ac:dyDescent="0.3">
      <c r="A454" s="2">
        <v>453</v>
      </c>
      <c r="B454" s="2">
        <f t="shared" si="67"/>
        <v>107</v>
      </c>
      <c r="C454" s="1" t="str">
        <f>VLOOKUP(B454,Products!A:C,2,FALSE)</f>
        <v>Cucumber</v>
      </c>
      <c r="D454" s="1" t="str">
        <f t="shared" si="68"/>
        <v>Warri</v>
      </c>
      <c r="E454" s="4" t="str">
        <f>_xlfn.XLOOKUP(D454,'Sales Manager'!$A$2:$A$6,'Sales Manager'!$B$2:$B$6,"")</f>
        <v>Gbenga Adesanya</v>
      </c>
      <c r="F454" s="3">
        <f t="shared" si="69"/>
        <v>9</v>
      </c>
      <c r="G454" s="1" t="str">
        <f t="shared" si="69"/>
        <v>Sept</v>
      </c>
      <c r="H454" s="11">
        <v>1000</v>
      </c>
      <c r="I454" s="11">
        <v>4211</v>
      </c>
      <c r="J454" s="11" cm="1">
        <f t="array" ref="J454">_xlfn.XLOOKUP(C454&amp;D454&amp;F454,Expense!$C$2:$C$601&amp;Expense!$D$2:$D$601&amp;Expense!$E$2:$E$601,Expense!$G$2:$G$601,"")</f>
        <v>333.33333333333331</v>
      </c>
      <c r="K454" s="11" cm="1">
        <f t="array" ref="K454">_xlfn.XLOOKUP(C454&amp;D454&amp;F454,Expense!$C$2:$C$601&amp;Expense!$D$2:$D$601&amp;Expense!$E$2:$E$601,Expense!$H$2:$H$601,"")</f>
        <v>233.33333333333331</v>
      </c>
      <c r="L454" s="14">
        <f t="shared" si="72"/>
        <v>3211</v>
      </c>
      <c r="M454" s="14">
        <f>Master_Table[[#This Row],[Expense Budget]]-Master_Table[[#This Row],[Actual Expense]]</f>
        <v>100</v>
      </c>
      <c r="N454" s="16">
        <f t="shared" si="73"/>
        <v>3977.6666666666665</v>
      </c>
      <c r="O454" s="29">
        <f t="shared" si="70"/>
        <v>666.66666666666674</v>
      </c>
      <c r="P454" s="16">
        <f t="shared" si="71"/>
        <v>3311</v>
      </c>
      <c r="Q454" s="28">
        <f>Master_Table[[#This Row],[△Sales Variance]]/Master_Table[[#This Row],[Sales Budget]]</f>
        <v>3.2109999999999999</v>
      </c>
      <c r="R454" s="28">
        <f>Master_Table[[#This Row],[△Expense  Variance]]/Master_Table[[#This Row],[Expense Budget]]</f>
        <v>0.30000000000000004</v>
      </c>
      <c r="S454" s="28">
        <f>Master_Table[[#This Row],[Net Profit Variance]]/Master_Table[[#This Row],[Budget Net Profit]]</f>
        <v>4.966499999999999</v>
      </c>
      <c r="T454" s="28">
        <f>Master_Table[[#This Row],[Actual Net Profit]]/Master_Table[[#This Row],[Actual Sales]]</f>
        <v>0.94458956700704499</v>
      </c>
      <c r="U454" s="28" t="str">
        <f>_xlfn.TEXTJOIN(" - ", TRUE, Master_Table[[#This Row],[Product]], Master_Table[[#This Row],[Branch]])</f>
        <v>Cucumber - Warri</v>
      </c>
    </row>
    <row r="455" spans="1:21" ht="14.4" x14ac:dyDescent="0.3">
      <c r="A455" s="2">
        <v>454</v>
      </c>
      <c r="B455" s="2">
        <f t="shared" si="67"/>
        <v>107</v>
      </c>
      <c r="C455" s="1" t="str">
        <f>VLOOKUP(B455,Products!A:C,2,FALSE)</f>
        <v>Cucumber</v>
      </c>
      <c r="D455" s="1" t="str">
        <f t="shared" si="68"/>
        <v>Warri</v>
      </c>
      <c r="E455" s="4" t="str">
        <f>_xlfn.XLOOKUP(D455,'Sales Manager'!$A$2:$A$6,'Sales Manager'!$B$2:$B$6,"")</f>
        <v>Gbenga Adesanya</v>
      </c>
      <c r="F455" s="3">
        <f t="shared" si="69"/>
        <v>10</v>
      </c>
      <c r="G455" s="1" t="str">
        <f t="shared" si="69"/>
        <v>Oct</v>
      </c>
      <c r="H455" s="11">
        <v>2000</v>
      </c>
      <c r="I455" s="11">
        <v>7643</v>
      </c>
      <c r="J455" s="11" cm="1">
        <f t="array" ref="J455">_xlfn.XLOOKUP(C455&amp;D455&amp;F455,Expense!$C$2:$C$601&amp;Expense!$D$2:$D$601&amp;Expense!$E$2:$E$601,Expense!$G$2:$G$601,"")</f>
        <v>500</v>
      </c>
      <c r="K455" s="11" cm="1">
        <f t="array" ref="K455">_xlfn.XLOOKUP(C455&amp;D455&amp;F455,Expense!$C$2:$C$601&amp;Expense!$D$2:$D$601&amp;Expense!$E$2:$E$601,Expense!$H$2:$H$601,"")</f>
        <v>500</v>
      </c>
      <c r="L455" s="14">
        <f t="shared" si="72"/>
        <v>5643</v>
      </c>
      <c r="M455" s="14">
        <f>Master_Table[[#This Row],[Expense Budget]]-Master_Table[[#This Row],[Actual Expense]]</f>
        <v>0</v>
      </c>
      <c r="N455" s="16">
        <f t="shared" si="73"/>
        <v>7143</v>
      </c>
      <c r="O455" s="29">
        <f t="shared" si="70"/>
        <v>1500</v>
      </c>
      <c r="P455" s="16">
        <f t="shared" si="71"/>
        <v>5643</v>
      </c>
      <c r="Q455" s="28">
        <f>Master_Table[[#This Row],[△Sales Variance]]/Master_Table[[#This Row],[Sales Budget]]</f>
        <v>2.8214999999999999</v>
      </c>
      <c r="R455" s="28">
        <f>Master_Table[[#This Row],[△Expense  Variance]]/Master_Table[[#This Row],[Expense Budget]]</f>
        <v>0</v>
      </c>
      <c r="S455" s="28">
        <f>Master_Table[[#This Row],[Net Profit Variance]]/Master_Table[[#This Row],[Budget Net Profit]]</f>
        <v>3.762</v>
      </c>
      <c r="T455" s="28">
        <f>Master_Table[[#This Row],[Actual Net Profit]]/Master_Table[[#This Row],[Actual Sales]]</f>
        <v>0.93458066204370016</v>
      </c>
      <c r="U455" s="28" t="str">
        <f>_xlfn.TEXTJOIN(" - ", TRUE, Master_Table[[#This Row],[Product]], Master_Table[[#This Row],[Branch]])</f>
        <v>Cucumber - Warri</v>
      </c>
    </row>
    <row r="456" spans="1:21" ht="14.4" x14ac:dyDescent="0.3">
      <c r="A456" s="2">
        <v>455</v>
      </c>
      <c r="B456" s="2">
        <f t="shared" si="67"/>
        <v>107</v>
      </c>
      <c r="C456" s="1" t="str">
        <f>VLOOKUP(B456,Products!A:C,2,FALSE)</f>
        <v>Cucumber</v>
      </c>
      <c r="D456" s="1" t="str">
        <f t="shared" si="68"/>
        <v>Warri</v>
      </c>
      <c r="E456" s="4" t="str">
        <f>_xlfn.XLOOKUP(D456,'Sales Manager'!$A$2:$A$6,'Sales Manager'!$B$2:$B$6,"")</f>
        <v>Gbenga Adesanya</v>
      </c>
      <c r="F456" s="3">
        <f t="shared" si="69"/>
        <v>11</v>
      </c>
      <c r="G456" s="1" t="str">
        <f t="shared" si="69"/>
        <v>Nov</v>
      </c>
      <c r="H456" s="11">
        <v>5000</v>
      </c>
      <c r="I456" s="11">
        <v>4697</v>
      </c>
      <c r="J456" s="11" cm="1">
        <f t="array" ref="J456">_xlfn.XLOOKUP(C456&amp;D456&amp;F456,Expense!$C$2:$C$601&amp;Expense!$D$2:$D$601&amp;Expense!$E$2:$E$601,Expense!$G$2:$G$601,"")</f>
        <v>1000</v>
      </c>
      <c r="K456" s="11" cm="1">
        <f t="array" ref="K456">_xlfn.XLOOKUP(C456&amp;D456&amp;F456,Expense!$C$2:$C$601&amp;Expense!$D$2:$D$601&amp;Expense!$E$2:$E$601,Expense!$H$2:$H$601,"")</f>
        <v>600</v>
      </c>
      <c r="L456" s="14">
        <f t="shared" si="72"/>
        <v>-303</v>
      </c>
      <c r="M456" s="14">
        <f>Master_Table[[#This Row],[Expense Budget]]-Master_Table[[#This Row],[Actual Expense]]</f>
        <v>400</v>
      </c>
      <c r="N456" s="16">
        <f t="shared" si="73"/>
        <v>4097</v>
      </c>
      <c r="O456" s="29">
        <f t="shared" si="70"/>
        <v>4000</v>
      </c>
      <c r="P456" s="16">
        <f t="shared" si="71"/>
        <v>97</v>
      </c>
      <c r="Q456" s="28">
        <f>Master_Table[[#This Row],[△Sales Variance]]/Master_Table[[#This Row],[Sales Budget]]</f>
        <v>-6.0600000000000001E-2</v>
      </c>
      <c r="R456" s="28">
        <f>Master_Table[[#This Row],[△Expense  Variance]]/Master_Table[[#This Row],[Expense Budget]]</f>
        <v>0.4</v>
      </c>
      <c r="S456" s="28">
        <f>Master_Table[[#This Row],[Net Profit Variance]]/Master_Table[[#This Row],[Budget Net Profit]]</f>
        <v>2.4250000000000001E-2</v>
      </c>
      <c r="T456" s="28">
        <f>Master_Table[[#This Row],[Actual Net Profit]]/Master_Table[[#This Row],[Actual Sales]]</f>
        <v>0.87225888865233125</v>
      </c>
      <c r="U456" s="28" t="str">
        <f>_xlfn.TEXTJOIN(" - ", TRUE, Master_Table[[#This Row],[Product]], Master_Table[[#This Row],[Branch]])</f>
        <v>Cucumber - Warri</v>
      </c>
    </row>
    <row r="457" spans="1:21" ht="14.4" x14ac:dyDescent="0.3">
      <c r="A457" s="2">
        <v>456</v>
      </c>
      <c r="B457" s="2">
        <f t="shared" si="67"/>
        <v>107</v>
      </c>
      <c r="C457" s="1" t="str">
        <f>VLOOKUP(B457,Products!A:C,2,FALSE)</f>
        <v>Cucumber</v>
      </c>
      <c r="D457" s="1" t="str">
        <f t="shared" si="68"/>
        <v>Warri</v>
      </c>
      <c r="E457" s="4" t="str">
        <f>_xlfn.XLOOKUP(D457,'Sales Manager'!$A$2:$A$6,'Sales Manager'!$B$2:$B$6,"")</f>
        <v>Gbenga Adesanya</v>
      </c>
      <c r="F457" s="3">
        <f t="shared" si="69"/>
        <v>12</v>
      </c>
      <c r="G457" s="1" t="str">
        <f t="shared" si="69"/>
        <v>Dec</v>
      </c>
      <c r="H457" s="11">
        <v>1000</v>
      </c>
      <c r="I457" s="11">
        <v>2512</v>
      </c>
      <c r="J457" s="11" cm="1">
        <f t="array" ref="J457">_xlfn.XLOOKUP(C457&amp;D457&amp;F457,Expense!$C$2:$C$601&amp;Expense!$D$2:$D$601&amp;Expense!$E$2:$E$601,Expense!$G$2:$G$601,"")</f>
        <v>500</v>
      </c>
      <c r="K457" s="11" cm="1">
        <f t="array" ref="K457">_xlfn.XLOOKUP(C457&amp;D457&amp;F457,Expense!$C$2:$C$601&amp;Expense!$D$2:$D$601&amp;Expense!$E$2:$E$601,Expense!$H$2:$H$601,"")</f>
        <v>400</v>
      </c>
      <c r="L457" s="14">
        <f t="shared" si="72"/>
        <v>1512</v>
      </c>
      <c r="M457" s="14">
        <f>Master_Table[[#This Row],[Expense Budget]]-Master_Table[[#This Row],[Actual Expense]]</f>
        <v>100</v>
      </c>
      <c r="N457" s="16">
        <f t="shared" si="73"/>
        <v>2112</v>
      </c>
      <c r="O457" s="29">
        <f t="shared" si="70"/>
        <v>500</v>
      </c>
      <c r="P457" s="16">
        <f t="shared" si="71"/>
        <v>1612</v>
      </c>
      <c r="Q457" s="28">
        <f>Master_Table[[#This Row],[△Sales Variance]]/Master_Table[[#This Row],[Sales Budget]]</f>
        <v>1.512</v>
      </c>
      <c r="R457" s="28">
        <f>Master_Table[[#This Row],[△Expense  Variance]]/Master_Table[[#This Row],[Expense Budget]]</f>
        <v>0.2</v>
      </c>
      <c r="S457" s="28">
        <f>Master_Table[[#This Row],[Net Profit Variance]]/Master_Table[[#This Row],[Budget Net Profit]]</f>
        <v>3.2240000000000002</v>
      </c>
      <c r="T457" s="28">
        <f>Master_Table[[#This Row],[Actual Net Profit]]/Master_Table[[#This Row],[Actual Sales]]</f>
        <v>0.84076433121019112</v>
      </c>
      <c r="U457" s="28" t="str">
        <f>_xlfn.TEXTJOIN(" - ", TRUE, Master_Table[[#This Row],[Product]], Master_Table[[#This Row],[Branch]])</f>
        <v>Cucumber - Warri</v>
      </c>
    </row>
    <row r="458" spans="1:21" ht="14.4" x14ac:dyDescent="0.3">
      <c r="A458" s="2">
        <v>457</v>
      </c>
      <c r="B458" s="2">
        <f t="shared" si="67"/>
        <v>107</v>
      </c>
      <c r="C458" s="1" t="str">
        <f>VLOOKUP(B458,Products!A:C,2,FALSE)</f>
        <v>Cucumber</v>
      </c>
      <c r="D458" s="1" t="str">
        <f t="shared" si="68"/>
        <v>Kaduna</v>
      </c>
      <c r="E458" s="4" t="str">
        <f>_xlfn.XLOOKUP(D458,'Sales Manager'!$A$2:$A$6,'Sales Manager'!$B$2:$B$6,"")</f>
        <v>Musa Garba</v>
      </c>
      <c r="F458" s="3">
        <f t="shared" si="69"/>
        <v>1</v>
      </c>
      <c r="G458" s="1" t="str">
        <f t="shared" si="69"/>
        <v>Jan</v>
      </c>
      <c r="H458" s="11">
        <v>4000</v>
      </c>
      <c r="I458" s="11">
        <v>4945</v>
      </c>
      <c r="J458" s="11" cm="1">
        <f t="array" ref="J458">_xlfn.XLOOKUP(C458&amp;D458&amp;F458,Expense!$C$2:$C$601&amp;Expense!$D$2:$D$601&amp;Expense!$E$2:$E$601,Expense!$G$2:$G$601,"")</f>
        <v>800</v>
      </c>
      <c r="K458" s="11" cm="1">
        <f t="array" ref="K458">_xlfn.XLOOKUP(C458&amp;D458&amp;F458,Expense!$C$2:$C$601&amp;Expense!$D$2:$D$601&amp;Expense!$E$2:$E$601,Expense!$H$2:$H$601,"")</f>
        <v>700</v>
      </c>
      <c r="L458" s="14">
        <f t="shared" si="72"/>
        <v>945</v>
      </c>
      <c r="M458" s="14">
        <f>Master_Table[[#This Row],[Expense Budget]]-Master_Table[[#This Row],[Actual Expense]]</f>
        <v>100</v>
      </c>
      <c r="N458" s="16">
        <f t="shared" si="73"/>
        <v>4245</v>
      </c>
      <c r="O458" s="29">
        <f t="shared" si="70"/>
        <v>3200</v>
      </c>
      <c r="P458" s="16">
        <f t="shared" si="71"/>
        <v>1045</v>
      </c>
      <c r="Q458" s="28">
        <f>Master_Table[[#This Row],[△Sales Variance]]/Master_Table[[#This Row],[Sales Budget]]</f>
        <v>0.23624999999999999</v>
      </c>
      <c r="R458" s="28">
        <f>Master_Table[[#This Row],[△Expense  Variance]]/Master_Table[[#This Row],[Expense Budget]]</f>
        <v>0.125</v>
      </c>
      <c r="S458" s="28">
        <f>Master_Table[[#This Row],[Net Profit Variance]]/Master_Table[[#This Row],[Budget Net Profit]]</f>
        <v>0.32656249999999998</v>
      </c>
      <c r="T458" s="28">
        <f>Master_Table[[#This Row],[Actual Net Profit]]/Master_Table[[#This Row],[Actual Sales]]</f>
        <v>0.85844287158746213</v>
      </c>
      <c r="U458" s="28" t="str">
        <f>_xlfn.TEXTJOIN(" - ", TRUE, Master_Table[[#This Row],[Product]], Master_Table[[#This Row],[Branch]])</f>
        <v>Cucumber - Kaduna</v>
      </c>
    </row>
    <row r="459" spans="1:21" ht="14.4" x14ac:dyDescent="0.3">
      <c r="A459" s="2">
        <v>458</v>
      </c>
      <c r="B459" s="2">
        <f t="shared" si="67"/>
        <v>107</v>
      </c>
      <c r="C459" s="1" t="str">
        <f>VLOOKUP(B459,Products!A:C,2,FALSE)</f>
        <v>Cucumber</v>
      </c>
      <c r="D459" s="1" t="str">
        <f t="shared" si="68"/>
        <v>Kaduna</v>
      </c>
      <c r="E459" s="4" t="str">
        <f>_xlfn.XLOOKUP(D459,'Sales Manager'!$A$2:$A$6,'Sales Manager'!$B$2:$B$6,"")</f>
        <v>Musa Garba</v>
      </c>
      <c r="F459" s="3">
        <f t="shared" si="69"/>
        <v>2</v>
      </c>
      <c r="G459" s="1" t="str">
        <f t="shared" si="69"/>
        <v>Feb</v>
      </c>
      <c r="H459" s="11">
        <v>5000</v>
      </c>
      <c r="I459" s="11">
        <v>9221</v>
      </c>
      <c r="J459" s="11" cm="1">
        <f t="array" ref="J459">_xlfn.XLOOKUP(C459&amp;D459&amp;F459,Expense!$C$2:$C$601&amp;Expense!$D$2:$D$601&amp;Expense!$E$2:$E$601,Expense!$G$2:$G$601,"")</f>
        <v>1666.6666666666667</v>
      </c>
      <c r="K459" s="11" cm="1">
        <f t="array" ref="K459">_xlfn.XLOOKUP(C459&amp;D459&amp;F459,Expense!$C$2:$C$601&amp;Expense!$D$2:$D$601&amp;Expense!$E$2:$E$601,Expense!$H$2:$H$601,"")</f>
        <v>1166.6666666666667</v>
      </c>
      <c r="L459" s="14">
        <f t="shared" si="72"/>
        <v>4221</v>
      </c>
      <c r="M459" s="14">
        <f>Master_Table[[#This Row],[Expense Budget]]-Master_Table[[#This Row],[Actual Expense]]</f>
        <v>500</v>
      </c>
      <c r="N459" s="16">
        <f t="shared" si="73"/>
        <v>8054.333333333333</v>
      </c>
      <c r="O459" s="29">
        <f t="shared" si="70"/>
        <v>3333.333333333333</v>
      </c>
      <c r="P459" s="16">
        <f t="shared" si="71"/>
        <v>4721</v>
      </c>
      <c r="Q459" s="28">
        <f>Master_Table[[#This Row],[△Sales Variance]]/Master_Table[[#This Row],[Sales Budget]]</f>
        <v>0.84419999999999995</v>
      </c>
      <c r="R459" s="28">
        <f>Master_Table[[#This Row],[△Expense  Variance]]/Master_Table[[#This Row],[Expense Budget]]</f>
        <v>0.3</v>
      </c>
      <c r="S459" s="28">
        <f>Master_Table[[#This Row],[Net Profit Variance]]/Master_Table[[#This Row],[Budget Net Profit]]</f>
        <v>1.4163000000000001</v>
      </c>
      <c r="T459" s="28">
        <f>Master_Table[[#This Row],[Actual Net Profit]]/Master_Table[[#This Row],[Actual Sales]]</f>
        <v>0.87347720782272342</v>
      </c>
      <c r="U459" s="28" t="str">
        <f>_xlfn.TEXTJOIN(" - ", TRUE, Master_Table[[#This Row],[Product]], Master_Table[[#This Row],[Branch]])</f>
        <v>Cucumber - Kaduna</v>
      </c>
    </row>
    <row r="460" spans="1:21" ht="14.4" x14ac:dyDescent="0.3">
      <c r="A460" s="2">
        <v>459</v>
      </c>
      <c r="B460" s="2">
        <f t="shared" si="67"/>
        <v>107</v>
      </c>
      <c r="C460" s="1" t="str">
        <f>VLOOKUP(B460,Products!A:C,2,FALSE)</f>
        <v>Cucumber</v>
      </c>
      <c r="D460" s="1" t="str">
        <f t="shared" si="68"/>
        <v>Kaduna</v>
      </c>
      <c r="E460" s="4" t="str">
        <f>_xlfn.XLOOKUP(D460,'Sales Manager'!$A$2:$A$6,'Sales Manager'!$B$2:$B$6,"")</f>
        <v>Musa Garba</v>
      </c>
      <c r="F460" s="3">
        <f t="shared" si="69"/>
        <v>3</v>
      </c>
      <c r="G460" s="1" t="str">
        <f t="shared" si="69"/>
        <v>Mar</v>
      </c>
      <c r="H460" s="11">
        <v>4000</v>
      </c>
      <c r="I460" s="11">
        <v>4154</v>
      </c>
      <c r="J460" s="11" cm="1">
        <f t="array" ref="J460">_xlfn.XLOOKUP(C460&amp;D460&amp;F460,Expense!$C$2:$C$601&amp;Expense!$D$2:$D$601&amp;Expense!$E$2:$E$601,Expense!$G$2:$G$601,"")</f>
        <v>1333.3333333333333</v>
      </c>
      <c r="K460" s="11" cm="1">
        <f t="array" ref="K460">_xlfn.XLOOKUP(C460&amp;D460&amp;F460,Expense!$C$2:$C$601&amp;Expense!$D$2:$D$601&amp;Expense!$E$2:$E$601,Expense!$H$2:$H$601,"")</f>
        <v>1333.3333333333333</v>
      </c>
      <c r="L460" s="14">
        <f t="shared" si="72"/>
        <v>154</v>
      </c>
      <c r="M460" s="14">
        <f>Master_Table[[#This Row],[Expense Budget]]-Master_Table[[#This Row],[Actual Expense]]</f>
        <v>0</v>
      </c>
      <c r="N460" s="16">
        <f t="shared" si="73"/>
        <v>2820.666666666667</v>
      </c>
      <c r="O460" s="29">
        <f t="shared" si="70"/>
        <v>2666.666666666667</v>
      </c>
      <c r="P460" s="16">
        <f t="shared" si="71"/>
        <v>154</v>
      </c>
      <c r="Q460" s="28">
        <f>Master_Table[[#This Row],[△Sales Variance]]/Master_Table[[#This Row],[Sales Budget]]</f>
        <v>3.85E-2</v>
      </c>
      <c r="R460" s="28">
        <f>Master_Table[[#This Row],[△Expense  Variance]]/Master_Table[[#This Row],[Expense Budget]]</f>
        <v>0</v>
      </c>
      <c r="S460" s="28">
        <f>Master_Table[[#This Row],[Net Profit Variance]]/Master_Table[[#This Row],[Budget Net Profit]]</f>
        <v>5.7749999999999996E-2</v>
      </c>
      <c r="T460" s="28">
        <f>Master_Table[[#This Row],[Actual Net Profit]]/Master_Table[[#This Row],[Actual Sales]]</f>
        <v>0.67902423367035791</v>
      </c>
      <c r="U460" s="28" t="str">
        <f>_xlfn.TEXTJOIN(" - ", TRUE, Master_Table[[#This Row],[Product]], Master_Table[[#This Row],[Branch]])</f>
        <v>Cucumber - Kaduna</v>
      </c>
    </row>
    <row r="461" spans="1:21" ht="14.4" x14ac:dyDescent="0.3">
      <c r="A461" s="2">
        <v>460</v>
      </c>
      <c r="B461" s="2">
        <f t="shared" si="67"/>
        <v>107</v>
      </c>
      <c r="C461" s="1" t="str">
        <f>VLOOKUP(B461,Products!A:C,2,FALSE)</f>
        <v>Cucumber</v>
      </c>
      <c r="D461" s="1" t="str">
        <f t="shared" si="68"/>
        <v>Kaduna</v>
      </c>
      <c r="E461" s="4" t="str">
        <f>_xlfn.XLOOKUP(D461,'Sales Manager'!$A$2:$A$6,'Sales Manager'!$B$2:$B$6,"")</f>
        <v>Musa Garba</v>
      </c>
      <c r="F461" s="3">
        <f t="shared" si="69"/>
        <v>4</v>
      </c>
      <c r="G461" s="1" t="str">
        <f t="shared" si="69"/>
        <v>Apr</v>
      </c>
      <c r="H461" s="11">
        <v>9000</v>
      </c>
      <c r="I461" s="11">
        <v>3497</v>
      </c>
      <c r="J461" s="11" cm="1">
        <f t="array" ref="J461">_xlfn.XLOOKUP(C461&amp;D461&amp;F461,Expense!$C$2:$C$601&amp;Expense!$D$2:$D$601&amp;Expense!$E$2:$E$601,Expense!$G$2:$G$601,"")</f>
        <v>3000</v>
      </c>
      <c r="K461" s="11" cm="1">
        <f t="array" ref="K461">_xlfn.XLOOKUP(C461&amp;D461&amp;F461,Expense!$C$2:$C$601&amp;Expense!$D$2:$D$601&amp;Expense!$E$2:$E$601,Expense!$H$2:$H$601,"")</f>
        <v>3000</v>
      </c>
      <c r="L461" s="14">
        <f t="shared" si="72"/>
        <v>-5503</v>
      </c>
      <c r="M461" s="14">
        <f>Master_Table[[#This Row],[Expense Budget]]-Master_Table[[#This Row],[Actual Expense]]</f>
        <v>0</v>
      </c>
      <c r="N461" s="16">
        <f t="shared" si="73"/>
        <v>497</v>
      </c>
      <c r="O461" s="29">
        <f t="shared" si="70"/>
        <v>6000</v>
      </c>
      <c r="P461" s="16">
        <f t="shared" si="71"/>
        <v>-5503</v>
      </c>
      <c r="Q461" s="28">
        <f>Master_Table[[#This Row],[△Sales Variance]]/Master_Table[[#This Row],[Sales Budget]]</f>
        <v>-0.61144444444444446</v>
      </c>
      <c r="R461" s="28">
        <f>Master_Table[[#This Row],[△Expense  Variance]]/Master_Table[[#This Row],[Expense Budget]]</f>
        <v>0</v>
      </c>
      <c r="S461" s="28">
        <f>Master_Table[[#This Row],[Net Profit Variance]]/Master_Table[[#This Row],[Budget Net Profit]]</f>
        <v>-0.91716666666666669</v>
      </c>
      <c r="T461" s="28">
        <f>Master_Table[[#This Row],[Actual Net Profit]]/Master_Table[[#This Row],[Actual Sales]]</f>
        <v>0.14212181870174434</v>
      </c>
      <c r="U461" s="28" t="str">
        <f>_xlfn.TEXTJOIN(" - ", TRUE, Master_Table[[#This Row],[Product]], Master_Table[[#This Row],[Branch]])</f>
        <v>Cucumber - Kaduna</v>
      </c>
    </row>
    <row r="462" spans="1:21" ht="14.4" x14ac:dyDescent="0.3">
      <c r="A462" s="2">
        <v>461</v>
      </c>
      <c r="B462" s="2">
        <f t="shared" si="67"/>
        <v>107</v>
      </c>
      <c r="C462" s="1" t="str">
        <f>VLOOKUP(B462,Products!A:C,2,FALSE)</f>
        <v>Cucumber</v>
      </c>
      <c r="D462" s="1" t="str">
        <f t="shared" si="68"/>
        <v>Kaduna</v>
      </c>
      <c r="E462" s="4" t="str">
        <f>_xlfn.XLOOKUP(D462,'Sales Manager'!$A$2:$A$6,'Sales Manager'!$B$2:$B$6,"")</f>
        <v>Musa Garba</v>
      </c>
      <c r="F462" s="3">
        <f t="shared" si="69"/>
        <v>5</v>
      </c>
      <c r="G462" s="1" t="str">
        <f t="shared" si="69"/>
        <v>May</v>
      </c>
      <c r="H462" s="11">
        <v>1000</v>
      </c>
      <c r="I462" s="11">
        <v>5644</v>
      </c>
      <c r="J462" s="11" cm="1">
        <f t="array" ref="J462">_xlfn.XLOOKUP(C462&amp;D462&amp;F462,Expense!$C$2:$C$601&amp;Expense!$D$2:$D$601&amp;Expense!$E$2:$E$601,Expense!$G$2:$G$601,"")</f>
        <v>500</v>
      </c>
      <c r="K462" s="11" cm="1">
        <f t="array" ref="K462">_xlfn.XLOOKUP(C462&amp;D462&amp;F462,Expense!$C$2:$C$601&amp;Expense!$D$2:$D$601&amp;Expense!$E$2:$E$601,Expense!$H$2:$H$601,"")</f>
        <v>200</v>
      </c>
      <c r="L462" s="14">
        <f t="shared" si="72"/>
        <v>4644</v>
      </c>
      <c r="M462" s="14">
        <f>Master_Table[[#This Row],[Expense Budget]]-Master_Table[[#This Row],[Actual Expense]]</f>
        <v>300</v>
      </c>
      <c r="N462" s="16">
        <f t="shared" si="73"/>
        <v>5444</v>
      </c>
      <c r="O462" s="29">
        <f t="shared" si="70"/>
        <v>500</v>
      </c>
      <c r="P462" s="16">
        <f t="shared" si="71"/>
        <v>4944</v>
      </c>
      <c r="Q462" s="28">
        <f>Master_Table[[#This Row],[△Sales Variance]]/Master_Table[[#This Row],[Sales Budget]]</f>
        <v>4.6440000000000001</v>
      </c>
      <c r="R462" s="28">
        <f>Master_Table[[#This Row],[△Expense  Variance]]/Master_Table[[#This Row],[Expense Budget]]</f>
        <v>0.6</v>
      </c>
      <c r="S462" s="28">
        <f>Master_Table[[#This Row],[Net Profit Variance]]/Master_Table[[#This Row],[Budget Net Profit]]</f>
        <v>9.8879999999999999</v>
      </c>
      <c r="T462" s="28">
        <f>Master_Table[[#This Row],[Actual Net Profit]]/Master_Table[[#This Row],[Actual Sales]]</f>
        <v>0.96456413890857551</v>
      </c>
      <c r="U462" s="28" t="str">
        <f>_xlfn.TEXTJOIN(" - ", TRUE, Master_Table[[#This Row],[Product]], Master_Table[[#This Row],[Branch]])</f>
        <v>Cucumber - Kaduna</v>
      </c>
    </row>
    <row r="463" spans="1:21" ht="14.4" x14ac:dyDescent="0.3">
      <c r="A463" s="2">
        <v>462</v>
      </c>
      <c r="B463" s="2">
        <f t="shared" si="67"/>
        <v>107</v>
      </c>
      <c r="C463" s="1" t="str">
        <f>VLOOKUP(B463,Products!A:C,2,FALSE)</f>
        <v>Cucumber</v>
      </c>
      <c r="D463" s="1" t="str">
        <f t="shared" si="68"/>
        <v>Kaduna</v>
      </c>
      <c r="E463" s="4" t="str">
        <f>_xlfn.XLOOKUP(D463,'Sales Manager'!$A$2:$A$6,'Sales Manager'!$B$2:$B$6,"")</f>
        <v>Musa Garba</v>
      </c>
      <c r="F463" s="3">
        <f t="shared" ref="F463:G478" si="74">F451</f>
        <v>6</v>
      </c>
      <c r="G463" s="1" t="str">
        <f t="shared" si="74"/>
        <v>Jun</v>
      </c>
      <c r="H463" s="11">
        <v>5000</v>
      </c>
      <c r="I463" s="11">
        <v>4453</v>
      </c>
      <c r="J463" s="11" cm="1">
        <f t="array" ref="J463">_xlfn.XLOOKUP(C463&amp;D463&amp;F463,Expense!$C$2:$C$601&amp;Expense!$D$2:$D$601&amp;Expense!$E$2:$E$601,Expense!$G$2:$G$601,"")</f>
        <v>2500</v>
      </c>
      <c r="K463" s="11" cm="1">
        <f t="array" ref="K463">_xlfn.XLOOKUP(C463&amp;D463&amp;F463,Expense!$C$2:$C$601&amp;Expense!$D$2:$D$601&amp;Expense!$E$2:$E$601,Expense!$H$2:$H$601,"")</f>
        <v>2500</v>
      </c>
      <c r="L463" s="14">
        <f t="shared" si="72"/>
        <v>-547</v>
      </c>
      <c r="M463" s="14">
        <f>Master_Table[[#This Row],[Expense Budget]]-Master_Table[[#This Row],[Actual Expense]]</f>
        <v>0</v>
      </c>
      <c r="N463" s="16">
        <f t="shared" si="73"/>
        <v>1953</v>
      </c>
      <c r="O463" s="29">
        <f t="shared" si="70"/>
        <v>2500</v>
      </c>
      <c r="P463" s="16">
        <f t="shared" si="71"/>
        <v>-547</v>
      </c>
      <c r="Q463" s="28">
        <f>Master_Table[[#This Row],[△Sales Variance]]/Master_Table[[#This Row],[Sales Budget]]</f>
        <v>-0.1094</v>
      </c>
      <c r="R463" s="28">
        <f>Master_Table[[#This Row],[△Expense  Variance]]/Master_Table[[#This Row],[Expense Budget]]</f>
        <v>0</v>
      </c>
      <c r="S463" s="28">
        <f>Master_Table[[#This Row],[Net Profit Variance]]/Master_Table[[#This Row],[Budget Net Profit]]</f>
        <v>-0.21879999999999999</v>
      </c>
      <c r="T463" s="28">
        <f>Master_Table[[#This Row],[Actual Net Profit]]/Master_Table[[#This Row],[Actual Sales]]</f>
        <v>0.43858073209072534</v>
      </c>
      <c r="U463" s="28" t="str">
        <f>_xlfn.TEXTJOIN(" - ", TRUE, Master_Table[[#This Row],[Product]], Master_Table[[#This Row],[Branch]])</f>
        <v>Cucumber - Kaduna</v>
      </c>
    </row>
    <row r="464" spans="1:21" ht="14.4" x14ac:dyDescent="0.3">
      <c r="A464" s="2">
        <v>463</v>
      </c>
      <c r="B464" s="2">
        <f t="shared" si="67"/>
        <v>107</v>
      </c>
      <c r="C464" s="1" t="str">
        <f>VLOOKUP(B464,Products!A:C,2,FALSE)</f>
        <v>Cucumber</v>
      </c>
      <c r="D464" s="1" t="str">
        <f t="shared" si="68"/>
        <v>Kaduna</v>
      </c>
      <c r="E464" s="4" t="str">
        <f>_xlfn.XLOOKUP(D464,'Sales Manager'!$A$2:$A$6,'Sales Manager'!$B$2:$B$6,"")</f>
        <v>Musa Garba</v>
      </c>
      <c r="F464" s="3">
        <f t="shared" si="74"/>
        <v>7</v>
      </c>
      <c r="G464" s="1" t="str">
        <f t="shared" si="74"/>
        <v>Jul</v>
      </c>
      <c r="H464" s="11">
        <v>7000</v>
      </c>
      <c r="I464" s="11">
        <v>5243</v>
      </c>
      <c r="J464" s="11" cm="1">
        <f t="array" ref="J464">_xlfn.XLOOKUP(C464&amp;D464&amp;F464,Expense!$C$2:$C$601&amp;Expense!$D$2:$D$601&amp;Expense!$E$2:$E$601,Expense!$G$2:$G$601,"")</f>
        <v>1400</v>
      </c>
      <c r="K464" s="11" cm="1">
        <f t="array" ref="K464">_xlfn.XLOOKUP(C464&amp;D464&amp;F464,Expense!$C$2:$C$601&amp;Expense!$D$2:$D$601&amp;Expense!$E$2:$E$601,Expense!$H$2:$H$601,"")</f>
        <v>600</v>
      </c>
      <c r="L464" s="14">
        <f t="shared" si="72"/>
        <v>-1757</v>
      </c>
      <c r="M464" s="14">
        <f>Master_Table[[#This Row],[Expense Budget]]-Master_Table[[#This Row],[Actual Expense]]</f>
        <v>800</v>
      </c>
      <c r="N464" s="16">
        <f t="shared" si="73"/>
        <v>4643</v>
      </c>
      <c r="O464" s="29">
        <f t="shared" si="70"/>
        <v>5600</v>
      </c>
      <c r="P464" s="16">
        <f t="shared" si="71"/>
        <v>-957</v>
      </c>
      <c r="Q464" s="28">
        <f>Master_Table[[#This Row],[△Sales Variance]]/Master_Table[[#This Row],[Sales Budget]]</f>
        <v>-0.251</v>
      </c>
      <c r="R464" s="28">
        <f>Master_Table[[#This Row],[△Expense  Variance]]/Master_Table[[#This Row],[Expense Budget]]</f>
        <v>0.5714285714285714</v>
      </c>
      <c r="S464" s="28">
        <f>Master_Table[[#This Row],[Net Profit Variance]]/Master_Table[[#This Row],[Budget Net Profit]]</f>
        <v>-0.17089285714285715</v>
      </c>
      <c r="T464" s="28">
        <f>Master_Table[[#This Row],[Actual Net Profit]]/Master_Table[[#This Row],[Actual Sales]]</f>
        <v>0.88556170131604039</v>
      </c>
      <c r="U464" s="28" t="str">
        <f>_xlfn.TEXTJOIN(" - ", TRUE, Master_Table[[#This Row],[Product]], Master_Table[[#This Row],[Branch]])</f>
        <v>Cucumber - Kaduna</v>
      </c>
    </row>
    <row r="465" spans="1:21" ht="14.4" x14ac:dyDescent="0.3">
      <c r="A465" s="2">
        <v>464</v>
      </c>
      <c r="B465" s="2">
        <f t="shared" si="67"/>
        <v>107</v>
      </c>
      <c r="C465" s="1" t="str">
        <f>VLOOKUP(B465,Products!A:C,2,FALSE)</f>
        <v>Cucumber</v>
      </c>
      <c r="D465" s="1" t="str">
        <f t="shared" si="68"/>
        <v>Kaduna</v>
      </c>
      <c r="E465" s="4" t="str">
        <f>_xlfn.XLOOKUP(D465,'Sales Manager'!$A$2:$A$6,'Sales Manager'!$B$2:$B$6,"")</f>
        <v>Musa Garba</v>
      </c>
      <c r="F465" s="3">
        <f t="shared" si="74"/>
        <v>8</v>
      </c>
      <c r="G465" s="1" t="str">
        <f t="shared" si="74"/>
        <v>Aug</v>
      </c>
      <c r="H465" s="11">
        <v>2000</v>
      </c>
      <c r="I465" s="11">
        <v>4512</v>
      </c>
      <c r="J465" s="11" cm="1">
        <f t="array" ref="J465">_xlfn.XLOOKUP(C465&amp;D465&amp;F465,Expense!$C$2:$C$601&amp;Expense!$D$2:$D$601&amp;Expense!$E$2:$E$601,Expense!$G$2:$G$601,"")</f>
        <v>1000</v>
      </c>
      <c r="K465" s="11" cm="1">
        <f t="array" ref="K465">_xlfn.XLOOKUP(C465&amp;D465&amp;F465,Expense!$C$2:$C$601&amp;Expense!$D$2:$D$601&amp;Expense!$E$2:$E$601,Expense!$H$2:$H$601,"")</f>
        <v>900</v>
      </c>
      <c r="L465" s="14">
        <f t="shared" si="72"/>
        <v>2512</v>
      </c>
      <c r="M465" s="14">
        <f>Master_Table[[#This Row],[Expense Budget]]-Master_Table[[#This Row],[Actual Expense]]</f>
        <v>100</v>
      </c>
      <c r="N465" s="16">
        <f t="shared" si="73"/>
        <v>3612</v>
      </c>
      <c r="O465" s="29">
        <f t="shared" si="70"/>
        <v>1000</v>
      </c>
      <c r="P465" s="16">
        <f t="shared" si="71"/>
        <v>2612</v>
      </c>
      <c r="Q465" s="28">
        <f>Master_Table[[#This Row],[△Sales Variance]]/Master_Table[[#This Row],[Sales Budget]]</f>
        <v>1.256</v>
      </c>
      <c r="R465" s="28">
        <f>Master_Table[[#This Row],[△Expense  Variance]]/Master_Table[[#This Row],[Expense Budget]]</f>
        <v>0.1</v>
      </c>
      <c r="S465" s="28">
        <f>Master_Table[[#This Row],[Net Profit Variance]]/Master_Table[[#This Row],[Budget Net Profit]]</f>
        <v>2.6120000000000001</v>
      </c>
      <c r="T465" s="28">
        <f>Master_Table[[#This Row],[Actual Net Profit]]/Master_Table[[#This Row],[Actual Sales]]</f>
        <v>0.80053191489361697</v>
      </c>
      <c r="U465" s="28" t="str">
        <f>_xlfn.TEXTJOIN(" - ", TRUE, Master_Table[[#This Row],[Product]], Master_Table[[#This Row],[Branch]])</f>
        <v>Cucumber - Kaduna</v>
      </c>
    </row>
    <row r="466" spans="1:21" ht="14.4" x14ac:dyDescent="0.3">
      <c r="A466" s="2">
        <v>465</v>
      </c>
      <c r="B466" s="2">
        <f t="shared" si="67"/>
        <v>107</v>
      </c>
      <c r="C466" s="1" t="str">
        <f>VLOOKUP(B466,Products!A:C,2,FALSE)</f>
        <v>Cucumber</v>
      </c>
      <c r="D466" s="1" t="str">
        <f t="shared" si="68"/>
        <v>Kaduna</v>
      </c>
      <c r="E466" s="4" t="str">
        <f>_xlfn.XLOOKUP(D466,'Sales Manager'!$A$2:$A$6,'Sales Manager'!$B$2:$B$6,"")</f>
        <v>Musa Garba</v>
      </c>
      <c r="F466" s="3">
        <f t="shared" si="74"/>
        <v>9</v>
      </c>
      <c r="G466" s="1" t="str">
        <f t="shared" si="74"/>
        <v>Sept</v>
      </c>
      <c r="H466" s="11">
        <v>5000</v>
      </c>
      <c r="I466" s="11">
        <v>3413</v>
      </c>
      <c r="J466" s="11" cm="1">
        <f t="array" ref="J466">_xlfn.XLOOKUP(C466&amp;D466&amp;F466,Expense!$C$2:$C$601&amp;Expense!$D$2:$D$601&amp;Expense!$E$2:$E$601,Expense!$G$2:$G$601,"")</f>
        <v>1666.6666666666667</v>
      </c>
      <c r="K466" s="11" cm="1">
        <f t="array" ref="K466">_xlfn.XLOOKUP(C466&amp;D466&amp;F466,Expense!$C$2:$C$601&amp;Expense!$D$2:$D$601&amp;Expense!$E$2:$E$601,Expense!$H$2:$H$601,"")</f>
        <v>1066.6666666666667</v>
      </c>
      <c r="L466" s="14">
        <f t="shared" si="72"/>
        <v>-1587</v>
      </c>
      <c r="M466" s="14">
        <f>Master_Table[[#This Row],[Expense Budget]]-Master_Table[[#This Row],[Actual Expense]]</f>
        <v>600</v>
      </c>
      <c r="N466" s="16">
        <f t="shared" si="73"/>
        <v>2346.333333333333</v>
      </c>
      <c r="O466" s="29">
        <f t="shared" si="70"/>
        <v>3333.333333333333</v>
      </c>
      <c r="P466" s="16">
        <f t="shared" si="71"/>
        <v>-987</v>
      </c>
      <c r="Q466" s="28">
        <f>Master_Table[[#This Row],[△Sales Variance]]/Master_Table[[#This Row],[Sales Budget]]</f>
        <v>-0.31740000000000002</v>
      </c>
      <c r="R466" s="28">
        <f>Master_Table[[#This Row],[△Expense  Variance]]/Master_Table[[#This Row],[Expense Budget]]</f>
        <v>0.36</v>
      </c>
      <c r="S466" s="28">
        <f>Master_Table[[#This Row],[Net Profit Variance]]/Master_Table[[#This Row],[Budget Net Profit]]</f>
        <v>-0.29610000000000003</v>
      </c>
      <c r="T466" s="28">
        <f>Master_Table[[#This Row],[Actual Net Profit]]/Master_Table[[#This Row],[Actual Sales]]</f>
        <v>0.68746947944135162</v>
      </c>
      <c r="U466" s="28" t="str">
        <f>_xlfn.TEXTJOIN(" - ", TRUE, Master_Table[[#This Row],[Product]], Master_Table[[#This Row],[Branch]])</f>
        <v>Cucumber - Kaduna</v>
      </c>
    </row>
    <row r="467" spans="1:21" ht="14.4" x14ac:dyDescent="0.3">
      <c r="A467" s="2">
        <v>466</v>
      </c>
      <c r="B467" s="2">
        <f t="shared" si="67"/>
        <v>107</v>
      </c>
      <c r="C467" s="1" t="str">
        <f>VLOOKUP(B467,Products!A:C,2,FALSE)</f>
        <v>Cucumber</v>
      </c>
      <c r="D467" s="1" t="str">
        <f t="shared" si="68"/>
        <v>Kaduna</v>
      </c>
      <c r="E467" s="4" t="str">
        <f>_xlfn.XLOOKUP(D467,'Sales Manager'!$A$2:$A$6,'Sales Manager'!$B$2:$B$6,"")</f>
        <v>Musa Garba</v>
      </c>
      <c r="F467" s="3">
        <f t="shared" si="74"/>
        <v>10</v>
      </c>
      <c r="G467" s="1" t="str">
        <f t="shared" si="74"/>
        <v>Oct</v>
      </c>
      <c r="H467" s="11">
        <v>4000</v>
      </c>
      <c r="I467" s="11">
        <v>3895</v>
      </c>
      <c r="J467" s="11" cm="1">
        <f t="array" ref="J467">_xlfn.XLOOKUP(C467&amp;D467&amp;F467,Expense!$C$2:$C$601&amp;Expense!$D$2:$D$601&amp;Expense!$E$2:$E$601,Expense!$G$2:$G$601,"")</f>
        <v>1000</v>
      </c>
      <c r="K467" s="11" cm="1">
        <f t="array" ref="K467">_xlfn.XLOOKUP(C467&amp;D467&amp;F467,Expense!$C$2:$C$601&amp;Expense!$D$2:$D$601&amp;Expense!$E$2:$E$601,Expense!$H$2:$H$601,"")</f>
        <v>600</v>
      </c>
      <c r="L467" s="14">
        <f t="shared" si="72"/>
        <v>-105</v>
      </c>
      <c r="M467" s="14">
        <f>Master_Table[[#This Row],[Expense Budget]]-Master_Table[[#This Row],[Actual Expense]]</f>
        <v>400</v>
      </c>
      <c r="N467" s="16">
        <f t="shared" si="73"/>
        <v>3295</v>
      </c>
      <c r="O467" s="29">
        <f t="shared" si="70"/>
        <v>3000</v>
      </c>
      <c r="P467" s="16">
        <f t="shared" si="71"/>
        <v>295</v>
      </c>
      <c r="Q467" s="28">
        <f>Master_Table[[#This Row],[△Sales Variance]]/Master_Table[[#This Row],[Sales Budget]]</f>
        <v>-2.6249999999999999E-2</v>
      </c>
      <c r="R467" s="28">
        <f>Master_Table[[#This Row],[△Expense  Variance]]/Master_Table[[#This Row],[Expense Budget]]</f>
        <v>0.4</v>
      </c>
      <c r="S467" s="28">
        <f>Master_Table[[#This Row],[Net Profit Variance]]/Master_Table[[#This Row],[Budget Net Profit]]</f>
        <v>9.8333333333333328E-2</v>
      </c>
      <c r="T467" s="28">
        <f>Master_Table[[#This Row],[Actual Net Profit]]/Master_Table[[#This Row],[Actual Sales]]</f>
        <v>0.84595635430038507</v>
      </c>
      <c r="U467" s="28" t="str">
        <f>_xlfn.TEXTJOIN(" - ", TRUE, Master_Table[[#This Row],[Product]], Master_Table[[#This Row],[Branch]])</f>
        <v>Cucumber - Kaduna</v>
      </c>
    </row>
    <row r="468" spans="1:21" ht="14.4" x14ac:dyDescent="0.3">
      <c r="A468" s="2">
        <v>467</v>
      </c>
      <c r="B468" s="2">
        <f t="shared" si="67"/>
        <v>107</v>
      </c>
      <c r="C468" s="1" t="str">
        <f>VLOOKUP(B468,Products!A:C,2,FALSE)</f>
        <v>Cucumber</v>
      </c>
      <c r="D468" s="1" t="str">
        <f t="shared" si="68"/>
        <v>Kaduna</v>
      </c>
      <c r="E468" s="4" t="str">
        <f>_xlfn.XLOOKUP(D468,'Sales Manager'!$A$2:$A$6,'Sales Manager'!$B$2:$B$6,"")</f>
        <v>Musa Garba</v>
      </c>
      <c r="F468" s="3">
        <f t="shared" si="74"/>
        <v>11</v>
      </c>
      <c r="G468" s="1" t="str">
        <f t="shared" si="74"/>
        <v>Nov</v>
      </c>
      <c r="H468" s="11">
        <v>7000</v>
      </c>
      <c r="I468" s="11">
        <v>3255</v>
      </c>
      <c r="J468" s="11" cm="1">
        <f t="array" ref="J468">_xlfn.XLOOKUP(C468&amp;D468&amp;F468,Expense!$C$2:$C$601&amp;Expense!$D$2:$D$601&amp;Expense!$E$2:$E$601,Expense!$G$2:$G$601,"")</f>
        <v>1750</v>
      </c>
      <c r="K468" s="11" cm="1">
        <f t="array" ref="K468">_xlfn.XLOOKUP(C468&amp;D468&amp;F468,Expense!$C$2:$C$601&amp;Expense!$D$2:$D$601&amp;Expense!$E$2:$E$601,Expense!$H$2:$H$601,"")</f>
        <v>1050</v>
      </c>
      <c r="L468" s="14">
        <f t="shared" si="72"/>
        <v>-3745</v>
      </c>
      <c r="M468" s="14">
        <f>Master_Table[[#This Row],[Expense Budget]]-Master_Table[[#This Row],[Actual Expense]]</f>
        <v>700</v>
      </c>
      <c r="N468" s="16">
        <f t="shared" si="73"/>
        <v>2205</v>
      </c>
      <c r="O468" s="29">
        <f t="shared" si="70"/>
        <v>5250</v>
      </c>
      <c r="P468" s="16">
        <f t="shared" si="71"/>
        <v>-3045</v>
      </c>
      <c r="Q468" s="28">
        <f>Master_Table[[#This Row],[△Sales Variance]]/Master_Table[[#This Row],[Sales Budget]]</f>
        <v>-0.53500000000000003</v>
      </c>
      <c r="R468" s="28">
        <f>Master_Table[[#This Row],[△Expense  Variance]]/Master_Table[[#This Row],[Expense Budget]]</f>
        <v>0.4</v>
      </c>
      <c r="S468" s="28">
        <f>Master_Table[[#This Row],[Net Profit Variance]]/Master_Table[[#This Row],[Budget Net Profit]]</f>
        <v>-0.57999999999999996</v>
      </c>
      <c r="T468" s="28">
        <f>Master_Table[[#This Row],[Actual Net Profit]]/Master_Table[[#This Row],[Actual Sales]]</f>
        <v>0.67741935483870963</v>
      </c>
      <c r="U468" s="28" t="str">
        <f>_xlfn.TEXTJOIN(" - ", TRUE, Master_Table[[#This Row],[Product]], Master_Table[[#This Row],[Branch]])</f>
        <v>Cucumber - Kaduna</v>
      </c>
    </row>
    <row r="469" spans="1:21" ht="14.4" x14ac:dyDescent="0.3">
      <c r="A469" s="2">
        <v>468</v>
      </c>
      <c r="B469" s="2">
        <f t="shared" si="67"/>
        <v>107</v>
      </c>
      <c r="C469" s="1" t="str">
        <f>VLOOKUP(B469,Products!A:C,2,FALSE)</f>
        <v>Cucumber</v>
      </c>
      <c r="D469" s="1" t="str">
        <f t="shared" si="68"/>
        <v>Kaduna</v>
      </c>
      <c r="E469" s="4" t="str">
        <f>_xlfn.XLOOKUP(D469,'Sales Manager'!$A$2:$A$6,'Sales Manager'!$B$2:$B$6,"")</f>
        <v>Musa Garba</v>
      </c>
      <c r="F469" s="3">
        <f t="shared" si="74"/>
        <v>12</v>
      </c>
      <c r="G469" s="1" t="str">
        <f t="shared" si="74"/>
        <v>Dec</v>
      </c>
      <c r="H469" s="11">
        <v>3000</v>
      </c>
      <c r="I469" s="11">
        <v>2241</v>
      </c>
      <c r="J469" s="11" cm="1">
        <f t="array" ref="J469">_xlfn.XLOOKUP(C469&amp;D469&amp;F469,Expense!$C$2:$C$601&amp;Expense!$D$2:$D$601&amp;Expense!$E$2:$E$601,Expense!$G$2:$G$601,"")</f>
        <v>600</v>
      </c>
      <c r="K469" s="11" cm="1">
        <f t="array" ref="K469">_xlfn.XLOOKUP(C469&amp;D469&amp;F469,Expense!$C$2:$C$601&amp;Expense!$D$2:$D$601&amp;Expense!$E$2:$E$601,Expense!$H$2:$H$601,"")</f>
        <v>600</v>
      </c>
      <c r="L469" s="14">
        <f t="shared" si="72"/>
        <v>-759</v>
      </c>
      <c r="M469" s="14">
        <f>Master_Table[[#This Row],[Expense Budget]]-Master_Table[[#This Row],[Actual Expense]]</f>
        <v>0</v>
      </c>
      <c r="N469" s="16">
        <f t="shared" si="73"/>
        <v>1641</v>
      </c>
      <c r="O469" s="29">
        <f t="shared" si="70"/>
        <v>2400</v>
      </c>
      <c r="P469" s="16">
        <f t="shared" si="71"/>
        <v>-759</v>
      </c>
      <c r="Q469" s="28">
        <f>Master_Table[[#This Row],[△Sales Variance]]/Master_Table[[#This Row],[Sales Budget]]</f>
        <v>-0.253</v>
      </c>
      <c r="R469" s="28">
        <f>Master_Table[[#This Row],[△Expense  Variance]]/Master_Table[[#This Row],[Expense Budget]]</f>
        <v>0</v>
      </c>
      <c r="S469" s="28">
        <f>Master_Table[[#This Row],[Net Profit Variance]]/Master_Table[[#This Row],[Budget Net Profit]]</f>
        <v>-0.31624999999999998</v>
      </c>
      <c r="T469" s="28">
        <f>Master_Table[[#This Row],[Actual Net Profit]]/Master_Table[[#This Row],[Actual Sales]]</f>
        <v>0.7322623828647925</v>
      </c>
      <c r="U469" s="28" t="str">
        <f>_xlfn.TEXTJOIN(" - ", TRUE, Master_Table[[#This Row],[Product]], Master_Table[[#This Row],[Branch]])</f>
        <v>Cucumber - Kaduna</v>
      </c>
    </row>
    <row r="470" spans="1:21" ht="14.4" x14ac:dyDescent="0.3">
      <c r="A470" s="2">
        <v>469</v>
      </c>
      <c r="B470" s="2">
        <f t="shared" si="67"/>
        <v>107</v>
      </c>
      <c r="C470" s="1" t="str">
        <f>VLOOKUP(B470,Products!A:C,2,FALSE)</f>
        <v>Cucumber</v>
      </c>
      <c r="D470" s="1" t="str">
        <f t="shared" si="68"/>
        <v>Ibadan</v>
      </c>
      <c r="E470" s="4" t="str">
        <f>_xlfn.XLOOKUP(D470,'Sales Manager'!$A$2:$A$6,'Sales Manager'!$B$2:$B$6,"")</f>
        <v>Funmi Adeyemi</v>
      </c>
      <c r="F470" s="3">
        <f t="shared" si="74"/>
        <v>1</v>
      </c>
      <c r="G470" s="1" t="str">
        <f t="shared" si="74"/>
        <v>Jan</v>
      </c>
      <c r="H470" s="11">
        <v>8000</v>
      </c>
      <c r="I470" s="11">
        <v>4427</v>
      </c>
      <c r="J470" s="11" cm="1">
        <f t="array" ref="J470">_xlfn.XLOOKUP(C470&amp;D470&amp;F470,Expense!$C$2:$C$601&amp;Expense!$D$2:$D$601&amp;Expense!$E$2:$E$601,Expense!$G$2:$G$601,"")</f>
        <v>4000</v>
      </c>
      <c r="K470" s="11" cm="1">
        <f t="array" ref="K470">_xlfn.XLOOKUP(C470&amp;D470&amp;F470,Expense!$C$2:$C$601&amp;Expense!$D$2:$D$601&amp;Expense!$E$2:$E$601,Expense!$H$2:$H$601,"")</f>
        <v>3200</v>
      </c>
      <c r="L470" s="14">
        <f t="shared" si="72"/>
        <v>-3573</v>
      </c>
      <c r="M470" s="14">
        <f>Master_Table[[#This Row],[Expense Budget]]-Master_Table[[#This Row],[Actual Expense]]</f>
        <v>800</v>
      </c>
      <c r="N470" s="16">
        <f t="shared" si="73"/>
        <v>1227</v>
      </c>
      <c r="O470" s="29">
        <f t="shared" si="70"/>
        <v>4000</v>
      </c>
      <c r="P470" s="16">
        <f t="shared" si="71"/>
        <v>-2773</v>
      </c>
      <c r="Q470" s="28">
        <f>Master_Table[[#This Row],[△Sales Variance]]/Master_Table[[#This Row],[Sales Budget]]</f>
        <v>-0.44662499999999999</v>
      </c>
      <c r="R470" s="28">
        <f>Master_Table[[#This Row],[△Expense  Variance]]/Master_Table[[#This Row],[Expense Budget]]</f>
        <v>0.2</v>
      </c>
      <c r="S470" s="28">
        <f>Master_Table[[#This Row],[Net Profit Variance]]/Master_Table[[#This Row],[Budget Net Profit]]</f>
        <v>-0.69325000000000003</v>
      </c>
      <c r="T470" s="28">
        <f>Master_Table[[#This Row],[Actual Net Profit]]/Master_Table[[#This Row],[Actual Sales]]</f>
        <v>0.27716286424215042</v>
      </c>
      <c r="U470" s="28" t="str">
        <f>_xlfn.TEXTJOIN(" - ", TRUE, Master_Table[[#This Row],[Product]], Master_Table[[#This Row],[Branch]])</f>
        <v>Cucumber - Ibadan</v>
      </c>
    </row>
    <row r="471" spans="1:21" ht="14.4" x14ac:dyDescent="0.3">
      <c r="A471" s="2">
        <v>470</v>
      </c>
      <c r="B471" s="2">
        <f t="shared" si="67"/>
        <v>107</v>
      </c>
      <c r="C471" s="1" t="str">
        <f>VLOOKUP(B471,Products!A:C,2,FALSE)</f>
        <v>Cucumber</v>
      </c>
      <c r="D471" s="1" t="str">
        <f t="shared" si="68"/>
        <v>Ibadan</v>
      </c>
      <c r="E471" s="4" t="str">
        <f>_xlfn.XLOOKUP(D471,'Sales Manager'!$A$2:$A$6,'Sales Manager'!$B$2:$B$6,"")</f>
        <v>Funmi Adeyemi</v>
      </c>
      <c r="F471" s="3">
        <f t="shared" si="74"/>
        <v>2</v>
      </c>
      <c r="G471" s="1" t="str">
        <f t="shared" si="74"/>
        <v>Feb</v>
      </c>
      <c r="H471" s="11">
        <v>4000</v>
      </c>
      <c r="I471" s="11">
        <v>7138</v>
      </c>
      <c r="J471" s="11" cm="1">
        <f t="array" ref="J471">_xlfn.XLOOKUP(C471&amp;D471&amp;F471,Expense!$C$2:$C$601&amp;Expense!$D$2:$D$601&amp;Expense!$E$2:$E$601,Expense!$G$2:$G$601,"")</f>
        <v>1333.3333333333333</v>
      </c>
      <c r="K471" s="11" cm="1">
        <f t="array" ref="K471">_xlfn.XLOOKUP(C471&amp;D471&amp;F471,Expense!$C$2:$C$601&amp;Expense!$D$2:$D$601&amp;Expense!$E$2:$E$601,Expense!$H$2:$H$601,"")</f>
        <v>833.33333333333326</v>
      </c>
      <c r="L471" s="14">
        <f t="shared" si="72"/>
        <v>3138</v>
      </c>
      <c r="M471" s="14">
        <f>Master_Table[[#This Row],[Expense Budget]]-Master_Table[[#This Row],[Actual Expense]]</f>
        <v>500</v>
      </c>
      <c r="N471" s="16">
        <f t="shared" si="73"/>
        <v>6304.666666666667</v>
      </c>
      <c r="O471" s="29">
        <f t="shared" si="70"/>
        <v>2666.666666666667</v>
      </c>
      <c r="P471" s="16">
        <f t="shared" si="71"/>
        <v>3638</v>
      </c>
      <c r="Q471" s="28">
        <f>Master_Table[[#This Row],[△Sales Variance]]/Master_Table[[#This Row],[Sales Budget]]</f>
        <v>0.78449999999999998</v>
      </c>
      <c r="R471" s="28">
        <f>Master_Table[[#This Row],[△Expense  Variance]]/Master_Table[[#This Row],[Expense Budget]]</f>
        <v>0.375</v>
      </c>
      <c r="S471" s="28">
        <f>Master_Table[[#This Row],[Net Profit Variance]]/Master_Table[[#This Row],[Budget Net Profit]]</f>
        <v>1.3642499999999997</v>
      </c>
      <c r="T471" s="28">
        <f>Master_Table[[#This Row],[Actual Net Profit]]/Master_Table[[#This Row],[Actual Sales]]</f>
        <v>0.88325394601662466</v>
      </c>
      <c r="U471" s="28" t="str">
        <f>_xlfn.TEXTJOIN(" - ", TRUE, Master_Table[[#This Row],[Product]], Master_Table[[#This Row],[Branch]])</f>
        <v>Cucumber - Ibadan</v>
      </c>
    </row>
    <row r="472" spans="1:21" ht="14.4" x14ac:dyDescent="0.3">
      <c r="A472" s="2">
        <v>471</v>
      </c>
      <c r="B472" s="2">
        <f t="shared" si="67"/>
        <v>107</v>
      </c>
      <c r="C472" s="1" t="str">
        <f>VLOOKUP(B472,Products!A:C,2,FALSE)</f>
        <v>Cucumber</v>
      </c>
      <c r="D472" s="1" t="str">
        <f t="shared" si="68"/>
        <v>Ibadan</v>
      </c>
      <c r="E472" s="4" t="str">
        <f>_xlfn.XLOOKUP(D472,'Sales Manager'!$A$2:$A$6,'Sales Manager'!$B$2:$B$6,"")</f>
        <v>Funmi Adeyemi</v>
      </c>
      <c r="F472" s="3">
        <f t="shared" si="74"/>
        <v>3</v>
      </c>
      <c r="G472" s="1" t="str">
        <f t="shared" si="74"/>
        <v>Mar</v>
      </c>
      <c r="H472" s="11">
        <v>8000</v>
      </c>
      <c r="I472" s="11">
        <v>2165</v>
      </c>
      <c r="J472" s="11" cm="1">
        <f t="array" ref="J472">_xlfn.XLOOKUP(C472&amp;D472&amp;F472,Expense!$C$2:$C$601&amp;Expense!$D$2:$D$601&amp;Expense!$E$2:$E$601,Expense!$G$2:$G$601,"")</f>
        <v>4000</v>
      </c>
      <c r="K472" s="11" cm="1">
        <f t="array" ref="K472">_xlfn.XLOOKUP(C472&amp;D472&amp;F472,Expense!$C$2:$C$601&amp;Expense!$D$2:$D$601&amp;Expense!$E$2:$E$601,Expense!$H$2:$H$601,"")</f>
        <v>3800</v>
      </c>
      <c r="L472" s="14">
        <f t="shared" si="72"/>
        <v>-5835</v>
      </c>
      <c r="M472" s="14">
        <f>Master_Table[[#This Row],[Expense Budget]]-Master_Table[[#This Row],[Actual Expense]]</f>
        <v>200</v>
      </c>
      <c r="N472" s="16">
        <f t="shared" si="73"/>
        <v>-1635</v>
      </c>
      <c r="O472" s="29">
        <f t="shared" si="70"/>
        <v>4000</v>
      </c>
      <c r="P472" s="16">
        <f t="shared" si="71"/>
        <v>-5635</v>
      </c>
      <c r="Q472" s="28">
        <f>Master_Table[[#This Row],[△Sales Variance]]/Master_Table[[#This Row],[Sales Budget]]</f>
        <v>-0.729375</v>
      </c>
      <c r="R472" s="28">
        <f>Master_Table[[#This Row],[△Expense  Variance]]/Master_Table[[#This Row],[Expense Budget]]</f>
        <v>0.05</v>
      </c>
      <c r="S472" s="28">
        <f>Master_Table[[#This Row],[Net Profit Variance]]/Master_Table[[#This Row],[Budget Net Profit]]</f>
        <v>-1.4087499999999999</v>
      </c>
      <c r="T472" s="28">
        <f>Master_Table[[#This Row],[Actual Net Profit]]/Master_Table[[#This Row],[Actual Sales]]</f>
        <v>-0.75519630484988454</v>
      </c>
      <c r="U472" s="28" t="str">
        <f>_xlfn.TEXTJOIN(" - ", TRUE, Master_Table[[#This Row],[Product]], Master_Table[[#This Row],[Branch]])</f>
        <v>Cucumber - Ibadan</v>
      </c>
    </row>
    <row r="473" spans="1:21" ht="14.4" x14ac:dyDescent="0.3">
      <c r="A473" s="2">
        <v>472</v>
      </c>
      <c r="B473" s="2">
        <f t="shared" si="67"/>
        <v>107</v>
      </c>
      <c r="C473" s="1" t="str">
        <f>VLOOKUP(B473,Products!A:C,2,FALSE)</f>
        <v>Cucumber</v>
      </c>
      <c r="D473" s="1" t="str">
        <f t="shared" si="68"/>
        <v>Ibadan</v>
      </c>
      <c r="E473" s="4" t="str">
        <f>_xlfn.XLOOKUP(D473,'Sales Manager'!$A$2:$A$6,'Sales Manager'!$B$2:$B$6,"")</f>
        <v>Funmi Adeyemi</v>
      </c>
      <c r="F473" s="3">
        <f t="shared" si="74"/>
        <v>4</v>
      </c>
      <c r="G473" s="1" t="str">
        <f t="shared" si="74"/>
        <v>Apr</v>
      </c>
      <c r="H473" s="11">
        <v>8000</v>
      </c>
      <c r="I473" s="11">
        <v>5125</v>
      </c>
      <c r="J473" s="11" cm="1">
        <f t="array" ref="J473">_xlfn.XLOOKUP(C473&amp;D473&amp;F473,Expense!$C$2:$C$601&amp;Expense!$D$2:$D$601&amp;Expense!$E$2:$E$601,Expense!$G$2:$G$601,"")</f>
        <v>4000</v>
      </c>
      <c r="K473" s="11" cm="1">
        <f t="array" ref="K473">_xlfn.XLOOKUP(C473&amp;D473&amp;F473,Expense!$C$2:$C$601&amp;Expense!$D$2:$D$601&amp;Expense!$E$2:$E$601,Expense!$H$2:$H$601,"")</f>
        <v>3500</v>
      </c>
      <c r="L473" s="14">
        <f t="shared" si="72"/>
        <v>-2875</v>
      </c>
      <c r="M473" s="14">
        <f>Master_Table[[#This Row],[Expense Budget]]-Master_Table[[#This Row],[Actual Expense]]</f>
        <v>500</v>
      </c>
      <c r="N473" s="16">
        <f t="shared" si="73"/>
        <v>1625</v>
      </c>
      <c r="O473" s="29">
        <f t="shared" si="70"/>
        <v>4000</v>
      </c>
      <c r="P473" s="16">
        <f t="shared" si="71"/>
        <v>-2375</v>
      </c>
      <c r="Q473" s="28">
        <f>Master_Table[[#This Row],[△Sales Variance]]/Master_Table[[#This Row],[Sales Budget]]</f>
        <v>-0.359375</v>
      </c>
      <c r="R473" s="28">
        <f>Master_Table[[#This Row],[△Expense  Variance]]/Master_Table[[#This Row],[Expense Budget]]</f>
        <v>0.125</v>
      </c>
      <c r="S473" s="28">
        <f>Master_Table[[#This Row],[Net Profit Variance]]/Master_Table[[#This Row],[Budget Net Profit]]</f>
        <v>-0.59375</v>
      </c>
      <c r="T473" s="28">
        <f>Master_Table[[#This Row],[Actual Net Profit]]/Master_Table[[#This Row],[Actual Sales]]</f>
        <v>0.31707317073170732</v>
      </c>
      <c r="U473" s="28" t="str">
        <f>_xlfn.TEXTJOIN(" - ", TRUE, Master_Table[[#This Row],[Product]], Master_Table[[#This Row],[Branch]])</f>
        <v>Cucumber - Ibadan</v>
      </c>
    </row>
    <row r="474" spans="1:21" ht="14.4" x14ac:dyDescent="0.3">
      <c r="A474" s="2">
        <v>473</v>
      </c>
      <c r="B474" s="2">
        <f t="shared" si="67"/>
        <v>107</v>
      </c>
      <c r="C474" s="1" t="str">
        <f>VLOOKUP(B474,Products!A:C,2,FALSE)</f>
        <v>Cucumber</v>
      </c>
      <c r="D474" s="1" t="str">
        <f t="shared" si="68"/>
        <v>Ibadan</v>
      </c>
      <c r="E474" s="4" t="str">
        <f>_xlfn.XLOOKUP(D474,'Sales Manager'!$A$2:$A$6,'Sales Manager'!$B$2:$B$6,"")</f>
        <v>Funmi Adeyemi</v>
      </c>
      <c r="F474" s="3">
        <f t="shared" si="74"/>
        <v>5</v>
      </c>
      <c r="G474" s="1" t="str">
        <f t="shared" si="74"/>
        <v>May</v>
      </c>
      <c r="H474" s="11">
        <v>1000</v>
      </c>
      <c r="I474" s="11">
        <v>7873</v>
      </c>
      <c r="J474" s="11" cm="1">
        <f t="array" ref="J474">_xlfn.XLOOKUP(C474&amp;D474&amp;F474,Expense!$C$2:$C$601&amp;Expense!$D$2:$D$601&amp;Expense!$E$2:$E$601,Expense!$G$2:$G$601,"")</f>
        <v>500</v>
      </c>
      <c r="K474" s="11" cm="1">
        <f t="array" ref="K474">_xlfn.XLOOKUP(C474&amp;D474&amp;F474,Expense!$C$2:$C$601&amp;Expense!$D$2:$D$601&amp;Expense!$E$2:$E$601,Expense!$H$2:$H$601,"")</f>
        <v>200</v>
      </c>
      <c r="L474" s="14">
        <f t="shared" si="72"/>
        <v>6873</v>
      </c>
      <c r="M474" s="14">
        <f>Master_Table[[#This Row],[Expense Budget]]-Master_Table[[#This Row],[Actual Expense]]</f>
        <v>300</v>
      </c>
      <c r="N474" s="16">
        <f t="shared" si="73"/>
        <v>7673</v>
      </c>
      <c r="O474" s="29">
        <f t="shared" si="70"/>
        <v>500</v>
      </c>
      <c r="P474" s="16">
        <f t="shared" si="71"/>
        <v>7173</v>
      </c>
      <c r="Q474" s="28">
        <f>Master_Table[[#This Row],[△Sales Variance]]/Master_Table[[#This Row],[Sales Budget]]</f>
        <v>6.8730000000000002</v>
      </c>
      <c r="R474" s="28">
        <f>Master_Table[[#This Row],[△Expense  Variance]]/Master_Table[[#This Row],[Expense Budget]]</f>
        <v>0.6</v>
      </c>
      <c r="S474" s="28">
        <f>Master_Table[[#This Row],[Net Profit Variance]]/Master_Table[[#This Row],[Budget Net Profit]]</f>
        <v>14.346</v>
      </c>
      <c r="T474" s="28">
        <f>Master_Table[[#This Row],[Actual Net Profit]]/Master_Table[[#This Row],[Actual Sales]]</f>
        <v>0.97459672297726407</v>
      </c>
      <c r="U474" s="28" t="str">
        <f>_xlfn.TEXTJOIN(" - ", TRUE, Master_Table[[#This Row],[Product]], Master_Table[[#This Row],[Branch]])</f>
        <v>Cucumber - Ibadan</v>
      </c>
    </row>
    <row r="475" spans="1:21" ht="14.4" x14ac:dyDescent="0.3">
      <c r="A475" s="2">
        <v>474</v>
      </c>
      <c r="B475" s="2">
        <f t="shared" si="67"/>
        <v>107</v>
      </c>
      <c r="C475" s="1" t="str">
        <f>VLOOKUP(B475,Products!A:C,2,FALSE)</f>
        <v>Cucumber</v>
      </c>
      <c r="D475" s="1" t="str">
        <f t="shared" si="68"/>
        <v>Ibadan</v>
      </c>
      <c r="E475" s="4" t="str">
        <f>_xlfn.XLOOKUP(D475,'Sales Manager'!$A$2:$A$6,'Sales Manager'!$B$2:$B$6,"")</f>
        <v>Funmi Adeyemi</v>
      </c>
      <c r="F475" s="3">
        <f t="shared" si="74"/>
        <v>6</v>
      </c>
      <c r="G475" s="1" t="str">
        <f t="shared" si="74"/>
        <v>Jun</v>
      </c>
      <c r="H475" s="11">
        <v>2000</v>
      </c>
      <c r="I475" s="11">
        <v>4141</v>
      </c>
      <c r="J475" s="11" cm="1">
        <f t="array" ref="J475">_xlfn.XLOOKUP(C475&amp;D475&amp;F475,Expense!$C$2:$C$601&amp;Expense!$D$2:$D$601&amp;Expense!$E$2:$E$601,Expense!$G$2:$G$601,"")</f>
        <v>1000</v>
      </c>
      <c r="K475" s="11" cm="1">
        <f t="array" ref="K475">_xlfn.XLOOKUP(C475&amp;D475&amp;F475,Expense!$C$2:$C$601&amp;Expense!$D$2:$D$601&amp;Expense!$E$2:$E$601,Expense!$H$2:$H$601,"")</f>
        <v>800</v>
      </c>
      <c r="L475" s="14">
        <f t="shared" si="72"/>
        <v>2141</v>
      </c>
      <c r="M475" s="14">
        <f>Master_Table[[#This Row],[Expense Budget]]-Master_Table[[#This Row],[Actual Expense]]</f>
        <v>200</v>
      </c>
      <c r="N475" s="16">
        <f t="shared" si="73"/>
        <v>3341</v>
      </c>
      <c r="O475" s="29">
        <f t="shared" si="70"/>
        <v>1000</v>
      </c>
      <c r="P475" s="16">
        <f t="shared" si="71"/>
        <v>2341</v>
      </c>
      <c r="Q475" s="28">
        <f>Master_Table[[#This Row],[△Sales Variance]]/Master_Table[[#This Row],[Sales Budget]]</f>
        <v>1.0705</v>
      </c>
      <c r="R475" s="28">
        <f>Master_Table[[#This Row],[△Expense  Variance]]/Master_Table[[#This Row],[Expense Budget]]</f>
        <v>0.2</v>
      </c>
      <c r="S475" s="28">
        <f>Master_Table[[#This Row],[Net Profit Variance]]/Master_Table[[#This Row],[Budget Net Profit]]</f>
        <v>2.3410000000000002</v>
      </c>
      <c r="T475" s="28">
        <f>Master_Table[[#This Row],[Actual Net Profit]]/Master_Table[[#This Row],[Actual Sales]]</f>
        <v>0.80680994928761174</v>
      </c>
      <c r="U475" s="28" t="str">
        <f>_xlfn.TEXTJOIN(" - ", TRUE, Master_Table[[#This Row],[Product]], Master_Table[[#This Row],[Branch]])</f>
        <v>Cucumber - Ibadan</v>
      </c>
    </row>
    <row r="476" spans="1:21" ht="14.4" x14ac:dyDescent="0.3">
      <c r="A476" s="2">
        <v>475</v>
      </c>
      <c r="B476" s="2">
        <f t="shared" si="67"/>
        <v>107</v>
      </c>
      <c r="C476" s="1" t="str">
        <f>VLOOKUP(B476,Products!A:C,2,FALSE)</f>
        <v>Cucumber</v>
      </c>
      <c r="D476" s="1" t="str">
        <f t="shared" si="68"/>
        <v>Ibadan</v>
      </c>
      <c r="E476" s="4" t="str">
        <f>_xlfn.XLOOKUP(D476,'Sales Manager'!$A$2:$A$6,'Sales Manager'!$B$2:$B$6,"")</f>
        <v>Funmi Adeyemi</v>
      </c>
      <c r="F476" s="3">
        <f t="shared" si="74"/>
        <v>7</v>
      </c>
      <c r="G476" s="1" t="str">
        <f t="shared" si="74"/>
        <v>Jul</v>
      </c>
      <c r="H476" s="11">
        <v>1000</v>
      </c>
      <c r="I476" s="11">
        <v>6634</v>
      </c>
      <c r="J476" s="11" cm="1">
        <f t="array" ref="J476">_xlfn.XLOOKUP(C476&amp;D476&amp;F476,Expense!$C$2:$C$601&amp;Expense!$D$2:$D$601&amp;Expense!$E$2:$E$601,Expense!$G$2:$G$601,"")</f>
        <v>200</v>
      </c>
      <c r="K476" s="11" cm="1">
        <f t="array" ref="K476">_xlfn.XLOOKUP(C476&amp;D476&amp;F476,Expense!$C$2:$C$601&amp;Expense!$D$2:$D$601&amp;Expense!$E$2:$E$601,Expense!$H$2:$H$601,"")</f>
        <v>200</v>
      </c>
      <c r="L476" s="14">
        <f t="shared" si="72"/>
        <v>5634</v>
      </c>
      <c r="M476" s="14">
        <f>Master_Table[[#This Row],[Expense Budget]]-Master_Table[[#This Row],[Actual Expense]]</f>
        <v>0</v>
      </c>
      <c r="N476" s="16">
        <f t="shared" si="73"/>
        <v>6434</v>
      </c>
      <c r="O476" s="29">
        <f t="shared" si="70"/>
        <v>800</v>
      </c>
      <c r="P476" s="16">
        <f t="shared" si="71"/>
        <v>5634</v>
      </c>
      <c r="Q476" s="28">
        <f>Master_Table[[#This Row],[△Sales Variance]]/Master_Table[[#This Row],[Sales Budget]]</f>
        <v>5.6340000000000003</v>
      </c>
      <c r="R476" s="28">
        <f>Master_Table[[#This Row],[△Expense  Variance]]/Master_Table[[#This Row],[Expense Budget]]</f>
        <v>0</v>
      </c>
      <c r="S476" s="28">
        <f>Master_Table[[#This Row],[Net Profit Variance]]/Master_Table[[#This Row],[Budget Net Profit]]</f>
        <v>7.0425000000000004</v>
      </c>
      <c r="T476" s="28">
        <f>Master_Table[[#This Row],[Actual Net Profit]]/Master_Table[[#This Row],[Actual Sales]]</f>
        <v>0.96985227615315039</v>
      </c>
      <c r="U476" s="28" t="str">
        <f>_xlfn.TEXTJOIN(" - ", TRUE, Master_Table[[#This Row],[Product]], Master_Table[[#This Row],[Branch]])</f>
        <v>Cucumber - Ibadan</v>
      </c>
    </row>
    <row r="477" spans="1:21" ht="14.4" x14ac:dyDescent="0.3">
      <c r="A477" s="2">
        <v>476</v>
      </c>
      <c r="B477" s="2">
        <f t="shared" si="67"/>
        <v>107</v>
      </c>
      <c r="C477" s="1" t="str">
        <f>VLOOKUP(B477,Products!A:C,2,FALSE)</f>
        <v>Cucumber</v>
      </c>
      <c r="D477" s="1" t="str">
        <f t="shared" si="68"/>
        <v>Ibadan</v>
      </c>
      <c r="E477" s="4" t="str">
        <f>_xlfn.XLOOKUP(D477,'Sales Manager'!$A$2:$A$6,'Sales Manager'!$B$2:$B$6,"")</f>
        <v>Funmi Adeyemi</v>
      </c>
      <c r="F477" s="3">
        <f t="shared" si="74"/>
        <v>8</v>
      </c>
      <c r="G477" s="1" t="str">
        <f t="shared" si="74"/>
        <v>Aug</v>
      </c>
      <c r="H477" s="11">
        <v>6000</v>
      </c>
      <c r="I477" s="11">
        <v>8171</v>
      </c>
      <c r="J477" s="11" cm="1">
        <f t="array" ref="J477">_xlfn.XLOOKUP(C477&amp;D477&amp;F477,Expense!$C$2:$C$601&amp;Expense!$D$2:$D$601&amp;Expense!$E$2:$E$601,Expense!$G$2:$G$601,"")</f>
        <v>2000</v>
      </c>
      <c r="K477" s="11" cm="1">
        <f t="array" ref="K477">_xlfn.XLOOKUP(C477&amp;D477&amp;F477,Expense!$C$2:$C$601&amp;Expense!$D$2:$D$601&amp;Expense!$E$2:$E$601,Expense!$H$2:$H$601,"")</f>
        <v>2000</v>
      </c>
      <c r="L477" s="14">
        <f t="shared" si="72"/>
        <v>2171</v>
      </c>
      <c r="M477" s="14">
        <f>Master_Table[[#This Row],[Expense Budget]]-Master_Table[[#This Row],[Actual Expense]]</f>
        <v>0</v>
      </c>
      <c r="N477" s="16">
        <f t="shared" si="73"/>
        <v>6171</v>
      </c>
      <c r="O477" s="29">
        <f t="shared" si="70"/>
        <v>4000</v>
      </c>
      <c r="P477" s="16">
        <f t="shared" si="71"/>
        <v>2171</v>
      </c>
      <c r="Q477" s="28">
        <f>Master_Table[[#This Row],[△Sales Variance]]/Master_Table[[#This Row],[Sales Budget]]</f>
        <v>0.36183333333333334</v>
      </c>
      <c r="R477" s="28">
        <f>Master_Table[[#This Row],[△Expense  Variance]]/Master_Table[[#This Row],[Expense Budget]]</f>
        <v>0</v>
      </c>
      <c r="S477" s="28">
        <f>Master_Table[[#This Row],[Net Profit Variance]]/Master_Table[[#This Row],[Budget Net Profit]]</f>
        <v>0.54274999999999995</v>
      </c>
      <c r="T477" s="28">
        <f>Master_Table[[#This Row],[Actual Net Profit]]/Master_Table[[#This Row],[Actual Sales]]</f>
        <v>0.75523191775792442</v>
      </c>
      <c r="U477" s="28" t="str">
        <f>_xlfn.TEXTJOIN(" - ", TRUE, Master_Table[[#This Row],[Product]], Master_Table[[#This Row],[Branch]])</f>
        <v>Cucumber - Ibadan</v>
      </c>
    </row>
    <row r="478" spans="1:21" ht="14.4" x14ac:dyDescent="0.3">
      <c r="A478" s="2">
        <v>477</v>
      </c>
      <c r="B478" s="2">
        <f t="shared" si="67"/>
        <v>107</v>
      </c>
      <c r="C478" s="1" t="str">
        <f>VLOOKUP(B478,Products!A:C,2,FALSE)</f>
        <v>Cucumber</v>
      </c>
      <c r="D478" s="1" t="str">
        <f t="shared" si="68"/>
        <v>Ibadan</v>
      </c>
      <c r="E478" s="4" t="str">
        <f>_xlfn.XLOOKUP(D478,'Sales Manager'!$A$2:$A$6,'Sales Manager'!$B$2:$B$6,"")</f>
        <v>Funmi Adeyemi</v>
      </c>
      <c r="F478" s="3">
        <f t="shared" si="74"/>
        <v>9</v>
      </c>
      <c r="G478" s="1" t="str">
        <f t="shared" si="74"/>
        <v>Sept</v>
      </c>
      <c r="H478" s="11">
        <v>3000</v>
      </c>
      <c r="I478" s="11">
        <v>6986</v>
      </c>
      <c r="J478" s="11" cm="1">
        <f t="array" ref="J478">_xlfn.XLOOKUP(C478&amp;D478&amp;F478,Expense!$C$2:$C$601&amp;Expense!$D$2:$D$601&amp;Expense!$E$2:$E$601,Expense!$G$2:$G$601,"")</f>
        <v>1000</v>
      </c>
      <c r="K478" s="11" cm="1">
        <f t="array" ref="K478">_xlfn.XLOOKUP(C478&amp;D478&amp;F478,Expense!$C$2:$C$601&amp;Expense!$D$2:$D$601&amp;Expense!$E$2:$E$601,Expense!$H$2:$H$601,"")</f>
        <v>800</v>
      </c>
      <c r="L478" s="14">
        <f t="shared" si="72"/>
        <v>3986</v>
      </c>
      <c r="M478" s="14">
        <f>Master_Table[[#This Row],[Expense Budget]]-Master_Table[[#This Row],[Actual Expense]]</f>
        <v>200</v>
      </c>
      <c r="N478" s="16">
        <f t="shared" si="73"/>
        <v>6186</v>
      </c>
      <c r="O478" s="29">
        <f t="shared" si="70"/>
        <v>2000</v>
      </c>
      <c r="P478" s="16">
        <f t="shared" si="71"/>
        <v>4186</v>
      </c>
      <c r="Q478" s="28">
        <f>Master_Table[[#This Row],[△Sales Variance]]/Master_Table[[#This Row],[Sales Budget]]</f>
        <v>1.3286666666666667</v>
      </c>
      <c r="R478" s="28">
        <f>Master_Table[[#This Row],[△Expense  Variance]]/Master_Table[[#This Row],[Expense Budget]]</f>
        <v>0.2</v>
      </c>
      <c r="S478" s="28">
        <f>Master_Table[[#This Row],[Net Profit Variance]]/Master_Table[[#This Row],[Budget Net Profit]]</f>
        <v>2.093</v>
      </c>
      <c r="T478" s="28">
        <f>Master_Table[[#This Row],[Actual Net Profit]]/Master_Table[[#This Row],[Actual Sales]]</f>
        <v>0.88548525622673924</v>
      </c>
      <c r="U478" s="28" t="str">
        <f>_xlfn.TEXTJOIN(" - ", TRUE, Master_Table[[#This Row],[Product]], Master_Table[[#This Row],[Branch]])</f>
        <v>Cucumber - Ibadan</v>
      </c>
    </row>
    <row r="479" spans="1:21" ht="14.4" x14ac:dyDescent="0.3">
      <c r="A479" s="2">
        <v>478</v>
      </c>
      <c r="B479" s="2">
        <f t="shared" si="67"/>
        <v>107</v>
      </c>
      <c r="C479" s="1" t="str">
        <f>VLOOKUP(B479,Products!A:C,2,FALSE)</f>
        <v>Cucumber</v>
      </c>
      <c r="D479" s="1" t="str">
        <f t="shared" si="68"/>
        <v>Ibadan</v>
      </c>
      <c r="E479" s="4" t="str">
        <f>_xlfn.XLOOKUP(D479,'Sales Manager'!$A$2:$A$6,'Sales Manager'!$B$2:$B$6,"")</f>
        <v>Funmi Adeyemi</v>
      </c>
      <c r="F479" s="3">
        <f t="shared" ref="F479:G494" si="75">F467</f>
        <v>10</v>
      </c>
      <c r="G479" s="1" t="str">
        <f t="shared" si="75"/>
        <v>Oct</v>
      </c>
      <c r="H479" s="11">
        <v>8000</v>
      </c>
      <c r="I479" s="11">
        <v>8187</v>
      </c>
      <c r="J479" s="11" cm="1">
        <f t="array" ref="J479">_xlfn.XLOOKUP(C479&amp;D479&amp;F479,Expense!$C$2:$C$601&amp;Expense!$D$2:$D$601&amp;Expense!$E$2:$E$601,Expense!$G$2:$G$601,"")</f>
        <v>4000</v>
      </c>
      <c r="K479" s="11" cm="1">
        <f t="array" ref="K479">_xlfn.XLOOKUP(C479&amp;D479&amp;F479,Expense!$C$2:$C$601&amp;Expense!$D$2:$D$601&amp;Expense!$E$2:$E$601,Expense!$H$2:$H$601,"")</f>
        <v>3400</v>
      </c>
      <c r="L479" s="14">
        <f t="shared" si="72"/>
        <v>187</v>
      </c>
      <c r="M479" s="14">
        <f>Master_Table[[#This Row],[Expense Budget]]-Master_Table[[#This Row],[Actual Expense]]</f>
        <v>600</v>
      </c>
      <c r="N479" s="16">
        <f t="shared" si="73"/>
        <v>4787</v>
      </c>
      <c r="O479" s="29">
        <f t="shared" si="70"/>
        <v>4000</v>
      </c>
      <c r="P479" s="16">
        <f t="shared" si="71"/>
        <v>787</v>
      </c>
      <c r="Q479" s="28">
        <f>Master_Table[[#This Row],[△Sales Variance]]/Master_Table[[#This Row],[Sales Budget]]</f>
        <v>2.3375E-2</v>
      </c>
      <c r="R479" s="28">
        <f>Master_Table[[#This Row],[△Expense  Variance]]/Master_Table[[#This Row],[Expense Budget]]</f>
        <v>0.15</v>
      </c>
      <c r="S479" s="28">
        <f>Master_Table[[#This Row],[Net Profit Variance]]/Master_Table[[#This Row],[Budget Net Profit]]</f>
        <v>0.19675000000000001</v>
      </c>
      <c r="T479" s="28">
        <f>Master_Table[[#This Row],[Actual Net Profit]]/Master_Table[[#This Row],[Actual Sales]]</f>
        <v>0.58470746305117871</v>
      </c>
      <c r="U479" s="28" t="str">
        <f>_xlfn.TEXTJOIN(" - ", TRUE, Master_Table[[#This Row],[Product]], Master_Table[[#This Row],[Branch]])</f>
        <v>Cucumber - Ibadan</v>
      </c>
    </row>
    <row r="480" spans="1:21" ht="14.4" x14ac:dyDescent="0.3">
      <c r="A480" s="2">
        <v>479</v>
      </c>
      <c r="B480" s="2">
        <f t="shared" si="67"/>
        <v>107</v>
      </c>
      <c r="C480" s="1" t="str">
        <f>VLOOKUP(B480,Products!A:C,2,FALSE)</f>
        <v>Cucumber</v>
      </c>
      <c r="D480" s="1" t="str">
        <f t="shared" si="68"/>
        <v>Ibadan</v>
      </c>
      <c r="E480" s="4" t="str">
        <f>_xlfn.XLOOKUP(D480,'Sales Manager'!$A$2:$A$6,'Sales Manager'!$B$2:$B$6,"")</f>
        <v>Funmi Adeyemi</v>
      </c>
      <c r="F480" s="3">
        <f t="shared" si="75"/>
        <v>11</v>
      </c>
      <c r="G480" s="1" t="str">
        <f t="shared" si="75"/>
        <v>Nov</v>
      </c>
      <c r="H480" s="11">
        <v>4000</v>
      </c>
      <c r="I480" s="11">
        <v>7324</v>
      </c>
      <c r="J480" s="11" cm="1">
        <f t="array" ref="J480">_xlfn.XLOOKUP(C480&amp;D480&amp;F480,Expense!$C$2:$C$601&amp;Expense!$D$2:$D$601&amp;Expense!$E$2:$E$601,Expense!$G$2:$G$601,"")</f>
        <v>800</v>
      </c>
      <c r="K480" s="11" cm="1">
        <f t="array" ref="K480">_xlfn.XLOOKUP(C480&amp;D480&amp;F480,Expense!$C$2:$C$601&amp;Expense!$D$2:$D$601&amp;Expense!$E$2:$E$601,Expense!$H$2:$H$601,"")</f>
        <v>400</v>
      </c>
      <c r="L480" s="14">
        <f t="shared" si="72"/>
        <v>3324</v>
      </c>
      <c r="M480" s="14">
        <f>Master_Table[[#This Row],[Expense Budget]]-Master_Table[[#This Row],[Actual Expense]]</f>
        <v>400</v>
      </c>
      <c r="N480" s="16">
        <f t="shared" si="73"/>
        <v>6924</v>
      </c>
      <c r="O480" s="29">
        <f t="shared" si="70"/>
        <v>3200</v>
      </c>
      <c r="P480" s="16">
        <f t="shared" si="71"/>
        <v>3724</v>
      </c>
      <c r="Q480" s="28">
        <f>Master_Table[[#This Row],[△Sales Variance]]/Master_Table[[#This Row],[Sales Budget]]</f>
        <v>0.83099999999999996</v>
      </c>
      <c r="R480" s="28">
        <f>Master_Table[[#This Row],[△Expense  Variance]]/Master_Table[[#This Row],[Expense Budget]]</f>
        <v>0.5</v>
      </c>
      <c r="S480" s="28">
        <f>Master_Table[[#This Row],[Net Profit Variance]]/Master_Table[[#This Row],[Budget Net Profit]]</f>
        <v>1.1637500000000001</v>
      </c>
      <c r="T480" s="28">
        <f>Master_Table[[#This Row],[Actual Net Profit]]/Master_Table[[#This Row],[Actual Sales]]</f>
        <v>0.94538503549972697</v>
      </c>
      <c r="U480" s="28" t="str">
        <f>_xlfn.TEXTJOIN(" - ", TRUE, Master_Table[[#This Row],[Product]], Master_Table[[#This Row],[Branch]])</f>
        <v>Cucumber - Ibadan</v>
      </c>
    </row>
    <row r="481" spans="1:21" ht="14.4" x14ac:dyDescent="0.3">
      <c r="A481" s="2">
        <v>480</v>
      </c>
      <c r="B481" s="2">
        <f t="shared" si="67"/>
        <v>107</v>
      </c>
      <c r="C481" s="1" t="str">
        <f>VLOOKUP(B481,Products!A:C,2,FALSE)</f>
        <v>Cucumber</v>
      </c>
      <c r="D481" s="1" t="str">
        <f t="shared" si="68"/>
        <v>Ibadan</v>
      </c>
      <c r="E481" s="4" t="str">
        <f>_xlfn.XLOOKUP(D481,'Sales Manager'!$A$2:$A$6,'Sales Manager'!$B$2:$B$6,"")</f>
        <v>Funmi Adeyemi</v>
      </c>
      <c r="F481" s="3">
        <f t="shared" si="75"/>
        <v>12</v>
      </c>
      <c r="G481" s="1" t="str">
        <f t="shared" si="75"/>
        <v>Dec</v>
      </c>
      <c r="H481" s="11">
        <v>3000</v>
      </c>
      <c r="I481" s="11">
        <v>6413</v>
      </c>
      <c r="J481" s="11" cm="1">
        <f t="array" ref="J481">_xlfn.XLOOKUP(C481&amp;D481&amp;F481,Expense!$C$2:$C$601&amp;Expense!$D$2:$D$601&amp;Expense!$E$2:$E$601,Expense!$G$2:$G$601,"")</f>
        <v>1500</v>
      </c>
      <c r="K481" s="11" cm="1">
        <f t="array" ref="K481">_xlfn.XLOOKUP(C481&amp;D481&amp;F481,Expense!$C$2:$C$601&amp;Expense!$D$2:$D$601&amp;Expense!$E$2:$E$601,Expense!$H$2:$H$601,"")</f>
        <v>1500</v>
      </c>
      <c r="L481" s="14">
        <f t="shared" si="72"/>
        <v>3413</v>
      </c>
      <c r="M481" s="14">
        <f>Master_Table[[#This Row],[Expense Budget]]-Master_Table[[#This Row],[Actual Expense]]</f>
        <v>0</v>
      </c>
      <c r="N481" s="16">
        <f t="shared" si="73"/>
        <v>4913</v>
      </c>
      <c r="O481" s="29">
        <f t="shared" si="70"/>
        <v>1500</v>
      </c>
      <c r="P481" s="16">
        <f t="shared" si="71"/>
        <v>3413</v>
      </c>
      <c r="Q481" s="28">
        <f>Master_Table[[#This Row],[△Sales Variance]]/Master_Table[[#This Row],[Sales Budget]]</f>
        <v>1.1376666666666666</v>
      </c>
      <c r="R481" s="28">
        <f>Master_Table[[#This Row],[△Expense  Variance]]/Master_Table[[#This Row],[Expense Budget]]</f>
        <v>0</v>
      </c>
      <c r="S481" s="28">
        <f>Master_Table[[#This Row],[Net Profit Variance]]/Master_Table[[#This Row],[Budget Net Profit]]</f>
        <v>2.2753333333333332</v>
      </c>
      <c r="T481" s="28">
        <f>Master_Table[[#This Row],[Actual Net Profit]]/Master_Table[[#This Row],[Actual Sales]]</f>
        <v>0.76610010915328242</v>
      </c>
      <c r="U481" s="28" t="str">
        <f>_xlfn.TEXTJOIN(" - ", TRUE, Master_Table[[#This Row],[Product]], Master_Table[[#This Row],[Branch]])</f>
        <v>Cucumber - Ibadan</v>
      </c>
    </row>
    <row r="482" spans="1:21" ht="14.4" x14ac:dyDescent="0.3">
      <c r="A482" s="2">
        <v>481</v>
      </c>
      <c r="B482" s="2">
        <f t="shared" si="67"/>
        <v>108</v>
      </c>
      <c r="C482" s="1" t="str">
        <f>VLOOKUP(B482,Products!A:C,2,FALSE)</f>
        <v>Kiwi</v>
      </c>
      <c r="D482" s="1" t="str">
        <f t="shared" si="68"/>
        <v>Lagos</v>
      </c>
      <c r="E482" s="4" t="str">
        <f>_xlfn.XLOOKUP(D482,'Sales Manager'!$A$2:$A$6,'Sales Manager'!$B$2:$B$6,"")</f>
        <v>Adaora Okafor</v>
      </c>
      <c r="F482" s="3">
        <f t="shared" si="75"/>
        <v>1</v>
      </c>
      <c r="G482" s="1" t="str">
        <f t="shared" si="75"/>
        <v>Jan</v>
      </c>
      <c r="H482" s="11">
        <v>3000</v>
      </c>
      <c r="I482" s="11">
        <v>2311</v>
      </c>
      <c r="J482" s="11" cm="1">
        <f t="array" ref="J482">_xlfn.XLOOKUP(C482&amp;D482&amp;F482,Expense!$C$2:$C$601&amp;Expense!$D$2:$D$601&amp;Expense!$E$2:$E$601,Expense!$G$2:$G$601,"")</f>
        <v>750</v>
      </c>
      <c r="K482" s="11" cm="1">
        <f t="array" ref="K482">_xlfn.XLOOKUP(C482&amp;D482&amp;F482,Expense!$C$2:$C$601&amp;Expense!$D$2:$D$601&amp;Expense!$E$2:$E$601,Expense!$H$2:$H$601,"")</f>
        <v>650</v>
      </c>
      <c r="L482" s="14">
        <f t="shared" si="72"/>
        <v>-689</v>
      </c>
      <c r="M482" s="14">
        <f>Master_Table[[#This Row],[Expense Budget]]-Master_Table[[#This Row],[Actual Expense]]</f>
        <v>100</v>
      </c>
      <c r="N482" s="16">
        <f t="shared" si="73"/>
        <v>1661</v>
      </c>
      <c r="O482" s="29">
        <f t="shared" si="70"/>
        <v>2250</v>
      </c>
      <c r="P482" s="16">
        <f t="shared" si="71"/>
        <v>-589</v>
      </c>
      <c r="Q482" s="28">
        <f>Master_Table[[#This Row],[△Sales Variance]]/Master_Table[[#This Row],[Sales Budget]]</f>
        <v>-0.22966666666666666</v>
      </c>
      <c r="R482" s="28">
        <f>Master_Table[[#This Row],[△Expense  Variance]]/Master_Table[[#This Row],[Expense Budget]]</f>
        <v>0.13333333333333333</v>
      </c>
      <c r="S482" s="28">
        <f>Master_Table[[#This Row],[Net Profit Variance]]/Master_Table[[#This Row],[Budget Net Profit]]</f>
        <v>-0.26177777777777778</v>
      </c>
      <c r="T482" s="28">
        <f>Master_Table[[#This Row],[Actual Net Profit]]/Master_Table[[#This Row],[Actual Sales]]</f>
        <v>0.71873647771527482</v>
      </c>
      <c r="U482" s="28" t="str">
        <f>_xlfn.TEXTJOIN(" - ", TRUE, Master_Table[[#This Row],[Product]], Master_Table[[#This Row],[Branch]])</f>
        <v>Kiwi - Lagos</v>
      </c>
    </row>
    <row r="483" spans="1:21" ht="14.4" x14ac:dyDescent="0.3">
      <c r="A483" s="2">
        <v>482</v>
      </c>
      <c r="B483" s="2">
        <f t="shared" si="67"/>
        <v>108</v>
      </c>
      <c r="C483" s="1" t="str">
        <f>VLOOKUP(B483,Products!A:C,2,FALSE)</f>
        <v>Kiwi</v>
      </c>
      <c r="D483" s="1" t="str">
        <f t="shared" si="68"/>
        <v>Lagos</v>
      </c>
      <c r="E483" s="4" t="str">
        <f>_xlfn.XLOOKUP(D483,'Sales Manager'!$A$2:$A$6,'Sales Manager'!$B$2:$B$6,"")</f>
        <v>Adaora Okafor</v>
      </c>
      <c r="F483" s="3">
        <f t="shared" si="75"/>
        <v>2</v>
      </c>
      <c r="G483" s="1" t="str">
        <f t="shared" si="75"/>
        <v>Feb</v>
      </c>
      <c r="H483" s="11">
        <v>2000</v>
      </c>
      <c r="I483" s="11">
        <v>5934</v>
      </c>
      <c r="J483" s="11" cm="1">
        <f t="array" ref="J483">_xlfn.XLOOKUP(C483&amp;D483&amp;F483,Expense!$C$2:$C$601&amp;Expense!$D$2:$D$601&amp;Expense!$E$2:$E$601,Expense!$G$2:$G$601,"")</f>
        <v>666.66666666666663</v>
      </c>
      <c r="K483" s="11" cm="1">
        <f t="array" ref="K483">_xlfn.XLOOKUP(C483&amp;D483&amp;F483,Expense!$C$2:$C$601&amp;Expense!$D$2:$D$601&amp;Expense!$E$2:$E$601,Expense!$H$2:$H$601,"")</f>
        <v>466.66666666666663</v>
      </c>
      <c r="L483" s="14">
        <f t="shared" si="72"/>
        <v>3934</v>
      </c>
      <c r="M483" s="14">
        <f>Master_Table[[#This Row],[Expense Budget]]-Master_Table[[#This Row],[Actual Expense]]</f>
        <v>200</v>
      </c>
      <c r="N483" s="16">
        <f t="shared" si="73"/>
        <v>5467.333333333333</v>
      </c>
      <c r="O483" s="29">
        <f t="shared" si="70"/>
        <v>1333.3333333333335</v>
      </c>
      <c r="P483" s="16">
        <f t="shared" si="71"/>
        <v>4134</v>
      </c>
      <c r="Q483" s="28">
        <f>Master_Table[[#This Row],[△Sales Variance]]/Master_Table[[#This Row],[Sales Budget]]</f>
        <v>1.9670000000000001</v>
      </c>
      <c r="R483" s="28">
        <f>Master_Table[[#This Row],[△Expense  Variance]]/Master_Table[[#This Row],[Expense Budget]]</f>
        <v>0.30000000000000004</v>
      </c>
      <c r="S483" s="28">
        <f>Master_Table[[#This Row],[Net Profit Variance]]/Master_Table[[#This Row],[Budget Net Profit]]</f>
        <v>3.1004999999999998</v>
      </c>
      <c r="T483" s="28">
        <f>Master_Table[[#This Row],[Actual Net Profit]]/Master_Table[[#This Row],[Actual Sales]]</f>
        <v>0.92135715088192338</v>
      </c>
      <c r="U483" s="28" t="str">
        <f>_xlfn.TEXTJOIN(" - ", TRUE, Master_Table[[#This Row],[Product]], Master_Table[[#This Row],[Branch]])</f>
        <v>Kiwi - Lagos</v>
      </c>
    </row>
    <row r="484" spans="1:21" ht="14.4" x14ac:dyDescent="0.3">
      <c r="A484" s="2">
        <v>483</v>
      </c>
      <c r="B484" s="2">
        <f t="shared" si="67"/>
        <v>108</v>
      </c>
      <c r="C484" s="1" t="str">
        <f>VLOOKUP(B484,Products!A:C,2,FALSE)</f>
        <v>Kiwi</v>
      </c>
      <c r="D484" s="1" t="str">
        <f t="shared" si="68"/>
        <v>Lagos</v>
      </c>
      <c r="E484" s="4" t="str">
        <f>_xlfn.XLOOKUP(D484,'Sales Manager'!$A$2:$A$6,'Sales Manager'!$B$2:$B$6,"")</f>
        <v>Adaora Okafor</v>
      </c>
      <c r="F484" s="3">
        <f t="shared" si="75"/>
        <v>3</v>
      </c>
      <c r="G484" s="1" t="str">
        <f t="shared" si="75"/>
        <v>Mar</v>
      </c>
      <c r="H484" s="11">
        <v>8000</v>
      </c>
      <c r="I484" s="11">
        <v>4424</v>
      </c>
      <c r="J484" s="11" cm="1">
        <f t="array" ref="J484">_xlfn.XLOOKUP(C484&amp;D484&amp;F484,Expense!$C$2:$C$601&amp;Expense!$D$2:$D$601&amp;Expense!$E$2:$E$601,Expense!$G$2:$G$601,"")</f>
        <v>4000</v>
      </c>
      <c r="K484" s="11" cm="1">
        <f t="array" ref="K484">_xlfn.XLOOKUP(C484&amp;D484&amp;F484,Expense!$C$2:$C$601&amp;Expense!$D$2:$D$601&amp;Expense!$E$2:$E$601,Expense!$H$2:$H$601,"")</f>
        <v>3600</v>
      </c>
      <c r="L484" s="14">
        <f t="shared" si="72"/>
        <v>-3576</v>
      </c>
      <c r="M484" s="14">
        <f>Master_Table[[#This Row],[Expense Budget]]-Master_Table[[#This Row],[Actual Expense]]</f>
        <v>400</v>
      </c>
      <c r="N484" s="16">
        <f t="shared" si="73"/>
        <v>824</v>
      </c>
      <c r="O484" s="29">
        <f t="shared" si="70"/>
        <v>4000</v>
      </c>
      <c r="P484" s="16">
        <f t="shared" si="71"/>
        <v>-3176</v>
      </c>
      <c r="Q484" s="28">
        <f>Master_Table[[#This Row],[△Sales Variance]]/Master_Table[[#This Row],[Sales Budget]]</f>
        <v>-0.44700000000000001</v>
      </c>
      <c r="R484" s="28">
        <f>Master_Table[[#This Row],[△Expense  Variance]]/Master_Table[[#This Row],[Expense Budget]]</f>
        <v>0.1</v>
      </c>
      <c r="S484" s="28">
        <f>Master_Table[[#This Row],[Net Profit Variance]]/Master_Table[[#This Row],[Budget Net Profit]]</f>
        <v>-0.79400000000000004</v>
      </c>
      <c r="T484" s="28">
        <f>Master_Table[[#This Row],[Actual Net Profit]]/Master_Table[[#This Row],[Actual Sales]]</f>
        <v>0.18625678119349007</v>
      </c>
      <c r="U484" s="28" t="str">
        <f>_xlfn.TEXTJOIN(" - ", TRUE, Master_Table[[#This Row],[Product]], Master_Table[[#This Row],[Branch]])</f>
        <v>Kiwi - Lagos</v>
      </c>
    </row>
    <row r="485" spans="1:21" ht="14.4" x14ac:dyDescent="0.3">
      <c r="A485" s="2">
        <v>484</v>
      </c>
      <c r="B485" s="2">
        <f t="shared" si="67"/>
        <v>108</v>
      </c>
      <c r="C485" s="1" t="str">
        <f>VLOOKUP(B485,Products!A:C,2,FALSE)</f>
        <v>Kiwi</v>
      </c>
      <c r="D485" s="1" t="str">
        <f t="shared" si="68"/>
        <v>Lagos</v>
      </c>
      <c r="E485" s="4" t="str">
        <f>_xlfn.XLOOKUP(D485,'Sales Manager'!$A$2:$A$6,'Sales Manager'!$B$2:$B$6,"")</f>
        <v>Adaora Okafor</v>
      </c>
      <c r="F485" s="3">
        <f t="shared" si="75"/>
        <v>4</v>
      </c>
      <c r="G485" s="1" t="str">
        <f t="shared" si="75"/>
        <v>Apr</v>
      </c>
      <c r="H485" s="11">
        <v>7000</v>
      </c>
      <c r="I485" s="11">
        <v>3362</v>
      </c>
      <c r="J485" s="11" cm="1">
        <f t="array" ref="J485">_xlfn.XLOOKUP(C485&amp;D485&amp;F485,Expense!$C$2:$C$601&amp;Expense!$D$2:$D$601&amp;Expense!$E$2:$E$601,Expense!$G$2:$G$601,"")</f>
        <v>1400</v>
      </c>
      <c r="K485" s="11" cm="1">
        <f t="array" ref="K485">_xlfn.XLOOKUP(C485&amp;D485&amp;F485,Expense!$C$2:$C$601&amp;Expense!$D$2:$D$601&amp;Expense!$E$2:$E$601,Expense!$H$2:$H$601,"")</f>
        <v>1400</v>
      </c>
      <c r="L485" s="14">
        <f t="shared" si="72"/>
        <v>-3638</v>
      </c>
      <c r="M485" s="14">
        <f>Master_Table[[#This Row],[Expense Budget]]-Master_Table[[#This Row],[Actual Expense]]</f>
        <v>0</v>
      </c>
      <c r="N485" s="16">
        <f t="shared" si="73"/>
        <v>1962</v>
      </c>
      <c r="O485" s="29">
        <f t="shared" si="70"/>
        <v>5600</v>
      </c>
      <c r="P485" s="16">
        <f t="shared" si="71"/>
        <v>-3638</v>
      </c>
      <c r="Q485" s="28">
        <f>Master_Table[[#This Row],[△Sales Variance]]/Master_Table[[#This Row],[Sales Budget]]</f>
        <v>-0.51971428571428568</v>
      </c>
      <c r="R485" s="28">
        <f>Master_Table[[#This Row],[△Expense  Variance]]/Master_Table[[#This Row],[Expense Budget]]</f>
        <v>0</v>
      </c>
      <c r="S485" s="28">
        <f>Master_Table[[#This Row],[Net Profit Variance]]/Master_Table[[#This Row],[Budget Net Profit]]</f>
        <v>-0.64964285714285719</v>
      </c>
      <c r="T485" s="28">
        <f>Master_Table[[#This Row],[Actual Net Profit]]/Master_Table[[#This Row],[Actual Sales]]</f>
        <v>0.58358120166567518</v>
      </c>
      <c r="U485" s="28" t="str">
        <f>_xlfn.TEXTJOIN(" - ", TRUE, Master_Table[[#This Row],[Product]], Master_Table[[#This Row],[Branch]])</f>
        <v>Kiwi - Lagos</v>
      </c>
    </row>
    <row r="486" spans="1:21" ht="14.4" x14ac:dyDescent="0.3">
      <c r="A486" s="2">
        <v>485</v>
      </c>
      <c r="B486" s="2">
        <f t="shared" si="67"/>
        <v>108</v>
      </c>
      <c r="C486" s="1" t="str">
        <f>VLOOKUP(B486,Products!A:C,2,FALSE)</f>
        <v>Kiwi</v>
      </c>
      <c r="D486" s="1" t="str">
        <f t="shared" si="68"/>
        <v>Lagos</v>
      </c>
      <c r="E486" s="4" t="str">
        <f>_xlfn.XLOOKUP(D486,'Sales Manager'!$A$2:$A$6,'Sales Manager'!$B$2:$B$6,"")</f>
        <v>Adaora Okafor</v>
      </c>
      <c r="F486" s="3">
        <f t="shared" si="75"/>
        <v>5</v>
      </c>
      <c r="G486" s="1" t="str">
        <f t="shared" si="75"/>
        <v>May</v>
      </c>
      <c r="H486" s="11">
        <v>4000</v>
      </c>
      <c r="I486" s="11">
        <v>6732</v>
      </c>
      <c r="J486" s="11" cm="1">
        <f t="array" ref="J486">_xlfn.XLOOKUP(C486&amp;D486&amp;F486,Expense!$C$2:$C$601&amp;Expense!$D$2:$D$601&amp;Expense!$E$2:$E$601,Expense!$G$2:$G$601,"")</f>
        <v>1000</v>
      </c>
      <c r="K486" s="11" cm="1">
        <f t="array" ref="K486">_xlfn.XLOOKUP(C486&amp;D486&amp;F486,Expense!$C$2:$C$601&amp;Expense!$D$2:$D$601&amp;Expense!$E$2:$E$601,Expense!$H$2:$H$601,"")</f>
        <v>800</v>
      </c>
      <c r="L486" s="14">
        <f t="shared" si="72"/>
        <v>2732</v>
      </c>
      <c r="M486" s="14">
        <f>Master_Table[[#This Row],[Expense Budget]]-Master_Table[[#This Row],[Actual Expense]]</f>
        <v>200</v>
      </c>
      <c r="N486" s="16">
        <f t="shared" si="73"/>
        <v>5932</v>
      </c>
      <c r="O486" s="29">
        <f t="shared" si="70"/>
        <v>3000</v>
      </c>
      <c r="P486" s="16">
        <f t="shared" si="71"/>
        <v>2932</v>
      </c>
      <c r="Q486" s="28">
        <f>Master_Table[[#This Row],[△Sales Variance]]/Master_Table[[#This Row],[Sales Budget]]</f>
        <v>0.68300000000000005</v>
      </c>
      <c r="R486" s="28">
        <f>Master_Table[[#This Row],[△Expense  Variance]]/Master_Table[[#This Row],[Expense Budget]]</f>
        <v>0.2</v>
      </c>
      <c r="S486" s="28">
        <f>Master_Table[[#This Row],[Net Profit Variance]]/Master_Table[[#This Row],[Budget Net Profit]]</f>
        <v>0.97733333333333339</v>
      </c>
      <c r="T486" s="28">
        <f>Master_Table[[#This Row],[Actual Net Profit]]/Master_Table[[#This Row],[Actual Sales]]</f>
        <v>0.88116458704694001</v>
      </c>
      <c r="U486" s="28" t="str">
        <f>_xlfn.TEXTJOIN(" - ", TRUE, Master_Table[[#This Row],[Product]], Master_Table[[#This Row],[Branch]])</f>
        <v>Kiwi - Lagos</v>
      </c>
    </row>
    <row r="487" spans="1:21" ht="14.4" x14ac:dyDescent="0.3">
      <c r="A487" s="2">
        <v>486</v>
      </c>
      <c r="B487" s="2">
        <f t="shared" si="67"/>
        <v>108</v>
      </c>
      <c r="C487" s="1" t="str">
        <f>VLOOKUP(B487,Products!A:C,2,FALSE)</f>
        <v>Kiwi</v>
      </c>
      <c r="D487" s="1" t="str">
        <f t="shared" si="68"/>
        <v>Lagos</v>
      </c>
      <c r="E487" s="4" t="str">
        <f>_xlfn.XLOOKUP(D487,'Sales Manager'!$A$2:$A$6,'Sales Manager'!$B$2:$B$6,"")</f>
        <v>Adaora Okafor</v>
      </c>
      <c r="F487" s="3">
        <f t="shared" si="75"/>
        <v>6</v>
      </c>
      <c r="G487" s="1" t="str">
        <f t="shared" si="75"/>
        <v>Jun</v>
      </c>
      <c r="H487" s="11">
        <v>2000</v>
      </c>
      <c r="I487" s="11">
        <v>3144</v>
      </c>
      <c r="J487" s="11" cm="1">
        <f t="array" ref="J487">_xlfn.XLOOKUP(C487&amp;D487&amp;F487,Expense!$C$2:$C$601&amp;Expense!$D$2:$D$601&amp;Expense!$E$2:$E$601,Expense!$G$2:$G$601,"")</f>
        <v>500</v>
      </c>
      <c r="K487" s="11" cm="1">
        <f t="array" ref="K487">_xlfn.XLOOKUP(C487&amp;D487&amp;F487,Expense!$C$2:$C$601&amp;Expense!$D$2:$D$601&amp;Expense!$E$2:$E$601,Expense!$H$2:$H$601,"")</f>
        <v>200</v>
      </c>
      <c r="L487" s="14">
        <f t="shared" si="72"/>
        <v>1144</v>
      </c>
      <c r="M487" s="14">
        <f>Master_Table[[#This Row],[Expense Budget]]-Master_Table[[#This Row],[Actual Expense]]</f>
        <v>300</v>
      </c>
      <c r="N487" s="16">
        <f t="shared" si="73"/>
        <v>2944</v>
      </c>
      <c r="O487" s="29">
        <f t="shared" si="70"/>
        <v>1500</v>
      </c>
      <c r="P487" s="16">
        <f t="shared" si="71"/>
        <v>1444</v>
      </c>
      <c r="Q487" s="28">
        <f>Master_Table[[#This Row],[△Sales Variance]]/Master_Table[[#This Row],[Sales Budget]]</f>
        <v>0.57199999999999995</v>
      </c>
      <c r="R487" s="28">
        <f>Master_Table[[#This Row],[△Expense  Variance]]/Master_Table[[#This Row],[Expense Budget]]</f>
        <v>0.6</v>
      </c>
      <c r="S487" s="28">
        <f>Master_Table[[#This Row],[Net Profit Variance]]/Master_Table[[#This Row],[Budget Net Profit]]</f>
        <v>0.96266666666666667</v>
      </c>
      <c r="T487" s="28">
        <f>Master_Table[[#This Row],[Actual Net Profit]]/Master_Table[[#This Row],[Actual Sales]]</f>
        <v>0.93638676844783719</v>
      </c>
      <c r="U487" s="28" t="str">
        <f>_xlfn.TEXTJOIN(" - ", TRUE, Master_Table[[#This Row],[Product]], Master_Table[[#This Row],[Branch]])</f>
        <v>Kiwi - Lagos</v>
      </c>
    </row>
    <row r="488" spans="1:21" ht="14.4" x14ac:dyDescent="0.3">
      <c r="A488" s="2">
        <v>487</v>
      </c>
      <c r="B488" s="2">
        <f t="shared" si="67"/>
        <v>108</v>
      </c>
      <c r="C488" s="1" t="str">
        <f>VLOOKUP(B488,Products!A:C,2,FALSE)</f>
        <v>Kiwi</v>
      </c>
      <c r="D488" s="1" t="str">
        <f t="shared" si="68"/>
        <v>Lagos</v>
      </c>
      <c r="E488" s="4" t="str">
        <f>_xlfn.XLOOKUP(D488,'Sales Manager'!$A$2:$A$6,'Sales Manager'!$B$2:$B$6,"")</f>
        <v>Adaora Okafor</v>
      </c>
      <c r="F488" s="3">
        <f t="shared" si="75"/>
        <v>7</v>
      </c>
      <c r="G488" s="1" t="str">
        <f t="shared" si="75"/>
        <v>Jul</v>
      </c>
      <c r="H488" s="11">
        <v>8000</v>
      </c>
      <c r="I488" s="11">
        <v>3324</v>
      </c>
      <c r="J488" s="11" cm="1">
        <f t="array" ref="J488">_xlfn.XLOOKUP(C488&amp;D488&amp;F488,Expense!$C$2:$C$601&amp;Expense!$D$2:$D$601&amp;Expense!$E$2:$E$601,Expense!$G$2:$G$601,"")</f>
        <v>2000</v>
      </c>
      <c r="K488" s="11" cm="1">
        <f t="array" ref="K488">_xlfn.XLOOKUP(C488&amp;D488&amp;F488,Expense!$C$2:$C$601&amp;Expense!$D$2:$D$601&amp;Expense!$E$2:$E$601,Expense!$H$2:$H$601,"")</f>
        <v>1600</v>
      </c>
      <c r="L488" s="14">
        <f t="shared" si="72"/>
        <v>-4676</v>
      </c>
      <c r="M488" s="14">
        <f>Master_Table[[#This Row],[Expense Budget]]-Master_Table[[#This Row],[Actual Expense]]</f>
        <v>400</v>
      </c>
      <c r="N488" s="16">
        <f t="shared" si="73"/>
        <v>1724</v>
      </c>
      <c r="O488" s="29">
        <f t="shared" si="70"/>
        <v>6000</v>
      </c>
      <c r="P488" s="16">
        <f t="shared" si="71"/>
        <v>-4276</v>
      </c>
      <c r="Q488" s="28">
        <f>Master_Table[[#This Row],[△Sales Variance]]/Master_Table[[#This Row],[Sales Budget]]</f>
        <v>-0.58450000000000002</v>
      </c>
      <c r="R488" s="28">
        <f>Master_Table[[#This Row],[△Expense  Variance]]/Master_Table[[#This Row],[Expense Budget]]</f>
        <v>0.2</v>
      </c>
      <c r="S488" s="28">
        <f>Master_Table[[#This Row],[Net Profit Variance]]/Master_Table[[#This Row],[Budget Net Profit]]</f>
        <v>-0.71266666666666667</v>
      </c>
      <c r="T488" s="28">
        <f>Master_Table[[#This Row],[Actual Net Profit]]/Master_Table[[#This Row],[Actual Sales]]</f>
        <v>0.51865222623345364</v>
      </c>
      <c r="U488" s="28" t="str">
        <f>_xlfn.TEXTJOIN(" - ", TRUE, Master_Table[[#This Row],[Product]], Master_Table[[#This Row],[Branch]])</f>
        <v>Kiwi - Lagos</v>
      </c>
    </row>
    <row r="489" spans="1:21" ht="14.4" x14ac:dyDescent="0.3">
      <c r="A489" s="2">
        <v>488</v>
      </c>
      <c r="B489" s="2">
        <f t="shared" si="67"/>
        <v>108</v>
      </c>
      <c r="C489" s="1" t="str">
        <f>VLOOKUP(B489,Products!A:C,2,FALSE)</f>
        <v>Kiwi</v>
      </c>
      <c r="D489" s="1" t="str">
        <f t="shared" si="68"/>
        <v>Lagos</v>
      </c>
      <c r="E489" s="4" t="str">
        <f>_xlfn.XLOOKUP(D489,'Sales Manager'!$A$2:$A$6,'Sales Manager'!$B$2:$B$6,"")</f>
        <v>Adaora Okafor</v>
      </c>
      <c r="F489" s="3">
        <f t="shared" si="75"/>
        <v>8</v>
      </c>
      <c r="G489" s="1" t="str">
        <f t="shared" si="75"/>
        <v>Aug</v>
      </c>
      <c r="H489" s="11">
        <v>4000</v>
      </c>
      <c r="I489" s="11">
        <v>5667</v>
      </c>
      <c r="J489" s="11" cm="1">
        <f t="array" ref="J489">_xlfn.XLOOKUP(C489&amp;D489&amp;F489,Expense!$C$2:$C$601&amp;Expense!$D$2:$D$601&amp;Expense!$E$2:$E$601,Expense!$G$2:$G$601,"")</f>
        <v>800</v>
      </c>
      <c r="K489" s="11" cm="1">
        <f t="array" ref="K489">_xlfn.XLOOKUP(C489&amp;D489&amp;F489,Expense!$C$2:$C$601&amp;Expense!$D$2:$D$601&amp;Expense!$E$2:$E$601,Expense!$H$2:$H$601,"")</f>
        <v>800</v>
      </c>
      <c r="L489" s="14">
        <f t="shared" si="72"/>
        <v>1667</v>
      </c>
      <c r="M489" s="14">
        <f>Master_Table[[#This Row],[Expense Budget]]-Master_Table[[#This Row],[Actual Expense]]</f>
        <v>0</v>
      </c>
      <c r="N489" s="16">
        <f t="shared" si="73"/>
        <v>4867</v>
      </c>
      <c r="O489" s="29">
        <f t="shared" si="70"/>
        <v>3200</v>
      </c>
      <c r="P489" s="16">
        <f t="shared" si="71"/>
        <v>1667</v>
      </c>
      <c r="Q489" s="28">
        <f>Master_Table[[#This Row],[△Sales Variance]]/Master_Table[[#This Row],[Sales Budget]]</f>
        <v>0.41675000000000001</v>
      </c>
      <c r="R489" s="28">
        <f>Master_Table[[#This Row],[△Expense  Variance]]/Master_Table[[#This Row],[Expense Budget]]</f>
        <v>0</v>
      </c>
      <c r="S489" s="28">
        <f>Master_Table[[#This Row],[Net Profit Variance]]/Master_Table[[#This Row],[Budget Net Profit]]</f>
        <v>0.52093750000000005</v>
      </c>
      <c r="T489" s="28">
        <f>Master_Table[[#This Row],[Actual Net Profit]]/Master_Table[[#This Row],[Actual Sales]]</f>
        <v>0.85883183342156344</v>
      </c>
      <c r="U489" s="28" t="str">
        <f>_xlfn.TEXTJOIN(" - ", TRUE, Master_Table[[#This Row],[Product]], Master_Table[[#This Row],[Branch]])</f>
        <v>Kiwi - Lagos</v>
      </c>
    </row>
    <row r="490" spans="1:21" ht="14.4" x14ac:dyDescent="0.3">
      <c r="A490" s="2">
        <v>489</v>
      </c>
      <c r="B490" s="2">
        <f t="shared" si="67"/>
        <v>108</v>
      </c>
      <c r="C490" s="1" t="str">
        <f>VLOOKUP(B490,Products!A:C,2,FALSE)</f>
        <v>Kiwi</v>
      </c>
      <c r="D490" s="1" t="str">
        <f t="shared" si="68"/>
        <v>Lagos</v>
      </c>
      <c r="E490" s="4" t="str">
        <f>_xlfn.XLOOKUP(D490,'Sales Manager'!$A$2:$A$6,'Sales Manager'!$B$2:$B$6,"")</f>
        <v>Adaora Okafor</v>
      </c>
      <c r="F490" s="3">
        <f t="shared" si="75"/>
        <v>9</v>
      </c>
      <c r="G490" s="1" t="str">
        <f t="shared" si="75"/>
        <v>Sept</v>
      </c>
      <c r="H490" s="11">
        <v>1000</v>
      </c>
      <c r="I490" s="11">
        <v>3872</v>
      </c>
      <c r="J490" s="11" cm="1">
        <f t="array" ref="J490">_xlfn.XLOOKUP(C490&amp;D490&amp;F490,Expense!$C$2:$C$601&amp;Expense!$D$2:$D$601&amp;Expense!$E$2:$E$601,Expense!$G$2:$G$601,"")</f>
        <v>200</v>
      </c>
      <c r="K490" s="11" cm="1">
        <f t="array" ref="K490">_xlfn.XLOOKUP(C490&amp;D490&amp;F490,Expense!$C$2:$C$601&amp;Expense!$D$2:$D$601&amp;Expense!$E$2:$E$601,Expense!$H$2:$H$601,"")</f>
        <v>300</v>
      </c>
      <c r="L490" s="14">
        <f t="shared" si="72"/>
        <v>2872</v>
      </c>
      <c r="M490" s="14">
        <f>Master_Table[[#This Row],[Expense Budget]]-Master_Table[[#This Row],[Actual Expense]]</f>
        <v>-100</v>
      </c>
      <c r="N490" s="16">
        <f t="shared" si="73"/>
        <v>3572</v>
      </c>
      <c r="O490" s="29">
        <f t="shared" si="70"/>
        <v>800</v>
      </c>
      <c r="P490" s="16">
        <f t="shared" si="71"/>
        <v>2772</v>
      </c>
      <c r="Q490" s="28">
        <f>Master_Table[[#This Row],[△Sales Variance]]/Master_Table[[#This Row],[Sales Budget]]</f>
        <v>2.8719999999999999</v>
      </c>
      <c r="R490" s="28">
        <f>Master_Table[[#This Row],[△Expense  Variance]]/Master_Table[[#This Row],[Expense Budget]]</f>
        <v>-0.5</v>
      </c>
      <c r="S490" s="28">
        <f>Master_Table[[#This Row],[Net Profit Variance]]/Master_Table[[#This Row],[Budget Net Profit]]</f>
        <v>3.4649999999999999</v>
      </c>
      <c r="T490" s="28">
        <f>Master_Table[[#This Row],[Actual Net Profit]]/Master_Table[[#This Row],[Actual Sales]]</f>
        <v>0.9225206611570248</v>
      </c>
      <c r="U490" s="28" t="str">
        <f>_xlfn.TEXTJOIN(" - ", TRUE, Master_Table[[#This Row],[Product]], Master_Table[[#This Row],[Branch]])</f>
        <v>Kiwi - Lagos</v>
      </c>
    </row>
    <row r="491" spans="1:21" ht="14.4" x14ac:dyDescent="0.3">
      <c r="A491" s="2">
        <v>490</v>
      </c>
      <c r="B491" s="2">
        <f t="shared" si="67"/>
        <v>108</v>
      </c>
      <c r="C491" s="1" t="str">
        <f>VLOOKUP(B491,Products!A:C,2,FALSE)</f>
        <v>Kiwi</v>
      </c>
      <c r="D491" s="1" t="str">
        <f t="shared" si="68"/>
        <v>Lagos</v>
      </c>
      <c r="E491" s="4" t="str">
        <f>_xlfn.XLOOKUP(D491,'Sales Manager'!$A$2:$A$6,'Sales Manager'!$B$2:$B$6,"")</f>
        <v>Adaora Okafor</v>
      </c>
      <c r="F491" s="3">
        <f t="shared" si="75"/>
        <v>10</v>
      </c>
      <c r="G491" s="1" t="str">
        <f t="shared" si="75"/>
        <v>Oct</v>
      </c>
      <c r="H491" s="11">
        <v>4000</v>
      </c>
      <c r="I491" s="11">
        <v>5424</v>
      </c>
      <c r="J491" s="11" cm="1">
        <f t="array" ref="J491">_xlfn.XLOOKUP(C491&amp;D491&amp;F491,Expense!$C$2:$C$601&amp;Expense!$D$2:$D$601&amp;Expense!$E$2:$E$601,Expense!$G$2:$G$601,"")</f>
        <v>800</v>
      </c>
      <c r="K491" s="11" cm="1">
        <f t="array" ref="K491">_xlfn.XLOOKUP(C491&amp;D491&amp;F491,Expense!$C$2:$C$601&amp;Expense!$D$2:$D$601&amp;Expense!$E$2:$E$601,Expense!$H$2:$H$601,"")</f>
        <v>400</v>
      </c>
      <c r="L491" s="14">
        <f t="shared" si="72"/>
        <v>1424</v>
      </c>
      <c r="M491" s="14">
        <f>Master_Table[[#This Row],[Expense Budget]]-Master_Table[[#This Row],[Actual Expense]]</f>
        <v>400</v>
      </c>
      <c r="N491" s="16">
        <f t="shared" si="73"/>
        <v>5024</v>
      </c>
      <c r="O491" s="29">
        <f t="shared" si="70"/>
        <v>3200</v>
      </c>
      <c r="P491" s="16">
        <f t="shared" si="71"/>
        <v>1824</v>
      </c>
      <c r="Q491" s="28">
        <f>Master_Table[[#This Row],[△Sales Variance]]/Master_Table[[#This Row],[Sales Budget]]</f>
        <v>0.35599999999999998</v>
      </c>
      <c r="R491" s="28">
        <f>Master_Table[[#This Row],[△Expense  Variance]]/Master_Table[[#This Row],[Expense Budget]]</f>
        <v>0.5</v>
      </c>
      <c r="S491" s="28">
        <f>Master_Table[[#This Row],[Net Profit Variance]]/Master_Table[[#This Row],[Budget Net Profit]]</f>
        <v>0.56999999999999995</v>
      </c>
      <c r="T491" s="28">
        <f>Master_Table[[#This Row],[Actual Net Profit]]/Master_Table[[#This Row],[Actual Sales]]</f>
        <v>0.92625368731563418</v>
      </c>
      <c r="U491" s="28" t="str">
        <f>_xlfn.TEXTJOIN(" - ", TRUE, Master_Table[[#This Row],[Product]], Master_Table[[#This Row],[Branch]])</f>
        <v>Kiwi - Lagos</v>
      </c>
    </row>
    <row r="492" spans="1:21" ht="14.4" x14ac:dyDescent="0.3">
      <c r="A492" s="2">
        <v>491</v>
      </c>
      <c r="B492" s="2">
        <f t="shared" si="67"/>
        <v>108</v>
      </c>
      <c r="C492" s="1" t="str">
        <f>VLOOKUP(B492,Products!A:C,2,FALSE)</f>
        <v>Kiwi</v>
      </c>
      <c r="D492" s="1" t="str">
        <f t="shared" si="68"/>
        <v>Lagos</v>
      </c>
      <c r="E492" s="4" t="str">
        <f>_xlfn.XLOOKUP(D492,'Sales Manager'!$A$2:$A$6,'Sales Manager'!$B$2:$B$6,"")</f>
        <v>Adaora Okafor</v>
      </c>
      <c r="F492" s="3">
        <f t="shared" si="75"/>
        <v>11</v>
      </c>
      <c r="G492" s="1" t="str">
        <f t="shared" si="75"/>
        <v>Nov</v>
      </c>
      <c r="H492" s="11">
        <v>1000</v>
      </c>
      <c r="I492" s="11">
        <v>2116</v>
      </c>
      <c r="J492" s="11" cm="1">
        <f t="array" ref="J492">_xlfn.XLOOKUP(C492&amp;D492&amp;F492,Expense!$C$2:$C$601&amp;Expense!$D$2:$D$601&amp;Expense!$E$2:$E$601,Expense!$G$2:$G$601,"")</f>
        <v>200</v>
      </c>
      <c r="K492" s="11" cm="1">
        <f t="array" ref="K492">_xlfn.XLOOKUP(C492&amp;D492&amp;F492,Expense!$C$2:$C$601&amp;Expense!$D$2:$D$601&amp;Expense!$E$2:$E$601,Expense!$H$2:$H$601,"")</f>
        <v>400</v>
      </c>
      <c r="L492" s="14">
        <f t="shared" si="72"/>
        <v>1116</v>
      </c>
      <c r="M492" s="14">
        <f>Master_Table[[#This Row],[Expense Budget]]-Master_Table[[#This Row],[Actual Expense]]</f>
        <v>-200</v>
      </c>
      <c r="N492" s="16">
        <f t="shared" si="73"/>
        <v>1716</v>
      </c>
      <c r="O492" s="29">
        <f t="shared" si="70"/>
        <v>800</v>
      </c>
      <c r="P492" s="16">
        <f t="shared" si="71"/>
        <v>916</v>
      </c>
      <c r="Q492" s="28">
        <f>Master_Table[[#This Row],[△Sales Variance]]/Master_Table[[#This Row],[Sales Budget]]</f>
        <v>1.1160000000000001</v>
      </c>
      <c r="R492" s="28">
        <f>Master_Table[[#This Row],[△Expense  Variance]]/Master_Table[[#This Row],[Expense Budget]]</f>
        <v>-1</v>
      </c>
      <c r="S492" s="28">
        <f>Master_Table[[#This Row],[Net Profit Variance]]/Master_Table[[#This Row],[Budget Net Profit]]</f>
        <v>1.145</v>
      </c>
      <c r="T492" s="28">
        <f>Master_Table[[#This Row],[Actual Net Profit]]/Master_Table[[#This Row],[Actual Sales]]</f>
        <v>0.81096408317580337</v>
      </c>
      <c r="U492" s="28" t="str">
        <f>_xlfn.TEXTJOIN(" - ", TRUE, Master_Table[[#This Row],[Product]], Master_Table[[#This Row],[Branch]])</f>
        <v>Kiwi - Lagos</v>
      </c>
    </row>
    <row r="493" spans="1:21" ht="14.4" x14ac:dyDescent="0.3">
      <c r="A493" s="2">
        <v>492</v>
      </c>
      <c r="B493" s="2">
        <f t="shared" si="67"/>
        <v>108</v>
      </c>
      <c r="C493" s="1" t="str">
        <f>VLOOKUP(B493,Products!A:C,2,FALSE)</f>
        <v>Kiwi</v>
      </c>
      <c r="D493" s="1" t="str">
        <f t="shared" si="68"/>
        <v>Lagos</v>
      </c>
      <c r="E493" s="4" t="str">
        <f>_xlfn.XLOOKUP(D493,'Sales Manager'!$A$2:$A$6,'Sales Manager'!$B$2:$B$6,"")</f>
        <v>Adaora Okafor</v>
      </c>
      <c r="F493" s="3">
        <f t="shared" si="75"/>
        <v>12</v>
      </c>
      <c r="G493" s="1" t="str">
        <f t="shared" si="75"/>
        <v>Dec</v>
      </c>
      <c r="H493" s="11">
        <v>8000</v>
      </c>
      <c r="I493" s="11">
        <v>4654</v>
      </c>
      <c r="J493" s="11" cm="1">
        <f t="array" ref="J493">_xlfn.XLOOKUP(C493&amp;D493&amp;F493,Expense!$C$2:$C$601&amp;Expense!$D$2:$D$601&amp;Expense!$E$2:$E$601,Expense!$G$2:$G$601,"")</f>
        <v>4000</v>
      </c>
      <c r="K493" s="11" cm="1">
        <f t="array" ref="K493">_xlfn.XLOOKUP(C493&amp;D493&amp;F493,Expense!$C$2:$C$601&amp;Expense!$D$2:$D$601&amp;Expense!$E$2:$E$601,Expense!$H$2:$H$601,"")</f>
        <v>3700</v>
      </c>
      <c r="L493" s="14">
        <f t="shared" si="72"/>
        <v>-3346</v>
      </c>
      <c r="M493" s="14">
        <f>Master_Table[[#This Row],[Expense Budget]]-Master_Table[[#This Row],[Actual Expense]]</f>
        <v>300</v>
      </c>
      <c r="N493" s="16">
        <f t="shared" si="73"/>
        <v>954</v>
      </c>
      <c r="O493" s="29">
        <f t="shared" si="70"/>
        <v>4000</v>
      </c>
      <c r="P493" s="16">
        <f t="shared" si="71"/>
        <v>-3046</v>
      </c>
      <c r="Q493" s="28">
        <f>Master_Table[[#This Row],[△Sales Variance]]/Master_Table[[#This Row],[Sales Budget]]</f>
        <v>-0.41825000000000001</v>
      </c>
      <c r="R493" s="28">
        <f>Master_Table[[#This Row],[△Expense  Variance]]/Master_Table[[#This Row],[Expense Budget]]</f>
        <v>7.4999999999999997E-2</v>
      </c>
      <c r="S493" s="28">
        <f>Master_Table[[#This Row],[Net Profit Variance]]/Master_Table[[#This Row],[Budget Net Profit]]</f>
        <v>-0.76149999999999995</v>
      </c>
      <c r="T493" s="28">
        <f>Master_Table[[#This Row],[Actual Net Profit]]/Master_Table[[#This Row],[Actual Sales]]</f>
        <v>0.20498495917490331</v>
      </c>
      <c r="U493" s="28" t="str">
        <f>_xlfn.TEXTJOIN(" - ", TRUE, Master_Table[[#This Row],[Product]], Master_Table[[#This Row],[Branch]])</f>
        <v>Kiwi - Lagos</v>
      </c>
    </row>
    <row r="494" spans="1:21" ht="14.4" x14ac:dyDescent="0.3">
      <c r="A494" s="2">
        <v>493</v>
      </c>
      <c r="B494" s="2">
        <f t="shared" si="67"/>
        <v>108</v>
      </c>
      <c r="C494" s="1" t="str">
        <f>VLOOKUP(B494,Products!A:C,2,FALSE)</f>
        <v>Kiwi</v>
      </c>
      <c r="D494" s="1" t="str">
        <f t="shared" si="68"/>
        <v>Abuja</v>
      </c>
      <c r="E494" s="4" t="str">
        <f>_xlfn.XLOOKUP(D494,'Sales Manager'!$A$2:$A$6,'Sales Manager'!$B$2:$B$6,"")</f>
        <v>Emeka Nwosu</v>
      </c>
      <c r="F494" s="3">
        <f t="shared" si="75"/>
        <v>1</v>
      </c>
      <c r="G494" s="1" t="str">
        <f t="shared" si="75"/>
        <v>Jan</v>
      </c>
      <c r="H494" s="11">
        <v>5000</v>
      </c>
      <c r="I494" s="11">
        <v>4324</v>
      </c>
      <c r="J494" s="11" cm="1">
        <f t="array" ref="J494">_xlfn.XLOOKUP(C494&amp;D494&amp;F494,Expense!$C$2:$C$601&amp;Expense!$D$2:$D$601&amp;Expense!$E$2:$E$601,Expense!$G$2:$G$601,"")</f>
        <v>1666.6666666666667</v>
      </c>
      <c r="K494" s="11" cm="1">
        <f t="array" ref="K494">_xlfn.XLOOKUP(C494&amp;D494&amp;F494,Expense!$C$2:$C$601&amp;Expense!$D$2:$D$601&amp;Expense!$E$2:$E$601,Expense!$H$2:$H$601,"")</f>
        <v>1666.6666666666667</v>
      </c>
      <c r="L494" s="14">
        <f t="shared" si="72"/>
        <v>-676</v>
      </c>
      <c r="M494" s="14">
        <f>Master_Table[[#This Row],[Expense Budget]]-Master_Table[[#This Row],[Actual Expense]]</f>
        <v>0</v>
      </c>
      <c r="N494" s="16">
        <f t="shared" si="73"/>
        <v>2657.333333333333</v>
      </c>
      <c r="O494" s="29">
        <f t="shared" si="70"/>
        <v>3333.333333333333</v>
      </c>
      <c r="P494" s="16">
        <f t="shared" si="71"/>
        <v>-676</v>
      </c>
      <c r="Q494" s="28">
        <f>Master_Table[[#This Row],[△Sales Variance]]/Master_Table[[#This Row],[Sales Budget]]</f>
        <v>-0.13519999999999999</v>
      </c>
      <c r="R494" s="28">
        <f>Master_Table[[#This Row],[△Expense  Variance]]/Master_Table[[#This Row],[Expense Budget]]</f>
        <v>0</v>
      </c>
      <c r="S494" s="28">
        <f>Master_Table[[#This Row],[Net Profit Variance]]/Master_Table[[#This Row],[Budget Net Profit]]</f>
        <v>-0.20280000000000001</v>
      </c>
      <c r="T494" s="28">
        <f>Master_Table[[#This Row],[Actual Net Profit]]/Master_Table[[#This Row],[Actual Sales]]</f>
        <v>0.61455442491520196</v>
      </c>
      <c r="U494" s="28" t="str">
        <f>_xlfn.TEXTJOIN(" - ", TRUE, Master_Table[[#This Row],[Product]], Master_Table[[#This Row],[Branch]])</f>
        <v>Kiwi - Abuja</v>
      </c>
    </row>
    <row r="495" spans="1:21" ht="14.4" x14ac:dyDescent="0.3">
      <c r="A495" s="2">
        <v>494</v>
      </c>
      <c r="B495" s="2">
        <f t="shared" si="67"/>
        <v>108</v>
      </c>
      <c r="C495" s="1" t="str">
        <f>VLOOKUP(B495,Products!A:C,2,FALSE)</f>
        <v>Kiwi</v>
      </c>
      <c r="D495" s="1" t="str">
        <f t="shared" si="68"/>
        <v>Abuja</v>
      </c>
      <c r="E495" s="4" t="str">
        <f>_xlfn.XLOOKUP(D495,'Sales Manager'!$A$2:$A$6,'Sales Manager'!$B$2:$B$6,"")</f>
        <v>Emeka Nwosu</v>
      </c>
      <c r="F495" s="3">
        <f t="shared" ref="F495:G510" si="76">F483</f>
        <v>2</v>
      </c>
      <c r="G495" s="1" t="str">
        <f t="shared" si="76"/>
        <v>Feb</v>
      </c>
      <c r="H495" s="11">
        <v>2000</v>
      </c>
      <c r="I495" s="11">
        <v>8568</v>
      </c>
      <c r="J495" s="11" cm="1">
        <f t="array" ref="J495">_xlfn.XLOOKUP(C495&amp;D495&amp;F495,Expense!$C$2:$C$601&amp;Expense!$D$2:$D$601&amp;Expense!$E$2:$E$601,Expense!$G$2:$G$601,"")</f>
        <v>400</v>
      </c>
      <c r="K495" s="11" cm="1">
        <f t="array" ref="K495">_xlfn.XLOOKUP(C495&amp;D495&amp;F495,Expense!$C$2:$C$601&amp;Expense!$D$2:$D$601&amp;Expense!$E$2:$E$601,Expense!$H$2:$H$601,"")</f>
        <v>300</v>
      </c>
      <c r="L495" s="14">
        <f t="shared" si="72"/>
        <v>6568</v>
      </c>
      <c r="M495" s="14">
        <f>Master_Table[[#This Row],[Expense Budget]]-Master_Table[[#This Row],[Actual Expense]]</f>
        <v>100</v>
      </c>
      <c r="N495" s="16">
        <f t="shared" si="73"/>
        <v>8268</v>
      </c>
      <c r="O495" s="29">
        <f t="shared" si="70"/>
        <v>1600</v>
      </c>
      <c r="P495" s="16">
        <f t="shared" si="71"/>
        <v>6668</v>
      </c>
      <c r="Q495" s="28">
        <f>Master_Table[[#This Row],[△Sales Variance]]/Master_Table[[#This Row],[Sales Budget]]</f>
        <v>3.2839999999999998</v>
      </c>
      <c r="R495" s="28">
        <f>Master_Table[[#This Row],[△Expense  Variance]]/Master_Table[[#This Row],[Expense Budget]]</f>
        <v>0.25</v>
      </c>
      <c r="S495" s="28">
        <f>Master_Table[[#This Row],[Net Profit Variance]]/Master_Table[[#This Row],[Budget Net Profit]]</f>
        <v>4.1675000000000004</v>
      </c>
      <c r="T495" s="28">
        <f>Master_Table[[#This Row],[Actual Net Profit]]/Master_Table[[#This Row],[Actual Sales]]</f>
        <v>0.96498599439775912</v>
      </c>
      <c r="U495" s="28" t="str">
        <f>_xlfn.TEXTJOIN(" - ", TRUE, Master_Table[[#This Row],[Product]], Master_Table[[#This Row],[Branch]])</f>
        <v>Kiwi - Abuja</v>
      </c>
    </row>
    <row r="496" spans="1:21" ht="14.4" x14ac:dyDescent="0.3">
      <c r="A496" s="2">
        <v>495</v>
      </c>
      <c r="B496" s="2">
        <f t="shared" si="67"/>
        <v>108</v>
      </c>
      <c r="C496" s="1" t="str">
        <f>VLOOKUP(B496,Products!A:C,2,FALSE)</f>
        <v>Kiwi</v>
      </c>
      <c r="D496" s="1" t="str">
        <f t="shared" si="68"/>
        <v>Abuja</v>
      </c>
      <c r="E496" s="4" t="str">
        <f>_xlfn.XLOOKUP(D496,'Sales Manager'!$A$2:$A$6,'Sales Manager'!$B$2:$B$6,"")</f>
        <v>Emeka Nwosu</v>
      </c>
      <c r="F496" s="3">
        <f t="shared" si="76"/>
        <v>3</v>
      </c>
      <c r="G496" s="1" t="str">
        <f t="shared" si="76"/>
        <v>Mar</v>
      </c>
      <c r="H496" s="11">
        <v>6000</v>
      </c>
      <c r="I496" s="11">
        <v>3637</v>
      </c>
      <c r="J496" s="11" cm="1">
        <f t="array" ref="J496">_xlfn.XLOOKUP(C496&amp;D496&amp;F496,Expense!$C$2:$C$601&amp;Expense!$D$2:$D$601&amp;Expense!$E$2:$E$601,Expense!$G$2:$G$601,"")</f>
        <v>1500</v>
      </c>
      <c r="K496" s="11" cm="1">
        <f t="array" ref="K496">_xlfn.XLOOKUP(C496&amp;D496&amp;F496,Expense!$C$2:$C$601&amp;Expense!$D$2:$D$601&amp;Expense!$E$2:$E$601,Expense!$H$2:$H$601,"")</f>
        <v>1300</v>
      </c>
      <c r="L496" s="14">
        <f t="shared" si="72"/>
        <v>-2363</v>
      </c>
      <c r="M496" s="14">
        <f>Master_Table[[#This Row],[Expense Budget]]-Master_Table[[#This Row],[Actual Expense]]</f>
        <v>200</v>
      </c>
      <c r="N496" s="16">
        <f t="shared" si="73"/>
        <v>2337</v>
      </c>
      <c r="O496" s="29">
        <f t="shared" si="70"/>
        <v>4500</v>
      </c>
      <c r="P496" s="16">
        <f t="shared" si="71"/>
        <v>-2163</v>
      </c>
      <c r="Q496" s="28">
        <f>Master_Table[[#This Row],[△Sales Variance]]/Master_Table[[#This Row],[Sales Budget]]</f>
        <v>-0.39383333333333331</v>
      </c>
      <c r="R496" s="28">
        <f>Master_Table[[#This Row],[△Expense  Variance]]/Master_Table[[#This Row],[Expense Budget]]</f>
        <v>0.13333333333333333</v>
      </c>
      <c r="S496" s="28">
        <f>Master_Table[[#This Row],[Net Profit Variance]]/Master_Table[[#This Row],[Budget Net Profit]]</f>
        <v>-0.48066666666666669</v>
      </c>
      <c r="T496" s="28">
        <f>Master_Table[[#This Row],[Actual Net Profit]]/Master_Table[[#This Row],[Actual Sales]]</f>
        <v>0.64256255155347819</v>
      </c>
      <c r="U496" s="28" t="str">
        <f>_xlfn.TEXTJOIN(" - ", TRUE, Master_Table[[#This Row],[Product]], Master_Table[[#This Row],[Branch]])</f>
        <v>Kiwi - Abuja</v>
      </c>
    </row>
    <row r="497" spans="1:21" ht="14.4" x14ac:dyDescent="0.3">
      <c r="A497" s="2">
        <v>496</v>
      </c>
      <c r="B497" s="2">
        <f t="shared" si="67"/>
        <v>108</v>
      </c>
      <c r="C497" s="1" t="str">
        <f>VLOOKUP(B497,Products!A:C,2,FALSE)</f>
        <v>Kiwi</v>
      </c>
      <c r="D497" s="1" t="str">
        <f t="shared" si="68"/>
        <v>Abuja</v>
      </c>
      <c r="E497" s="4" t="str">
        <f>_xlfn.XLOOKUP(D497,'Sales Manager'!$A$2:$A$6,'Sales Manager'!$B$2:$B$6,"")</f>
        <v>Emeka Nwosu</v>
      </c>
      <c r="F497" s="3">
        <f t="shared" si="76"/>
        <v>4</v>
      </c>
      <c r="G497" s="1" t="str">
        <f t="shared" si="76"/>
        <v>Apr</v>
      </c>
      <c r="H497" s="11">
        <v>2000</v>
      </c>
      <c r="I497" s="11">
        <v>7743</v>
      </c>
      <c r="J497" s="11" cm="1">
        <f t="array" ref="J497">_xlfn.XLOOKUP(C497&amp;D497&amp;F497,Expense!$C$2:$C$601&amp;Expense!$D$2:$D$601&amp;Expense!$E$2:$E$601,Expense!$G$2:$G$601,"")</f>
        <v>400</v>
      </c>
      <c r="K497" s="11" cm="1">
        <f t="array" ref="K497">_xlfn.XLOOKUP(C497&amp;D497&amp;F497,Expense!$C$2:$C$601&amp;Expense!$D$2:$D$601&amp;Expense!$E$2:$E$601,Expense!$H$2:$H$601,"")</f>
        <v>100</v>
      </c>
      <c r="L497" s="14">
        <f t="shared" si="72"/>
        <v>5743</v>
      </c>
      <c r="M497" s="14">
        <f>Master_Table[[#This Row],[Expense Budget]]-Master_Table[[#This Row],[Actual Expense]]</f>
        <v>300</v>
      </c>
      <c r="N497" s="16">
        <f t="shared" si="73"/>
        <v>7643</v>
      </c>
      <c r="O497" s="29">
        <f t="shared" si="70"/>
        <v>1600</v>
      </c>
      <c r="P497" s="16">
        <f t="shared" si="71"/>
        <v>6043</v>
      </c>
      <c r="Q497" s="28">
        <f>Master_Table[[#This Row],[△Sales Variance]]/Master_Table[[#This Row],[Sales Budget]]</f>
        <v>2.8715000000000002</v>
      </c>
      <c r="R497" s="28">
        <f>Master_Table[[#This Row],[△Expense  Variance]]/Master_Table[[#This Row],[Expense Budget]]</f>
        <v>0.75</v>
      </c>
      <c r="S497" s="28">
        <f>Master_Table[[#This Row],[Net Profit Variance]]/Master_Table[[#This Row],[Budget Net Profit]]</f>
        <v>3.776875</v>
      </c>
      <c r="T497" s="28">
        <f>Master_Table[[#This Row],[Actual Net Profit]]/Master_Table[[#This Row],[Actual Sales]]</f>
        <v>0.98708510913082781</v>
      </c>
      <c r="U497" s="28" t="str">
        <f>_xlfn.TEXTJOIN(" - ", TRUE, Master_Table[[#This Row],[Product]], Master_Table[[#This Row],[Branch]])</f>
        <v>Kiwi - Abuja</v>
      </c>
    </row>
    <row r="498" spans="1:21" ht="14.4" x14ac:dyDescent="0.3">
      <c r="A498" s="2">
        <v>497</v>
      </c>
      <c r="B498" s="2">
        <f t="shared" si="67"/>
        <v>108</v>
      </c>
      <c r="C498" s="1" t="str">
        <f>VLOOKUP(B498,Products!A:C,2,FALSE)</f>
        <v>Kiwi</v>
      </c>
      <c r="D498" s="1" t="str">
        <f t="shared" si="68"/>
        <v>Abuja</v>
      </c>
      <c r="E498" s="4" t="str">
        <f>_xlfn.XLOOKUP(D498,'Sales Manager'!$A$2:$A$6,'Sales Manager'!$B$2:$B$6,"")</f>
        <v>Emeka Nwosu</v>
      </c>
      <c r="F498" s="3">
        <f t="shared" si="76"/>
        <v>5</v>
      </c>
      <c r="G498" s="1" t="str">
        <f t="shared" si="76"/>
        <v>May</v>
      </c>
      <c r="H498" s="11">
        <v>2000</v>
      </c>
      <c r="I498" s="11">
        <v>5047</v>
      </c>
      <c r="J498" s="11" cm="1">
        <f t="array" ref="J498">_xlfn.XLOOKUP(C498&amp;D498&amp;F498,Expense!$C$2:$C$601&amp;Expense!$D$2:$D$601&amp;Expense!$E$2:$E$601,Expense!$G$2:$G$601,"")</f>
        <v>1000</v>
      </c>
      <c r="K498" s="11" cm="1">
        <f t="array" ref="K498">_xlfn.XLOOKUP(C498&amp;D498&amp;F498,Expense!$C$2:$C$601&amp;Expense!$D$2:$D$601&amp;Expense!$E$2:$E$601,Expense!$H$2:$H$601,"")</f>
        <v>700</v>
      </c>
      <c r="L498" s="14">
        <f t="shared" si="72"/>
        <v>3047</v>
      </c>
      <c r="M498" s="14">
        <f>Master_Table[[#This Row],[Expense Budget]]-Master_Table[[#This Row],[Actual Expense]]</f>
        <v>300</v>
      </c>
      <c r="N498" s="16">
        <f t="shared" si="73"/>
        <v>4347</v>
      </c>
      <c r="O498" s="29">
        <f t="shared" si="70"/>
        <v>1000</v>
      </c>
      <c r="P498" s="16">
        <f t="shared" si="71"/>
        <v>3347</v>
      </c>
      <c r="Q498" s="28">
        <f>Master_Table[[#This Row],[△Sales Variance]]/Master_Table[[#This Row],[Sales Budget]]</f>
        <v>1.5235000000000001</v>
      </c>
      <c r="R498" s="28">
        <f>Master_Table[[#This Row],[△Expense  Variance]]/Master_Table[[#This Row],[Expense Budget]]</f>
        <v>0.3</v>
      </c>
      <c r="S498" s="28">
        <f>Master_Table[[#This Row],[Net Profit Variance]]/Master_Table[[#This Row],[Budget Net Profit]]</f>
        <v>3.347</v>
      </c>
      <c r="T498" s="28">
        <f>Master_Table[[#This Row],[Actual Net Profit]]/Master_Table[[#This Row],[Actual Sales]]</f>
        <v>0.86130374479889038</v>
      </c>
      <c r="U498" s="28" t="str">
        <f>_xlfn.TEXTJOIN(" - ", TRUE, Master_Table[[#This Row],[Product]], Master_Table[[#This Row],[Branch]])</f>
        <v>Kiwi - Abuja</v>
      </c>
    </row>
    <row r="499" spans="1:21" ht="14.4" x14ac:dyDescent="0.3">
      <c r="A499" s="2">
        <v>498</v>
      </c>
      <c r="B499" s="2">
        <f t="shared" si="67"/>
        <v>108</v>
      </c>
      <c r="C499" s="1" t="str">
        <f>VLOOKUP(B499,Products!A:C,2,FALSE)</f>
        <v>Kiwi</v>
      </c>
      <c r="D499" s="1" t="str">
        <f t="shared" si="68"/>
        <v>Abuja</v>
      </c>
      <c r="E499" s="4" t="str">
        <f>_xlfn.XLOOKUP(D499,'Sales Manager'!$A$2:$A$6,'Sales Manager'!$B$2:$B$6,"")</f>
        <v>Emeka Nwosu</v>
      </c>
      <c r="F499" s="3">
        <f t="shared" si="76"/>
        <v>6</v>
      </c>
      <c r="G499" s="1" t="str">
        <f t="shared" si="76"/>
        <v>Jun</v>
      </c>
      <c r="H499" s="11">
        <v>2000</v>
      </c>
      <c r="I499" s="11">
        <v>8939</v>
      </c>
      <c r="J499" s="11" cm="1">
        <f t="array" ref="J499">_xlfn.XLOOKUP(C499&amp;D499&amp;F499,Expense!$C$2:$C$601&amp;Expense!$D$2:$D$601&amp;Expense!$E$2:$E$601,Expense!$G$2:$G$601,"")</f>
        <v>666.66666666666663</v>
      </c>
      <c r="K499" s="11" cm="1">
        <f t="array" ref="K499">_xlfn.XLOOKUP(C499&amp;D499&amp;F499,Expense!$C$2:$C$601&amp;Expense!$D$2:$D$601&amp;Expense!$E$2:$E$601,Expense!$H$2:$H$601,"")</f>
        <v>566.66666666666663</v>
      </c>
      <c r="L499" s="14">
        <f t="shared" si="72"/>
        <v>6939</v>
      </c>
      <c r="M499" s="14">
        <f>Master_Table[[#This Row],[Expense Budget]]-Master_Table[[#This Row],[Actual Expense]]</f>
        <v>100</v>
      </c>
      <c r="N499" s="16">
        <f t="shared" si="73"/>
        <v>8372.3333333333339</v>
      </c>
      <c r="O499" s="29">
        <f t="shared" si="70"/>
        <v>1333.3333333333335</v>
      </c>
      <c r="P499" s="16">
        <f t="shared" si="71"/>
        <v>7039</v>
      </c>
      <c r="Q499" s="28">
        <f>Master_Table[[#This Row],[△Sales Variance]]/Master_Table[[#This Row],[Sales Budget]]</f>
        <v>3.4695</v>
      </c>
      <c r="R499" s="28">
        <f>Master_Table[[#This Row],[△Expense  Variance]]/Master_Table[[#This Row],[Expense Budget]]</f>
        <v>0.15000000000000002</v>
      </c>
      <c r="S499" s="28">
        <f>Master_Table[[#This Row],[Net Profit Variance]]/Master_Table[[#This Row],[Budget Net Profit]]</f>
        <v>5.2792499999999993</v>
      </c>
      <c r="T499" s="28">
        <f>Master_Table[[#This Row],[Actual Net Profit]]/Master_Table[[#This Row],[Actual Sales]]</f>
        <v>0.93660737591826082</v>
      </c>
      <c r="U499" s="28" t="str">
        <f>_xlfn.TEXTJOIN(" - ", TRUE, Master_Table[[#This Row],[Product]], Master_Table[[#This Row],[Branch]])</f>
        <v>Kiwi - Abuja</v>
      </c>
    </row>
    <row r="500" spans="1:21" ht="14.4" x14ac:dyDescent="0.3">
      <c r="A500" s="2">
        <v>499</v>
      </c>
      <c r="B500" s="2">
        <f t="shared" si="67"/>
        <v>108</v>
      </c>
      <c r="C500" s="1" t="str">
        <f>VLOOKUP(B500,Products!A:C,2,FALSE)</f>
        <v>Kiwi</v>
      </c>
      <c r="D500" s="1" t="str">
        <f t="shared" si="68"/>
        <v>Abuja</v>
      </c>
      <c r="E500" s="4" t="str">
        <f>_xlfn.XLOOKUP(D500,'Sales Manager'!$A$2:$A$6,'Sales Manager'!$B$2:$B$6,"")</f>
        <v>Emeka Nwosu</v>
      </c>
      <c r="F500" s="3">
        <f t="shared" si="76"/>
        <v>7</v>
      </c>
      <c r="G500" s="1" t="str">
        <f t="shared" si="76"/>
        <v>Jul</v>
      </c>
      <c r="H500" s="11">
        <v>5000</v>
      </c>
      <c r="I500" s="11">
        <v>7541</v>
      </c>
      <c r="J500" s="11" cm="1">
        <f t="array" ref="J500">_xlfn.XLOOKUP(C500&amp;D500&amp;F500,Expense!$C$2:$C$601&amp;Expense!$D$2:$D$601&amp;Expense!$E$2:$E$601,Expense!$G$2:$G$601,"")</f>
        <v>2500</v>
      </c>
      <c r="K500" s="11" cm="1">
        <f t="array" ref="K500">_xlfn.XLOOKUP(C500&amp;D500&amp;F500,Expense!$C$2:$C$601&amp;Expense!$D$2:$D$601&amp;Expense!$E$2:$E$601,Expense!$H$2:$H$601,"")</f>
        <v>2100</v>
      </c>
      <c r="L500" s="14">
        <f t="shared" si="72"/>
        <v>2541</v>
      </c>
      <c r="M500" s="14">
        <f>Master_Table[[#This Row],[Expense Budget]]-Master_Table[[#This Row],[Actual Expense]]</f>
        <v>400</v>
      </c>
      <c r="N500" s="16">
        <f t="shared" si="73"/>
        <v>5441</v>
      </c>
      <c r="O500" s="29">
        <f t="shared" si="70"/>
        <v>2500</v>
      </c>
      <c r="P500" s="16">
        <f t="shared" si="71"/>
        <v>2941</v>
      </c>
      <c r="Q500" s="28">
        <f>Master_Table[[#This Row],[△Sales Variance]]/Master_Table[[#This Row],[Sales Budget]]</f>
        <v>0.50819999999999999</v>
      </c>
      <c r="R500" s="28">
        <f>Master_Table[[#This Row],[△Expense  Variance]]/Master_Table[[#This Row],[Expense Budget]]</f>
        <v>0.16</v>
      </c>
      <c r="S500" s="28">
        <f>Master_Table[[#This Row],[Net Profit Variance]]/Master_Table[[#This Row],[Budget Net Profit]]</f>
        <v>1.1763999999999999</v>
      </c>
      <c r="T500" s="28">
        <f>Master_Table[[#This Row],[Actual Net Profit]]/Master_Table[[#This Row],[Actual Sales]]</f>
        <v>0.72152234451664232</v>
      </c>
      <c r="U500" s="28" t="str">
        <f>_xlfn.TEXTJOIN(" - ", TRUE, Master_Table[[#This Row],[Product]], Master_Table[[#This Row],[Branch]])</f>
        <v>Kiwi - Abuja</v>
      </c>
    </row>
    <row r="501" spans="1:21" ht="14.4" x14ac:dyDescent="0.3">
      <c r="A501" s="2">
        <v>500</v>
      </c>
      <c r="B501" s="2">
        <f t="shared" si="67"/>
        <v>108</v>
      </c>
      <c r="C501" s="1" t="str">
        <f>VLOOKUP(B501,Products!A:C,2,FALSE)</f>
        <v>Kiwi</v>
      </c>
      <c r="D501" s="1" t="str">
        <f t="shared" si="68"/>
        <v>Abuja</v>
      </c>
      <c r="E501" s="4" t="str">
        <f>_xlfn.XLOOKUP(D501,'Sales Manager'!$A$2:$A$6,'Sales Manager'!$B$2:$B$6,"")</f>
        <v>Emeka Nwosu</v>
      </c>
      <c r="F501" s="3">
        <f t="shared" si="76"/>
        <v>8</v>
      </c>
      <c r="G501" s="1" t="str">
        <f t="shared" si="76"/>
        <v>Aug</v>
      </c>
      <c r="H501" s="11">
        <v>1000</v>
      </c>
      <c r="I501" s="11">
        <v>2461</v>
      </c>
      <c r="J501" s="11" cm="1">
        <f t="array" ref="J501">_xlfn.XLOOKUP(C501&amp;D501&amp;F501,Expense!$C$2:$C$601&amp;Expense!$D$2:$D$601&amp;Expense!$E$2:$E$601,Expense!$G$2:$G$601,"")</f>
        <v>500</v>
      </c>
      <c r="K501" s="11" cm="1">
        <f t="array" ref="K501">_xlfn.XLOOKUP(C501&amp;D501&amp;F501,Expense!$C$2:$C$601&amp;Expense!$D$2:$D$601&amp;Expense!$E$2:$E$601,Expense!$H$2:$H$601,"")</f>
        <v>100</v>
      </c>
      <c r="L501" s="14">
        <f t="shared" si="72"/>
        <v>1461</v>
      </c>
      <c r="M501" s="14">
        <f>Master_Table[[#This Row],[Expense Budget]]-Master_Table[[#This Row],[Actual Expense]]</f>
        <v>400</v>
      </c>
      <c r="N501" s="16">
        <f t="shared" si="73"/>
        <v>2361</v>
      </c>
      <c r="O501" s="29">
        <f t="shared" si="70"/>
        <v>500</v>
      </c>
      <c r="P501" s="16">
        <f t="shared" si="71"/>
        <v>1861</v>
      </c>
      <c r="Q501" s="28">
        <f>Master_Table[[#This Row],[△Sales Variance]]/Master_Table[[#This Row],[Sales Budget]]</f>
        <v>1.4610000000000001</v>
      </c>
      <c r="R501" s="28">
        <f>Master_Table[[#This Row],[△Expense  Variance]]/Master_Table[[#This Row],[Expense Budget]]</f>
        <v>0.8</v>
      </c>
      <c r="S501" s="28">
        <f>Master_Table[[#This Row],[Net Profit Variance]]/Master_Table[[#This Row],[Budget Net Profit]]</f>
        <v>3.722</v>
      </c>
      <c r="T501" s="28">
        <f>Master_Table[[#This Row],[Actual Net Profit]]/Master_Table[[#This Row],[Actual Sales]]</f>
        <v>0.9593661113368549</v>
      </c>
      <c r="U501" s="28" t="str">
        <f>_xlfn.TEXTJOIN(" - ", TRUE, Master_Table[[#This Row],[Product]], Master_Table[[#This Row],[Branch]])</f>
        <v>Kiwi - Abuja</v>
      </c>
    </row>
    <row r="502" spans="1:21" ht="14.4" x14ac:dyDescent="0.3">
      <c r="A502" s="2">
        <v>501</v>
      </c>
      <c r="B502" s="2">
        <f t="shared" si="67"/>
        <v>108</v>
      </c>
      <c r="C502" s="1" t="str">
        <f>VLOOKUP(B502,Products!A:C,2,FALSE)</f>
        <v>Kiwi</v>
      </c>
      <c r="D502" s="1" t="str">
        <f t="shared" si="68"/>
        <v>Abuja</v>
      </c>
      <c r="E502" s="4" t="str">
        <f>_xlfn.XLOOKUP(D502,'Sales Manager'!$A$2:$A$6,'Sales Manager'!$B$2:$B$6,"")</f>
        <v>Emeka Nwosu</v>
      </c>
      <c r="F502" s="3">
        <f t="shared" si="76"/>
        <v>9</v>
      </c>
      <c r="G502" s="1" t="str">
        <f t="shared" si="76"/>
        <v>Sept</v>
      </c>
      <c r="H502" s="11">
        <v>2000</v>
      </c>
      <c r="I502" s="11">
        <v>2511</v>
      </c>
      <c r="J502" s="11" cm="1">
        <f t="array" ref="J502">_xlfn.XLOOKUP(C502&amp;D502&amp;F502,Expense!$C$2:$C$601&amp;Expense!$D$2:$D$601&amp;Expense!$E$2:$E$601,Expense!$G$2:$G$601,"")</f>
        <v>400</v>
      </c>
      <c r="K502" s="11" cm="1">
        <f t="array" ref="K502">_xlfn.XLOOKUP(C502&amp;D502&amp;F502,Expense!$C$2:$C$601&amp;Expense!$D$2:$D$601&amp;Expense!$E$2:$E$601,Expense!$H$2:$H$601,"")</f>
        <v>200</v>
      </c>
      <c r="L502" s="14">
        <f t="shared" si="72"/>
        <v>511</v>
      </c>
      <c r="M502" s="14">
        <f>Master_Table[[#This Row],[Expense Budget]]-Master_Table[[#This Row],[Actual Expense]]</f>
        <v>200</v>
      </c>
      <c r="N502" s="16">
        <f t="shared" si="73"/>
        <v>2311</v>
      </c>
      <c r="O502" s="29">
        <f t="shared" si="70"/>
        <v>1600</v>
      </c>
      <c r="P502" s="16">
        <f t="shared" si="71"/>
        <v>711</v>
      </c>
      <c r="Q502" s="28">
        <f>Master_Table[[#This Row],[△Sales Variance]]/Master_Table[[#This Row],[Sales Budget]]</f>
        <v>0.2555</v>
      </c>
      <c r="R502" s="28">
        <f>Master_Table[[#This Row],[△Expense  Variance]]/Master_Table[[#This Row],[Expense Budget]]</f>
        <v>0.5</v>
      </c>
      <c r="S502" s="28">
        <f>Master_Table[[#This Row],[Net Profit Variance]]/Master_Table[[#This Row],[Budget Net Profit]]</f>
        <v>0.44437500000000002</v>
      </c>
      <c r="T502" s="28">
        <f>Master_Table[[#This Row],[Actual Net Profit]]/Master_Table[[#This Row],[Actual Sales]]</f>
        <v>0.92035045798486659</v>
      </c>
      <c r="U502" s="28" t="str">
        <f>_xlfn.TEXTJOIN(" - ", TRUE, Master_Table[[#This Row],[Product]], Master_Table[[#This Row],[Branch]])</f>
        <v>Kiwi - Abuja</v>
      </c>
    </row>
    <row r="503" spans="1:21" ht="14.4" x14ac:dyDescent="0.3">
      <c r="A503" s="2">
        <v>502</v>
      </c>
      <c r="B503" s="2">
        <f t="shared" si="67"/>
        <v>108</v>
      </c>
      <c r="C503" s="1" t="str">
        <f>VLOOKUP(B503,Products!A:C,2,FALSE)</f>
        <v>Kiwi</v>
      </c>
      <c r="D503" s="1" t="str">
        <f t="shared" si="68"/>
        <v>Abuja</v>
      </c>
      <c r="E503" s="4" t="str">
        <f>_xlfn.XLOOKUP(D503,'Sales Manager'!$A$2:$A$6,'Sales Manager'!$B$2:$B$6,"")</f>
        <v>Emeka Nwosu</v>
      </c>
      <c r="F503" s="3">
        <f t="shared" si="76"/>
        <v>10</v>
      </c>
      <c r="G503" s="1" t="str">
        <f t="shared" si="76"/>
        <v>Oct</v>
      </c>
      <c r="H503" s="11">
        <v>6000</v>
      </c>
      <c r="I503" s="11">
        <v>10248</v>
      </c>
      <c r="J503" s="11" cm="1">
        <f t="array" ref="J503">_xlfn.XLOOKUP(C503&amp;D503&amp;F503,Expense!$C$2:$C$601&amp;Expense!$D$2:$D$601&amp;Expense!$E$2:$E$601,Expense!$G$2:$G$601,"")</f>
        <v>2000</v>
      </c>
      <c r="K503" s="11" cm="1">
        <f t="array" ref="K503">_xlfn.XLOOKUP(C503&amp;D503&amp;F503,Expense!$C$2:$C$601&amp;Expense!$D$2:$D$601&amp;Expense!$E$2:$E$601,Expense!$H$2:$H$601,"")</f>
        <v>1400</v>
      </c>
      <c r="L503" s="14">
        <f t="shared" si="72"/>
        <v>4248</v>
      </c>
      <c r="M503" s="14">
        <f>Master_Table[[#This Row],[Expense Budget]]-Master_Table[[#This Row],[Actual Expense]]</f>
        <v>600</v>
      </c>
      <c r="N503" s="16">
        <f t="shared" si="73"/>
        <v>8848</v>
      </c>
      <c r="O503" s="29">
        <f t="shared" si="70"/>
        <v>4000</v>
      </c>
      <c r="P503" s="16">
        <f t="shared" si="71"/>
        <v>4848</v>
      </c>
      <c r="Q503" s="28">
        <f>Master_Table[[#This Row],[△Sales Variance]]/Master_Table[[#This Row],[Sales Budget]]</f>
        <v>0.70799999999999996</v>
      </c>
      <c r="R503" s="28">
        <f>Master_Table[[#This Row],[△Expense  Variance]]/Master_Table[[#This Row],[Expense Budget]]</f>
        <v>0.3</v>
      </c>
      <c r="S503" s="28">
        <f>Master_Table[[#This Row],[Net Profit Variance]]/Master_Table[[#This Row],[Budget Net Profit]]</f>
        <v>1.212</v>
      </c>
      <c r="T503" s="28">
        <f>Master_Table[[#This Row],[Actual Net Profit]]/Master_Table[[#This Row],[Actual Sales]]</f>
        <v>0.86338797814207646</v>
      </c>
      <c r="U503" s="28" t="str">
        <f>_xlfn.TEXTJOIN(" - ", TRUE, Master_Table[[#This Row],[Product]], Master_Table[[#This Row],[Branch]])</f>
        <v>Kiwi - Abuja</v>
      </c>
    </row>
    <row r="504" spans="1:21" ht="14.4" x14ac:dyDescent="0.3">
      <c r="A504" s="2">
        <v>503</v>
      </c>
      <c r="B504" s="2">
        <f t="shared" si="67"/>
        <v>108</v>
      </c>
      <c r="C504" s="1" t="str">
        <f>VLOOKUP(B504,Products!A:C,2,FALSE)</f>
        <v>Kiwi</v>
      </c>
      <c r="D504" s="1" t="str">
        <f t="shared" si="68"/>
        <v>Abuja</v>
      </c>
      <c r="E504" s="4" t="str">
        <f>_xlfn.XLOOKUP(D504,'Sales Manager'!$A$2:$A$6,'Sales Manager'!$B$2:$B$6,"")</f>
        <v>Emeka Nwosu</v>
      </c>
      <c r="F504" s="3">
        <f t="shared" si="76"/>
        <v>11</v>
      </c>
      <c r="G504" s="1" t="str">
        <f t="shared" si="76"/>
        <v>Nov</v>
      </c>
      <c r="H504" s="11">
        <v>7000</v>
      </c>
      <c r="I504" s="11">
        <v>6755</v>
      </c>
      <c r="J504" s="11" cm="1">
        <f t="array" ref="J504">_xlfn.XLOOKUP(C504&amp;D504&amp;F504,Expense!$C$2:$C$601&amp;Expense!$D$2:$D$601&amp;Expense!$E$2:$E$601,Expense!$G$2:$G$601,"")</f>
        <v>2333.3333333333335</v>
      </c>
      <c r="K504" s="11" cm="1">
        <f t="array" ref="K504">_xlfn.XLOOKUP(C504&amp;D504&amp;F504,Expense!$C$2:$C$601&amp;Expense!$D$2:$D$601&amp;Expense!$E$2:$E$601,Expense!$H$2:$H$601,"")</f>
        <v>2033.3333333333335</v>
      </c>
      <c r="L504" s="14">
        <f t="shared" si="72"/>
        <v>-245</v>
      </c>
      <c r="M504" s="14">
        <f>Master_Table[[#This Row],[Expense Budget]]-Master_Table[[#This Row],[Actual Expense]]</f>
        <v>300</v>
      </c>
      <c r="N504" s="16">
        <f t="shared" si="73"/>
        <v>4721.6666666666661</v>
      </c>
      <c r="O504" s="29">
        <f t="shared" si="70"/>
        <v>4666.6666666666661</v>
      </c>
      <c r="P504" s="16">
        <f t="shared" si="71"/>
        <v>55</v>
      </c>
      <c r="Q504" s="28">
        <f>Master_Table[[#This Row],[△Sales Variance]]/Master_Table[[#This Row],[Sales Budget]]</f>
        <v>-3.5000000000000003E-2</v>
      </c>
      <c r="R504" s="28">
        <f>Master_Table[[#This Row],[△Expense  Variance]]/Master_Table[[#This Row],[Expense Budget]]</f>
        <v>0.12857142857142856</v>
      </c>
      <c r="S504" s="28">
        <f>Master_Table[[#This Row],[Net Profit Variance]]/Master_Table[[#This Row],[Budget Net Profit]]</f>
        <v>1.1785714285714287E-2</v>
      </c>
      <c r="T504" s="28">
        <f>Master_Table[[#This Row],[Actual Net Profit]]/Master_Table[[#This Row],[Actual Sales]]</f>
        <v>0.69898840365161596</v>
      </c>
      <c r="U504" s="28" t="str">
        <f>_xlfn.TEXTJOIN(" - ", TRUE, Master_Table[[#This Row],[Product]], Master_Table[[#This Row],[Branch]])</f>
        <v>Kiwi - Abuja</v>
      </c>
    </row>
    <row r="505" spans="1:21" ht="14.4" x14ac:dyDescent="0.3">
      <c r="A505" s="2">
        <v>504</v>
      </c>
      <c r="B505" s="2">
        <f t="shared" si="67"/>
        <v>108</v>
      </c>
      <c r="C505" s="1" t="str">
        <f>VLOOKUP(B505,Products!A:C,2,FALSE)</f>
        <v>Kiwi</v>
      </c>
      <c r="D505" s="1" t="str">
        <f t="shared" si="68"/>
        <v>Abuja</v>
      </c>
      <c r="E505" s="4" t="str">
        <f>_xlfn.XLOOKUP(D505,'Sales Manager'!$A$2:$A$6,'Sales Manager'!$B$2:$B$6,"")</f>
        <v>Emeka Nwosu</v>
      </c>
      <c r="F505" s="3">
        <f t="shared" si="76"/>
        <v>12</v>
      </c>
      <c r="G505" s="1" t="str">
        <f t="shared" si="76"/>
        <v>Dec</v>
      </c>
      <c r="H505" s="11">
        <v>1000</v>
      </c>
      <c r="I505" s="11">
        <v>3725</v>
      </c>
      <c r="J505" s="11" cm="1">
        <f t="array" ref="J505">_xlfn.XLOOKUP(C505&amp;D505&amp;F505,Expense!$C$2:$C$601&amp;Expense!$D$2:$D$601&amp;Expense!$E$2:$E$601,Expense!$G$2:$G$601,"")</f>
        <v>250</v>
      </c>
      <c r="K505" s="11" cm="1">
        <f t="array" ref="K505">_xlfn.XLOOKUP(C505&amp;D505&amp;F505,Expense!$C$2:$C$601&amp;Expense!$D$2:$D$601&amp;Expense!$E$2:$E$601,Expense!$H$2:$H$601,"")</f>
        <v>650</v>
      </c>
      <c r="L505" s="14">
        <f t="shared" si="72"/>
        <v>2725</v>
      </c>
      <c r="M505" s="14">
        <f>Master_Table[[#This Row],[Expense Budget]]-Master_Table[[#This Row],[Actual Expense]]</f>
        <v>-400</v>
      </c>
      <c r="N505" s="16">
        <f t="shared" si="73"/>
        <v>3075</v>
      </c>
      <c r="O505" s="29">
        <f t="shared" si="70"/>
        <v>750</v>
      </c>
      <c r="P505" s="16">
        <f t="shared" si="71"/>
        <v>2325</v>
      </c>
      <c r="Q505" s="28">
        <f>Master_Table[[#This Row],[△Sales Variance]]/Master_Table[[#This Row],[Sales Budget]]</f>
        <v>2.7250000000000001</v>
      </c>
      <c r="R505" s="28">
        <f>Master_Table[[#This Row],[△Expense  Variance]]/Master_Table[[#This Row],[Expense Budget]]</f>
        <v>-1.6</v>
      </c>
      <c r="S505" s="28">
        <f>Master_Table[[#This Row],[Net Profit Variance]]/Master_Table[[#This Row],[Budget Net Profit]]</f>
        <v>3.1</v>
      </c>
      <c r="T505" s="28">
        <f>Master_Table[[#This Row],[Actual Net Profit]]/Master_Table[[#This Row],[Actual Sales]]</f>
        <v>0.82550335570469802</v>
      </c>
      <c r="U505" s="28" t="str">
        <f>_xlfn.TEXTJOIN(" - ", TRUE, Master_Table[[#This Row],[Product]], Master_Table[[#This Row],[Branch]])</f>
        <v>Kiwi - Abuja</v>
      </c>
    </row>
    <row r="506" spans="1:21" ht="14.4" x14ac:dyDescent="0.3">
      <c r="A506" s="2">
        <v>505</v>
      </c>
      <c r="B506" s="2">
        <f t="shared" si="67"/>
        <v>108</v>
      </c>
      <c r="C506" s="1" t="str">
        <f>VLOOKUP(B506,Products!A:C,2,FALSE)</f>
        <v>Kiwi</v>
      </c>
      <c r="D506" s="1" t="str">
        <f t="shared" si="68"/>
        <v>Warri</v>
      </c>
      <c r="E506" s="4" t="str">
        <f>_xlfn.XLOOKUP(D506,'Sales Manager'!$A$2:$A$6,'Sales Manager'!$B$2:$B$6,"")</f>
        <v>Gbenga Adesanya</v>
      </c>
      <c r="F506" s="3">
        <f t="shared" si="76"/>
        <v>1</v>
      </c>
      <c r="G506" s="1" t="str">
        <f t="shared" si="76"/>
        <v>Jan</v>
      </c>
      <c r="H506" s="11">
        <v>5000</v>
      </c>
      <c r="I506" s="11">
        <v>3255</v>
      </c>
      <c r="J506" s="11" cm="1">
        <f t="array" ref="J506">_xlfn.XLOOKUP(C506&amp;D506&amp;F506,Expense!$C$2:$C$601&amp;Expense!$D$2:$D$601&amp;Expense!$E$2:$E$601,Expense!$G$2:$G$601,"")</f>
        <v>1000</v>
      </c>
      <c r="K506" s="11" cm="1">
        <f t="array" ref="K506">_xlfn.XLOOKUP(C506&amp;D506&amp;F506,Expense!$C$2:$C$601&amp;Expense!$D$2:$D$601&amp;Expense!$E$2:$E$601,Expense!$H$2:$H$601,"")</f>
        <v>1000</v>
      </c>
      <c r="L506" s="14">
        <f t="shared" si="72"/>
        <v>-1745</v>
      </c>
      <c r="M506" s="14">
        <f>Master_Table[[#This Row],[Expense Budget]]-Master_Table[[#This Row],[Actual Expense]]</f>
        <v>0</v>
      </c>
      <c r="N506" s="16">
        <f t="shared" si="73"/>
        <v>2255</v>
      </c>
      <c r="O506" s="29">
        <f t="shared" si="70"/>
        <v>4000</v>
      </c>
      <c r="P506" s="16">
        <f t="shared" si="71"/>
        <v>-1745</v>
      </c>
      <c r="Q506" s="28">
        <f>Master_Table[[#This Row],[△Sales Variance]]/Master_Table[[#This Row],[Sales Budget]]</f>
        <v>-0.34899999999999998</v>
      </c>
      <c r="R506" s="28">
        <f>Master_Table[[#This Row],[△Expense  Variance]]/Master_Table[[#This Row],[Expense Budget]]</f>
        <v>0</v>
      </c>
      <c r="S506" s="28">
        <f>Master_Table[[#This Row],[Net Profit Variance]]/Master_Table[[#This Row],[Budget Net Profit]]</f>
        <v>-0.43625000000000003</v>
      </c>
      <c r="T506" s="28">
        <f>Master_Table[[#This Row],[Actual Net Profit]]/Master_Table[[#This Row],[Actual Sales]]</f>
        <v>0.6927803379416283</v>
      </c>
      <c r="U506" s="28" t="str">
        <f>_xlfn.TEXTJOIN(" - ", TRUE, Master_Table[[#This Row],[Product]], Master_Table[[#This Row],[Branch]])</f>
        <v>Kiwi - Warri</v>
      </c>
    </row>
    <row r="507" spans="1:21" ht="14.4" x14ac:dyDescent="0.3">
      <c r="A507" s="2">
        <v>506</v>
      </c>
      <c r="B507" s="2">
        <f t="shared" si="67"/>
        <v>108</v>
      </c>
      <c r="C507" s="1" t="str">
        <f>VLOOKUP(B507,Products!A:C,2,FALSE)</f>
        <v>Kiwi</v>
      </c>
      <c r="D507" s="1" t="str">
        <f t="shared" si="68"/>
        <v>Warri</v>
      </c>
      <c r="E507" s="4" t="str">
        <f>_xlfn.XLOOKUP(D507,'Sales Manager'!$A$2:$A$6,'Sales Manager'!$B$2:$B$6,"")</f>
        <v>Gbenga Adesanya</v>
      </c>
      <c r="F507" s="3">
        <f t="shared" si="76"/>
        <v>2</v>
      </c>
      <c r="G507" s="1" t="str">
        <f t="shared" si="76"/>
        <v>Feb</v>
      </c>
      <c r="H507" s="11">
        <v>8000</v>
      </c>
      <c r="I507" s="11">
        <v>5515</v>
      </c>
      <c r="J507" s="11" cm="1">
        <f t="array" ref="J507">_xlfn.XLOOKUP(C507&amp;D507&amp;F507,Expense!$C$2:$C$601&amp;Expense!$D$2:$D$601&amp;Expense!$E$2:$E$601,Expense!$G$2:$G$601,"")</f>
        <v>2000</v>
      </c>
      <c r="K507" s="11" cm="1">
        <f t="array" ref="K507">_xlfn.XLOOKUP(C507&amp;D507&amp;F507,Expense!$C$2:$C$601&amp;Expense!$D$2:$D$601&amp;Expense!$E$2:$E$601,Expense!$H$2:$H$601,"")</f>
        <v>2000</v>
      </c>
      <c r="L507" s="14">
        <f t="shared" si="72"/>
        <v>-2485</v>
      </c>
      <c r="M507" s="14">
        <f>Master_Table[[#This Row],[Expense Budget]]-Master_Table[[#This Row],[Actual Expense]]</f>
        <v>0</v>
      </c>
      <c r="N507" s="16">
        <f t="shared" si="73"/>
        <v>3515</v>
      </c>
      <c r="O507" s="29">
        <f t="shared" si="70"/>
        <v>6000</v>
      </c>
      <c r="P507" s="16">
        <f t="shared" si="71"/>
        <v>-2485</v>
      </c>
      <c r="Q507" s="28">
        <f>Master_Table[[#This Row],[△Sales Variance]]/Master_Table[[#This Row],[Sales Budget]]</f>
        <v>-0.31062499999999998</v>
      </c>
      <c r="R507" s="28">
        <f>Master_Table[[#This Row],[△Expense  Variance]]/Master_Table[[#This Row],[Expense Budget]]</f>
        <v>0</v>
      </c>
      <c r="S507" s="28">
        <f>Master_Table[[#This Row],[Net Profit Variance]]/Master_Table[[#This Row],[Budget Net Profit]]</f>
        <v>-0.41416666666666668</v>
      </c>
      <c r="T507" s="28">
        <f>Master_Table[[#This Row],[Actual Net Profit]]/Master_Table[[#This Row],[Actual Sales]]</f>
        <v>0.63735267452402533</v>
      </c>
      <c r="U507" s="28" t="str">
        <f>_xlfn.TEXTJOIN(" - ", TRUE, Master_Table[[#This Row],[Product]], Master_Table[[#This Row],[Branch]])</f>
        <v>Kiwi - Warri</v>
      </c>
    </row>
    <row r="508" spans="1:21" ht="14.4" x14ac:dyDescent="0.3">
      <c r="A508" s="2">
        <v>507</v>
      </c>
      <c r="B508" s="2">
        <f t="shared" si="67"/>
        <v>108</v>
      </c>
      <c r="C508" s="1" t="str">
        <f>VLOOKUP(B508,Products!A:C,2,FALSE)</f>
        <v>Kiwi</v>
      </c>
      <c r="D508" s="1" t="str">
        <f t="shared" si="68"/>
        <v>Warri</v>
      </c>
      <c r="E508" s="4" t="str">
        <f>_xlfn.XLOOKUP(D508,'Sales Manager'!$A$2:$A$6,'Sales Manager'!$B$2:$B$6,"")</f>
        <v>Gbenga Adesanya</v>
      </c>
      <c r="F508" s="3">
        <f t="shared" si="76"/>
        <v>3</v>
      </c>
      <c r="G508" s="1" t="str">
        <f t="shared" si="76"/>
        <v>Mar</v>
      </c>
      <c r="H508" s="11">
        <v>2000</v>
      </c>
      <c r="I508" s="11">
        <v>7183</v>
      </c>
      <c r="J508" s="11" cm="1">
        <f t="array" ref="J508">_xlfn.XLOOKUP(C508&amp;D508&amp;F508,Expense!$C$2:$C$601&amp;Expense!$D$2:$D$601&amp;Expense!$E$2:$E$601,Expense!$G$2:$G$601,"")</f>
        <v>400</v>
      </c>
      <c r="K508" s="11" cm="1">
        <f t="array" ref="K508">_xlfn.XLOOKUP(C508&amp;D508&amp;F508,Expense!$C$2:$C$601&amp;Expense!$D$2:$D$601&amp;Expense!$E$2:$E$601,Expense!$H$2:$H$601,"")</f>
        <v>300</v>
      </c>
      <c r="L508" s="14">
        <f t="shared" si="72"/>
        <v>5183</v>
      </c>
      <c r="M508" s="14">
        <f>Master_Table[[#This Row],[Expense Budget]]-Master_Table[[#This Row],[Actual Expense]]</f>
        <v>100</v>
      </c>
      <c r="N508" s="16">
        <f t="shared" si="73"/>
        <v>6883</v>
      </c>
      <c r="O508" s="29">
        <f t="shared" si="70"/>
        <v>1600</v>
      </c>
      <c r="P508" s="16">
        <f t="shared" si="71"/>
        <v>5283</v>
      </c>
      <c r="Q508" s="28">
        <f>Master_Table[[#This Row],[△Sales Variance]]/Master_Table[[#This Row],[Sales Budget]]</f>
        <v>2.5914999999999999</v>
      </c>
      <c r="R508" s="28">
        <f>Master_Table[[#This Row],[△Expense  Variance]]/Master_Table[[#This Row],[Expense Budget]]</f>
        <v>0.25</v>
      </c>
      <c r="S508" s="28">
        <f>Master_Table[[#This Row],[Net Profit Variance]]/Master_Table[[#This Row],[Budget Net Profit]]</f>
        <v>3.3018749999999999</v>
      </c>
      <c r="T508" s="28">
        <f>Master_Table[[#This Row],[Actual Net Profit]]/Master_Table[[#This Row],[Actual Sales]]</f>
        <v>0.95823472086871786</v>
      </c>
      <c r="U508" s="28" t="str">
        <f>_xlfn.TEXTJOIN(" - ", TRUE, Master_Table[[#This Row],[Product]], Master_Table[[#This Row],[Branch]])</f>
        <v>Kiwi - Warri</v>
      </c>
    </row>
    <row r="509" spans="1:21" ht="14.4" x14ac:dyDescent="0.3">
      <c r="A509" s="2">
        <v>508</v>
      </c>
      <c r="B509" s="2">
        <f t="shared" si="67"/>
        <v>108</v>
      </c>
      <c r="C509" s="1" t="str">
        <f>VLOOKUP(B509,Products!A:C,2,FALSE)</f>
        <v>Kiwi</v>
      </c>
      <c r="D509" s="1" t="str">
        <f t="shared" si="68"/>
        <v>Warri</v>
      </c>
      <c r="E509" s="4" t="str">
        <f>_xlfn.XLOOKUP(D509,'Sales Manager'!$A$2:$A$6,'Sales Manager'!$B$2:$B$6,"")</f>
        <v>Gbenga Adesanya</v>
      </c>
      <c r="F509" s="3">
        <f t="shared" si="76"/>
        <v>4</v>
      </c>
      <c r="G509" s="1" t="str">
        <f t="shared" si="76"/>
        <v>Apr</v>
      </c>
      <c r="H509" s="11">
        <v>9000</v>
      </c>
      <c r="I509" s="11">
        <v>3776</v>
      </c>
      <c r="J509" s="11" cm="1">
        <f t="array" ref="J509">_xlfn.XLOOKUP(C509&amp;D509&amp;F509,Expense!$C$2:$C$601&amp;Expense!$D$2:$D$601&amp;Expense!$E$2:$E$601,Expense!$G$2:$G$601,"")</f>
        <v>3000</v>
      </c>
      <c r="K509" s="11" cm="1">
        <f t="array" ref="K509">_xlfn.XLOOKUP(C509&amp;D509&amp;F509,Expense!$C$2:$C$601&amp;Expense!$D$2:$D$601&amp;Expense!$E$2:$E$601,Expense!$H$2:$H$601,"")</f>
        <v>2400</v>
      </c>
      <c r="L509" s="14">
        <f t="shared" si="72"/>
        <v>-5224</v>
      </c>
      <c r="M509" s="14">
        <f>Master_Table[[#This Row],[Expense Budget]]-Master_Table[[#This Row],[Actual Expense]]</f>
        <v>600</v>
      </c>
      <c r="N509" s="16">
        <f t="shared" si="73"/>
        <v>1376</v>
      </c>
      <c r="O509" s="29">
        <f t="shared" si="70"/>
        <v>6000</v>
      </c>
      <c r="P509" s="16">
        <f t="shared" si="71"/>
        <v>-4624</v>
      </c>
      <c r="Q509" s="28">
        <f>Master_Table[[#This Row],[△Sales Variance]]/Master_Table[[#This Row],[Sales Budget]]</f>
        <v>-0.58044444444444443</v>
      </c>
      <c r="R509" s="28">
        <f>Master_Table[[#This Row],[△Expense  Variance]]/Master_Table[[#This Row],[Expense Budget]]</f>
        <v>0.2</v>
      </c>
      <c r="S509" s="28">
        <f>Master_Table[[#This Row],[Net Profit Variance]]/Master_Table[[#This Row],[Budget Net Profit]]</f>
        <v>-0.77066666666666672</v>
      </c>
      <c r="T509" s="28">
        <f>Master_Table[[#This Row],[Actual Net Profit]]/Master_Table[[#This Row],[Actual Sales]]</f>
        <v>0.36440677966101692</v>
      </c>
      <c r="U509" s="28" t="str">
        <f>_xlfn.TEXTJOIN(" - ", TRUE, Master_Table[[#This Row],[Product]], Master_Table[[#This Row],[Branch]])</f>
        <v>Kiwi - Warri</v>
      </c>
    </row>
    <row r="510" spans="1:21" ht="14.4" x14ac:dyDescent="0.3">
      <c r="A510" s="2">
        <v>509</v>
      </c>
      <c r="B510" s="2">
        <f t="shared" si="67"/>
        <v>108</v>
      </c>
      <c r="C510" s="1" t="str">
        <f>VLOOKUP(B510,Products!A:C,2,FALSE)</f>
        <v>Kiwi</v>
      </c>
      <c r="D510" s="1" t="str">
        <f t="shared" si="68"/>
        <v>Warri</v>
      </c>
      <c r="E510" s="4" t="str">
        <f>_xlfn.XLOOKUP(D510,'Sales Manager'!$A$2:$A$6,'Sales Manager'!$B$2:$B$6,"")</f>
        <v>Gbenga Adesanya</v>
      </c>
      <c r="F510" s="3">
        <f t="shared" si="76"/>
        <v>5</v>
      </c>
      <c r="G510" s="1" t="str">
        <f t="shared" si="76"/>
        <v>May</v>
      </c>
      <c r="H510" s="11">
        <v>4000</v>
      </c>
      <c r="I510" s="11">
        <v>5111</v>
      </c>
      <c r="J510" s="11" cm="1">
        <f t="array" ref="J510">_xlfn.XLOOKUP(C510&amp;D510&amp;F510,Expense!$C$2:$C$601&amp;Expense!$D$2:$D$601&amp;Expense!$E$2:$E$601,Expense!$G$2:$G$601,"")</f>
        <v>1333.3333333333333</v>
      </c>
      <c r="K510" s="11" cm="1">
        <f t="array" ref="K510">_xlfn.XLOOKUP(C510&amp;D510&amp;F510,Expense!$C$2:$C$601&amp;Expense!$D$2:$D$601&amp;Expense!$E$2:$E$601,Expense!$H$2:$H$601,"")</f>
        <v>933.33333333333326</v>
      </c>
      <c r="L510" s="14">
        <f t="shared" si="72"/>
        <v>1111</v>
      </c>
      <c r="M510" s="14">
        <f>Master_Table[[#This Row],[Expense Budget]]-Master_Table[[#This Row],[Actual Expense]]</f>
        <v>400</v>
      </c>
      <c r="N510" s="16">
        <f t="shared" si="73"/>
        <v>4177.666666666667</v>
      </c>
      <c r="O510" s="29">
        <f t="shared" si="70"/>
        <v>2666.666666666667</v>
      </c>
      <c r="P510" s="16">
        <f t="shared" si="71"/>
        <v>1511</v>
      </c>
      <c r="Q510" s="28">
        <f>Master_Table[[#This Row],[△Sales Variance]]/Master_Table[[#This Row],[Sales Budget]]</f>
        <v>0.27775</v>
      </c>
      <c r="R510" s="28">
        <f>Master_Table[[#This Row],[△Expense  Variance]]/Master_Table[[#This Row],[Expense Budget]]</f>
        <v>0.30000000000000004</v>
      </c>
      <c r="S510" s="28">
        <f>Master_Table[[#This Row],[Net Profit Variance]]/Master_Table[[#This Row],[Budget Net Profit]]</f>
        <v>0.56662499999999993</v>
      </c>
      <c r="T510" s="28">
        <f>Master_Table[[#This Row],[Actual Net Profit]]/Master_Table[[#This Row],[Actual Sales]]</f>
        <v>0.81738733450727197</v>
      </c>
      <c r="U510" s="28" t="str">
        <f>_xlfn.TEXTJOIN(" - ", TRUE, Master_Table[[#This Row],[Product]], Master_Table[[#This Row],[Branch]])</f>
        <v>Kiwi - Warri</v>
      </c>
    </row>
    <row r="511" spans="1:21" ht="14.4" x14ac:dyDescent="0.3">
      <c r="A511" s="2">
        <v>510</v>
      </c>
      <c r="B511" s="2">
        <f t="shared" ref="B511:B574" si="77">B451+1</f>
        <v>108</v>
      </c>
      <c r="C511" s="1" t="str">
        <f>VLOOKUP(B511,Products!A:C,2,FALSE)</f>
        <v>Kiwi</v>
      </c>
      <c r="D511" s="1" t="str">
        <f t="shared" ref="D511:D574" si="78">D451</f>
        <v>Warri</v>
      </c>
      <c r="E511" s="4" t="str">
        <f>_xlfn.XLOOKUP(D511,'Sales Manager'!$A$2:$A$6,'Sales Manager'!$B$2:$B$6,"")</f>
        <v>Gbenga Adesanya</v>
      </c>
      <c r="F511" s="3">
        <f t="shared" ref="F511:G526" si="79">F499</f>
        <v>6</v>
      </c>
      <c r="G511" s="1" t="str">
        <f t="shared" si="79"/>
        <v>Jun</v>
      </c>
      <c r="H511" s="11">
        <v>1000</v>
      </c>
      <c r="I511" s="11">
        <v>6123</v>
      </c>
      <c r="J511" s="11" cm="1">
        <f t="array" ref="J511">_xlfn.XLOOKUP(C511&amp;D511&amp;F511,Expense!$C$2:$C$601&amp;Expense!$D$2:$D$601&amp;Expense!$E$2:$E$601,Expense!$G$2:$G$601,"")</f>
        <v>333.33333333333331</v>
      </c>
      <c r="K511" s="11" cm="1">
        <f t="array" ref="K511">_xlfn.XLOOKUP(C511&amp;D511&amp;F511,Expense!$C$2:$C$601&amp;Expense!$D$2:$D$601&amp;Expense!$E$2:$E$601,Expense!$H$2:$H$601,"")</f>
        <v>166.66666666666669</v>
      </c>
      <c r="L511" s="14">
        <f t="shared" si="72"/>
        <v>5123</v>
      </c>
      <c r="M511" s="14">
        <f>Master_Table[[#This Row],[Expense Budget]]-Master_Table[[#This Row],[Actual Expense]]</f>
        <v>166.66666666666663</v>
      </c>
      <c r="N511" s="16">
        <f t="shared" si="73"/>
        <v>5956.333333333333</v>
      </c>
      <c r="O511" s="29">
        <f t="shared" si="70"/>
        <v>666.66666666666674</v>
      </c>
      <c r="P511" s="16">
        <f t="shared" si="71"/>
        <v>5289.6666666666661</v>
      </c>
      <c r="Q511" s="28">
        <f>Master_Table[[#This Row],[△Sales Variance]]/Master_Table[[#This Row],[Sales Budget]]</f>
        <v>5.1230000000000002</v>
      </c>
      <c r="R511" s="28">
        <f>Master_Table[[#This Row],[△Expense  Variance]]/Master_Table[[#This Row],[Expense Budget]]</f>
        <v>0.49999999999999989</v>
      </c>
      <c r="S511" s="28">
        <f>Master_Table[[#This Row],[Net Profit Variance]]/Master_Table[[#This Row],[Budget Net Profit]]</f>
        <v>7.9344999999999981</v>
      </c>
      <c r="T511" s="28">
        <f>Master_Table[[#This Row],[Actual Net Profit]]/Master_Table[[#This Row],[Actual Sales]]</f>
        <v>0.97278022755729754</v>
      </c>
      <c r="U511" s="28" t="str">
        <f>_xlfn.TEXTJOIN(" - ", TRUE, Master_Table[[#This Row],[Product]], Master_Table[[#This Row],[Branch]])</f>
        <v>Kiwi - Warri</v>
      </c>
    </row>
    <row r="512" spans="1:21" ht="14.4" x14ac:dyDescent="0.3">
      <c r="A512" s="2">
        <v>511</v>
      </c>
      <c r="B512" s="2">
        <f t="shared" si="77"/>
        <v>108</v>
      </c>
      <c r="C512" s="1" t="str">
        <f>VLOOKUP(B512,Products!A:C,2,FALSE)</f>
        <v>Kiwi</v>
      </c>
      <c r="D512" s="1" t="str">
        <f t="shared" si="78"/>
        <v>Warri</v>
      </c>
      <c r="E512" s="4" t="str">
        <f>_xlfn.XLOOKUP(D512,'Sales Manager'!$A$2:$A$6,'Sales Manager'!$B$2:$B$6,"")</f>
        <v>Gbenga Adesanya</v>
      </c>
      <c r="F512" s="3">
        <f t="shared" si="79"/>
        <v>7</v>
      </c>
      <c r="G512" s="1" t="str">
        <f t="shared" si="79"/>
        <v>Jul</v>
      </c>
      <c r="H512" s="11">
        <v>3000</v>
      </c>
      <c r="I512" s="11">
        <v>7214</v>
      </c>
      <c r="J512" s="11" cm="1">
        <f t="array" ref="J512">_xlfn.XLOOKUP(C512&amp;D512&amp;F512,Expense!$C$2:$C$601&amp;Expense!$D$2:$D$601&amp;Expense!$E$2:$E$601,Expense!$G$2:$G$601,"")</f>
        <v>600</v>
      </c>
      <c r="K512" s="11" cm="1">
        <f t="array" ref="K512">_xlfn.XLOOKUP(C512&amp;D512&amp;F512,Expense!$C$2:$C$601&amp;Expense!$D$2:$D$601&amp;Expense!$E$2:$E$601,Expense!$H$2:$H$601,"")</f>
        <v>400</v>
      </c>
      <c r="L512" s="14">
        <f t="shared" si="72"/>
        <v>4214</v>
      </c>
      <c r="M512" s="14">
        <f>Master_Table[[#This Row],[Expense Budget]]-Master_Table[[#This Row],[Actual Expense]]</f>
        <v>200</v>
      </c>
      <c r="N512" s="16">
        <f t="shared" si="73"/>
        <v>6814</v>
      </c>
      <c r="O512" s="29">
        <f t="shared" si="70"/>
        <v>2400</v>
      </c>
      <c r="P512" s="16">
        <f t="shared" si="71"/>
        <v>4414</v>
      </c>
      <c r="Q512" s="28">
        <f>Master_Table[[#This Row],[△Sales Variance]]/Master_Table[[#This Row],[Sales Budget]]</f>
        <v>1.4046666666666667</v>
      </c>
      <c r="R512" s="28">
        <f>Master_Table[[#This Row],[△Expense  Variance]]/Master_Table[[#This Row],[Expense Budget]]</f>
        <v>0.33333333333333331</v>
      </c>
      <c r="S512" s="28">
        <f>Master_Table[[#This Row],[Net Profit Variance]]/Master_Table[[#This Row],[Budget Net Profit]]</f>
        <v>1.8391666666666666</v>
      </c>
      <c r="T512" s="28">
        <f>Master_Table[[#This Row],[Actual Net Profit]]/Master_Table[[#This Row],[Actual Sales]]</f>
        <v>0.94455225949542554</v>
      </c>
      <c r="U512" s="28" t="str">
        <f>_xlfn.TEXTJOIN(" - ", TRUE, Master_Table[[#This Row],[Product]], Master_Table[[#This Row],[Branch]])</f>
        <v>Kiwi - Warri</v>
      </c>
    </row>
    <row r="513" spans="1:21" ht="14.4" x14ac:dyDescent="0.3">
      <c r="A513" s="2">
        <v>512</v>
      </c>
      <c r="B513" s="2">
        <f t="shared" si="77"/>
        <v>108</v>
      </c>
      <c r="C513" s="1" t="str">
        <f>VLOOKUP(B513,Products!A:C,2,FALSE)</f>
        <v>Kiwi</v>
      </c>
      <c r="D513" s="1" t="str">
        <f t="shared" si="78"/>
        <v>Warri</v>
      </c>
      <c r="E513" s="4" t="str">
        <f>_xlfn.XLOOKUP(D513,'Sales Manager'!$A$2:$A$6,'Sales Manager'!$B$2:$B$6,"")</f>
        <v>Gbenga Adesanya</v>
      </c>
      <c r="F513" s="3">
        <f t="shared" si="79"/>
        <v>8</v>
      </c>
      <c r="G513" s="1" t="str">
        <f t="shared" si="79"/>
        <v>Aug</v>
      </c>
      <c r="H513" s="11">
        <v>5000</v>
      </c>
      <c r="I513" s="11">
        <v>4213</v>
      </c>
      <c r="J513" s="11" cm="1">
        <f t="array" ref="J513">_xlfn.XLOOKUP(C513&amp;D513&amp;F513,Expense!$C$2:$C$601&amp;Expense!$D$2:$D$601&amp;Expense!$E$2:$E$601,Expense!$G$2:$G$601,"")</f>
        <v>1000</v>
      </c>
      <c r="K513" s="11" cm="1">
        <f t="array" ref="K513">_xlfn.XLOOKUP(C513&amp;D513&amp;F513,Expense!$C$2:$C$601&amp;Expense!$D$2:$D$601&amp;Expense!$E$2:$E$601,Expense!$H$2:$H$601,"")</f>
        <v>1000</v>
      </c>
      <c r="L513" s="14">
        <f t="shared" si="72"/>
        <v>-787</v>
      </c>
      <c r="M513" s="14">
        <f>Master_Table[[#This Row],[Expense Budget]]-Master_Table[[#This Row],[Actual Expense]]</f>
        <v>0</v>
      </c>
      <c r="N513" s="16">
        <f t="shared" si="73"/>
        <v>3213</v>
      </c>
      <c r="O513" s="29">
        <f t="shared" si="70"/>
        <v>4000</v>
      </c>
      <c r="P513" s="16">
        <f t="shared" si="71"/>
        <v>-787</v>
      </c>
      <c r="Q513" s="28">
        <f>Master_Table[[#This Row],[△Sales Variance]]/Master_Table[[#This Row],[Sales Budget]]</f>
        <v>-0.15740000000000001</v>
      </c>
      <c r="R513" s="28">
        <f>Master_Table[[#This Row],[△Expense  Variance]]/Master_Table[[#This Row],[Expense Budget]]</f>
        <v>0</v>
      </c>
      <c r="S513" s="28">
        <f>Master_Table[[#This Row],[Net Profit Variance]]/Master_Table[[#This Row],[Budget Net Profit]]</f>
        <v>-0.19675000000000001</v>
      </c>
      <c r="T513" s="28">
        <f>Master_Table[[#This Row],[Actual Net Profit]]/Master_Table[[#This Row],[Actual Sales]]</f>
        <v>0.76263944932352246</v>
      </c>
      <c r="U513" s="28" t="str">
        <f>_xlfn.TEXTJOIN(" - ", TRUE, Master_Table[[#This Row],[Product]], Master_Table[[#This Row],[Branch]])</f>
        <v>Kiwi - Warri</v>
      </c>
    </row>
    <row r="514" spans="1:21" ht="14.4" x14ac:dyDescent="0.3">
      <c r="A514" s="2">
        <v>513</v>
      </c>
      <c r="B514" s="2">
        <f t="shared" si="77"/>
        <v>108</v>
      </c>
      <c r="C514" s="1" t="str">
        <f>VLOOKUP(B514,Products!A:C,2,FALSE)</f>
        <v>Kiwi</v>
      </c>
      <c r="D514" s="1" t="str">
        <f t="shared" si="78"/>
        <v>Warri</v>
      </c>
      <c r="E514" s="4" t="str">
        <f>_xlfn.XLOOKUP(D514,'Sales Manager'!$A$2:$A$6,'Sales Manager'!$B$2:$B$6,"")</f>
        <v>Gbenga Adesanya</v>
      </c>
      <c r="F514" s="3">
        <f t="shared" si="79"/>
        <v>9</v>
      </c>
      <c r="G514" s="1" t="str">
        <f t="shared" si="79"/>
        <v>Sept</v>
      </c>
      <c r="H514" s="11">
        <v>4000</v>
      </c>
      <c r="I514" s="11">
        <v>5521</v>
      </c>
      <c r="J514" s="11" cm="1">
        <f t="array" ref="J514">_xlfn.XLOOKUP(C514&amp;D514&amp;F514,Expense!$C$2:$C$601&amp;Expense!$D$2:$D$601&amp;Expense!$E$2:$E$601,Expense!$G$2:$G$601,"")</f>
        <v>2000</v>
      </c>
      <c r="K514" s="11" cm="1">
        <f t="array" ref="K514">_xlfn.XLOOKUP(C514&amp;D514&amp;F514,Expense!$C$2:$C$601&amp;Expense!$D$2:$D$601&amp;Expense!$E$2:$E$601,Expense!$H$2:$H$601,"")</f>
        <v>1700</v>
      </c>
      <c r="L514" s="14">
        <f t="shared" si="72"/>
        <v>1521</v>
      </c>
      <c r="M514" s="14">
        <f>Master_Table[[#This Row],[Expense Budget]]-Master_Table[[#This Row],[Actual Expense]]</f>
        <v>300</v>
      </c>
      <c r="N514" s="16">
        <f t="shared" si="73"/>
        <v>3821</v>
      </c>
      <c r="O514" s="29">
        <f t="shared" ref="O514:O577" si="80">H514-J514</f>
        <v>2000</v>
      </c>
      <c r="P514" s="16">
        <f t="shared" ref="P514:P577" si="81">N514-O514</f>
        <v>1821</v>
      </c>
      <c r="Q514" s="28">
        <f>Master_Table[[#This Row],[△Sales Variance]]/Master_Table[[#This Row],[Sales Budget]]</f>
        <v>0.38024999999999998</v>
      </c>
      <c r="R514" s="28">
        <f>Master_Table[[#This Row],[△Expense  Variance]]/Master_Table[[#This Row],[Expense Budget]]</f>
        <v>0.15</v>
      </c>
      <c r="S514" s="28">
        <f>Master_Table[[#This Row],[Net Profit Variance]]/Master_Table[[#This Row],[Budget Net Profit]]</f>
        <v>0.91049999999999998</v>
      </c>
      <c r="T514" s="28">
        <f>Master_Table[[#This Row],[Actual Net Profit]]/Master_Table[[#This Row],[Actual Sales]]</f>
        <v>0.69208476725230939</v>
      </c>
      <c r="U514" s="28" t="str">
        <f>_xlfn.TEXTJOIN(" - ", TRUE, Master_Table[[#This Row],[Product]], Master_Table[[#This Row],[Branch]])</f>
        <v>Kiwi - Warri</v>
      </c>
    </row>
    <row r="515" spans="1:21" ht="14.4" x14ac:dyDescent="0.3">
      <c r="A515" s="2">
        <v>514</v>
      </c>
      <c r="B515" s="2">
        <f t="shared" si="77"/>
        <v>108</v>
      </c>
      <c r="C515" s="1" t="str">
        <f>VLOOKUP(B515,Products!A:C,2,FALSE)</f>
        <v>Kiwi</v>
      </c>
      <c r="D515" s="1" t="str">
        <f t="shared" si="78"/>
        <v>Warri</v>
      </c>
      <c r="E515" s="4" t="str">
        <f>_xlfn.XLOOKUP(D515,'Sales Manager'!$A$2:$A$6,'Sales Manager'!$B$2:$B$6,"")</f>
        <v>Gbenga Adesanya</v>
      </c>
      <c r="F515" s="3">
        <f t="shared" si="79"/>
        <v>10</v>
      </c>
      <c r="G515" s="1" t="str">
        <f t="shared" si="79"/>
        <v>Oct</v>
      </c>
      <c r="H515" s="11">
        <v>1000</v>
      </c>
      <c r="I515" s="11">
        <v>7366</v>
      </c>
      <c r="J515" s="11" cm="1">
        <f t="array" ref="J515">_xlfn.XLOOKUP(C515&amp;D515&amp;F515,Expense!$C$2:$C$601&amp;Expense!$D$2:$D$601&amp;Expense!$E$2:$E$601,Expense!$G$2:$G$601,"")</f>
        <v>250</v>
      </c>
      <c r="K515" s="11" cm="1">
        <f t="array" ref="K515">_xlfn.XLOOKUP(C515&amp;D515&amp;F515,Expense!$C$2:$C$601&amp;Expense!$D$2:$D$601&amp;Expense!$E$2:$E$601,Expense!$H$2:$H$601,"")</f>
        <v>150</v>
      </c>
      <c r="L515" s="14">
        <f t="shared" ref="L515:L578" si="82">I515-H515</f>
        <v>6366</v>
      </c>
      <c r="M515" s="14">
        <f>Master_Table[[#This Row],[Expense Budget]]-Master_Table[[#This Row],[Actual Expense]]</f>
        <v>100</v>
      </c>
      <c r="N515" s="16">
        <f t="shared" ref="N515:N578" si="83">I515-K515</f>
        <v>7216</v>
      </c>
      <c r="O515" s="29">
        <f t="shared" si="80"/>
        <v>750</v>
      </c>
      <c r="P515" s="16">
        <f t="shared" si="81"/>
        <v>6466</v>
      </c>
      <c r="Q515" s="28">
        <f>Master_Table[[#This Row],[△Sales Variance]]/Master_Table[[#This Row],[Sales Budget]]</f>
        <v>6.3659999999999997</v>
      </c>
      <c r="R515" s="28">
        <f>Master_Table[[#This Row],[△Expense  Variance]]/Master_Table[[#This Row],[Expense Budget]]</f>
        <v>0.4</v>
      </c>
      <c r="S515" s="28">
        <f>Master_Table[[#This Row],[Net Profit Variance]]/Master_Table[[#This Row],[Budget Net Profit]]</f>
        <v>8.6213333333333342</v>
      </c>
      <c r="T515" s="28">
        <f>Master_Table[[#This Row],[Actual Net Profit]]/Master_Table[[#This Row],[Actual Sales]]</f>
        <v>0.97963616616888405</v>
      </c>
      <c r="U515" s="28" t="str">
        <f>_xlfn.TEXTJOIN(" - ", TRUE, Master_Table[[#This Row],[Product]], Master_Table[[#This Row],[Branch]])</f>
        <v>Kiwi - Warri</v>
      </c>
    </row>
    <row r="516" spans="1:21" ht="14.4" x14ac:dyDescent="0.3">
      <c r="A516" s="2">
        <v>515</v>
      </c>
      <c r="B516" s="2">
        <f t="shared" si="77"/>
        <v>108</v>
      </c>
      <c r="C516" s="1" t="str">
        <f>VLOOKUP(B516,Products!A:C,2,FALSE)</f>
        <v>Kiwi</v>
      </c>
      <c r="D516" s="1" t="str">
        <f t="shared" si="78"/>
        <v>Warri</v>
      </c>
      <c r="E516" s="4" t="str">
        <f>_xlfn.XLOOKUP(D516,'Sales Manager'!$A$2:$A$6,'Sales Manager'!$B$2:$B$6,"")</f>
        <v>Gbenga Adesanya</v>
      </c>
      <c r="F516" s="3">
        <f t="shared" si="79"/>
        <v>11</v>
      </c>
      <c r="G516" s="1" t="str">
        <f t="shared" si="79"/>
        <v>Nov</v>
      </c>
      <c r="H516" s="11">
        <v>6000</v>
      </c>
      <c r="I516" s="11">
        <v>5536</v>
      </c>
      <c r="J516" s="11" cm="1">
        <f t="array" ref="J516">_xlfn.XLOOKUP(C516&amp;D516&amp;F516,Expense!$C$2:$C$601&amp;Expense!$D$2:$D$601&amp;Expense!$E$2:$E$601,Expense!$G$2:$G$601,"")</f>
        <v>1500</v>
      </c>
      <c r="K516" s="11" cm="1">
        <f t="array" ref="K516">_xlfn.XLOOKUP(C516&amp;D516&amp;F516,Expense!$C$2:$C$601&amp;Expense!$D$2:$D$601&amp;Expense!$E$2:$E$601,Expense!$H$2:$H$601,"")</f>
        <v>1400</v>
      </c>
      <c r="L516" s="14">
        <f t="shared" si="82"/>
        <v>-464</v>
      </c>
      <c r="M516" s="14">
        <f>Master_Table[[#This Row],[Expense Budget]]-Master_Table[[#This Row],[Actual Expense]]</f>
        <v>100</v>
      </c>
      <c r="N516" s="16">
        <f t="shared" si="83"/>
        <v>4136</v>
      </c>
      <c r="O516" s="29">
        <f t="shared" si="80"/>
        <v>4500</v>
      </c>
      <c r="P516" s="16">
        <f t="shared" si="81"/>
        <v>-364</v>
      </c>
      <c r="Q516" s="28">
        <f>Master_Table[[#This Row],[△Sales Variance]]/Master_Table[[#This Row],[Sales Budget]]</f>
        <v>-7.7333333333333337E-2</v>
      </c>
      <c r="R516" s="28">
        <f>Master_Table[[#This Row],[△Expense  Variance]]/Master_Table[[#This Row],[Expense Budget]]</f>
        <v>6.6666666666666666E-2</v>
      </c>
      <c r="S516" s="28">
        <f>Master_Table[[#This Row],[Net Profit Variance]]/Master_Table[[#This Row],[Budget Net Profit]]</f>
        <v>-8.0888888888888885E-2</v>
      </c>
      <c r="T516" s="28">
        <f>Master_Table[[#This Row],[Actual Net Profit]]/Master_Table[[#This Row],[Actual Sales]]</f>
        <v>0.74710982658959535</v>
      </c>
      <c r="U516" s="28" t="str">
        <f>_xlfn.TEXTJOIN(" - ", TRUE, Master_Table[[#This Row],[Product]], Master_Table[[#This Row],[Branch]])</f>
        <v>Kiwi - Warri</v>
      </c>
    </row>
    <row r="517" spans="1:21" ht="14.4" x14ac:dyDescent="0.3">
      <c r="A517" s="2">
        <v>516</v>
      </c>
      <c r="B517" s="2">
        <f t="shared" si="77"/>
        <v>108</v>
      </c>
      <c r="C517" s="1" t="str">
        <f>VLOOKUP(B517,Products!A:C,2,FALSE)</f>
        <v>Kiwi</v>
      </c>
      <c r="D517" s="1" t="str">
        <f t="shared" si="78"/>
        <v>Warri</v>
      </c>
      <c r="E517" s="4" t="str">
        <f>_xlfn.XLOOKUP(D517,'Sales Manager'!$A$2:$A$6,'Sales Manager'!$B$2:$B$6,"")</f>
        <v>Gbenga Adesanya</v>
      </c>
      <c r="F517" s="3">
        <f t="shared" si="79"/>
        <v>12</v>
      </c>
      <c r="G517" s="1" t="str">
        <f t="shared" si="79"/>
        <v>Dec</v>
      </c>
      <c r="H517" s="11">
        <v>9000</v>
      </c>
      <c r="I517" s="11">
        <v>6222</v>
      </c>
      <c r="J517" s="11" cm="1">
        <f t="array" ref="J517">_xlfn.XLOOKUP(C517&amp;D517&amp;F517,Expense!$C$2:$C$601&amp;Expense!$D$2:$D$601&amp;Expense!$E$2:$E$601,Expense!$G$2:$G$601,"")</f>
        <v>3000</v>
      </c>
      <c r="K517" s="11" cm="1">
        <f t="array" ref="K517">_xlfn.XLOOKUP(C517&amp;D517&amp;F517,Expense!$C$2:$C$601&amp;Expense!$D$2:$D$601&amp;Expense!$E$2:$E$601,Expense!$H$2:$H$601,"")</f>
        <v>3000</v>
      </c>
      <c r="L517" s="14">
        <f t="shared" si="82"/>
        <v>-2778</v>
      </c>
      <c r="M517" s="14">
        <f>Master_Table[[#This Row],[Expense Budget]]-Master_Table[[#This Row],[Actual Expense]]</f>
        <v>0</v>
      </c>
      <c r="N517" s="16">
        <f t="shared" si="83"/>
        <v>3222</v>
      </c>
      <c r="O517" s="29">
        <f t="shared" si="80"/>
        <v>6000</v>
      </c>
      <c r="P517" s="16">
        <f t="shared" si="81"/>
        <v>-2778</v>
      </c>
      <c r="Q517" s="28">
        <f>Master_Table[[#This Row],[△Sales Variance]]/Master_Table[[#This Row],[Sales Budget]]</f>
        <v>-0.30866666666666664</v>
      </c>
      <c r="R517" s="28">
        <f>Master_Table[[#This Row],[△Expense  Variance]]/Master_Table[[#This Row],[Expense Budget]]</f>
        <v>0</v>
      </c>
      <c r="S517" s="28">
        <f>Master_Table[[#This Row],[Net Profit Variance]]/Master_Table[[#This Row],[Budget Net Profit]]</f>
        <v>-0.46300000000000002</v>
      </c>
      <c r="T517" s="28">
        <f>Master_Table[[#This Row],[Actual Net Profit]]/Master_Table[[#This Row],[Actual Sales]]</f>
        <v>0.51783992285438762</v>
      </c>
      <c r="U517" s="28" t="str">
        <f>_xlfn.TEXTJOIN(" - ", TRUE, Master_Table[[#This Row],[Product]], Master_Table[[#This Row],[Branch]])</f>
        <v>Kiwi - Warri</v>
      </c>
    </row>
    <row r="518" spans="1:21" ht="14.4" x14ac:dyDescent="0.3">
      <c r="A518" s="2">
        <v>517</v>
      </c>
      <c r="B518" s="2">
        <f t="shared" si="77"/>
        <v>108</v>
      </c>
      <c r="C518" s="1" t="str">
        <f>VLOOKUP(B518,Products!A:C,2,FALSE)</f>
        <v>Kiwi</v>
      </c>
      <c r="D518" s="1" t="str">
        <f t="shared" si="78"/>
        <v>Kaduna</v>
      </c>
      <c r="E518" s="4" t="str">
        <f>_xlfn.XLOOKUP(D518,'Sales Manager'!$A$2:$A$6,'Sales Manager'!$B$2:$B$6,"")</f>
        <v>Musa Garba</v>
      </c>
      <c r="F518" s="3">
        <f t="shared" si="79"/>
        <v>1</v>
      </c>
      <c r="G518" s="1" t="str">
        <f t="shared" si="79"/>
        <v>Jan</v>
      </c>
      <c r="H518" s="11">
        <v>7000</v>
      </c>
      <c r="I518" s="11">
        <v>4544</v>
      </c>
      <c r="J518" s="11" cm="1">
        <f t="array" ref="J518">_xlfn.XLOOKUP(C518&amp;D518&amp;F518,Expense!$C$2:$C$601&amp;Expense!$D$2:$D$601&amp;Expense!$E$2:$E$601,Expense!$G$2:$G$601,"")</f>
        <v>3500</v>
      </c>
      <c r="K518" s="11" cm="1">
        <f t="array" ref="K518">_xlfn.XLOOKUP(C518&amp;D518&amp;F518,Expense!$C$2:$C$601&amp;Expense!$D$2:$D$601&amp;Expense!$E$2:$E$601,Expense!$H$2:$H$601,"")</f>
        <v>2900</v>
      </c>
      <c r="L518" s="14">
        <f t="shared" si="82"/>
        <v>-2456</v>
      </c>
      <c r="M518" s="14">
        <f>Master_Table[[#This Row],[Expense Budget]]-Master_Table[[#This Row],[Actual Expense]]</f>
        <v>600</v>
      </c>
      <c r="N518" s="16">
        <f t="shared" si="83"/>
        <v>1644</v>
      </c>
      <c r="O518" s="29">
        <f t="shared" si="80"/>
        <v>3500</v>
      </c>
      <c r="P518" s="16">
        <f t="shared" si="81"/>
        <v>-1856</v>
      </c>
      <c r="Q518" s="28">
        <f>Master_Table[[#This Row],[△Sales Variance]]/Master_Table[[#This Row],[Sales Budget]]</f>
        <v>-0.35085714285714287</v>
      </c>
      <c r="R518" s="28">
        <f>Master_Table[[#This Row],[△Expense  Variance]]/Master_Table[[#This Row],[Expense Budget]]</f>
        <v>0.17142857142857143</v>
      </c>
      <c r="S518" s="28">
        <f>Master_Table[[#This Row],[Net Profit Variance]]/Master_Table[[#This Row],[Budget Net Profit]]</f>
        <v>-0.53028571428571425</v>
      </c>
      <c r="T518" s="28">
        <f>Master_Table[[#This Row],[Actual Net Profit]]/Master_Table[[#This Row],[Actual Sales]]</f>
        <v>0.36179577464788731</v>
      </c>
      <c r="U518" s="28" t="str">
        <f>_xlfn.TEXTJOIN(" - ", TRUE, Master_Table[[#This Row],[Product]], Master_Table[[#This Row],[Branch]])</f>
        <v>Kiwi - Kaduna</v>
      </c>
    </row>
    <row r="519" spans="1:21" ht="14.4" x14ac:dyDescent="0.3">
      <c r="A519" s="2">
        <v>518</v>
      </c>
      <c r="B519" s="2">
        <f t="shared" si="77"/>
        <v>108</v>
      </c>
      <c r="C519" s="1" t="str">
        <f>VLOOKUP(B519,Products!A:C,2,FALSE)</f>
        <v>Kiwi</v>
      </c>
      <c r="D519" s="1" t="str">
        <f t="shared" si="78"/>
        <v>Kaduna</v>
      </c>
      <c r="E519" s="4" t="str">
        <f>_xlfn.XLOOKUP(D519,'Sales Manager'!$A$2:$A$6,'Sales Manager'!$B$2:$B$6,"")</f>
        <v>Musa Garba</v>
      </c>
      <c r="F519" s="3">
        <f t="shared" si="79"/>
        <v>2</v>
      </c>
      <c r="G519" s="1" t="str">
        <f t="shared" si="79"/>
        <v>Feb</v>
      </c>
      <c r="H519" s="11">
        <v>4000</v>
      </c>
      <c r="I519" s="11">
        <v>2563</v>
      </c>
      <c r="J519" s="11" cm="1">
        <f t="array" ref="J519">_xlfn.XLOOKUP(C519&amp;D519&amp;F519,Expense!$C$2:$C$601&amp;Expense!$D$2:$D$601&amp;Expense!$E$2:$E$601,Expense!$G$2:$G$601,"")</f>
        <v>2000</v>
      </c>
      <c r="K519" s="11" cm="1">
        <f t="array" ref="K519">_xlfn.XLOOKUP(C519&amp;D519&amp;F519,Expense!$C$2:$C$601&amp;Expense!$D$2:$D$601&amp;Expense!$E$2:$E$601,Expense!$H$2:$H$601,"")</f>
        <v>1800</v>
      </c>
      <c r="L519" s="14">
        <f t="shared" si="82"/>
        <v>-1437</v>
      </c>
      <c r="M519" s="14">
        <f>Master_Table[[#This Row],[Expense Budget]]-Master_Table[[#This Row],[Actual Expense]]</f>
        <v>200</v>
      </c>
      <c r="N519" s="16">
        <f t="shared" si="83"/>
        <v>763</v>
      </c>
      <c r="O519" s="29">
        <f t="shared" si="80"/>
        <v>2000</v>
      </c>
      <c r="P519" s="16">
        <f t="shared" si="81"/>
        <v>-1237</v>
      </c>
      <c r="Q519" s="28">
        <f>Master_Table[[#This Row],[△Sales Variance]]/Master_Table[[#This Row],[Sales Budget]]</f>
        <v>-0.35925000000000001</v>
      </c>
      <c r="R519" s="28">
        <f>Master_Table[[#This Row],[△Expense  Variance]]/Master_Table[[#This Row],[Expense Budget]]</f>
        <v>0.1</v>
      </c>
      <c r="S519" s="28">
        <f>Master_Table[[#This Row],[Net Profit Variance]]/Master_Table[[#This Row],[Budget Net Profit]]</f>
        <v>-0.61850000000000005</v>
      </c>
      <c r="T519" s="28">
        <f>Master_Table[[#This Row],[Actual Net Profit]]/Master_Table[[#This Row],[Actual Sales]]</f>
        <v>0.29769801014436209</v>
      </c>
      <c r="U519" s="28" t="str">
        <f>_xlfn.TEXTJOIN(" - ", TRUE, Master_Table[[#This Row],[Product]], Master_Table[[#This Row],[Branch]])</f>
        <v>Kiwi - Kaduna</v>
      </c>
    </row>
    <row r="520" spans="1:21" ht="14.4" x14ac:dyDescent="0.3">
      <c r="A520" s="2">
        <v>519</v>
      </c>
      <c r="B520" s="2">
        <f t="shared" si="77"/>
        <v>108</v>
      </c>
      <c r="C520" s="1" t="str">
        <f>VLOOKUP(B520,Products!A:C,2,FALSE)</f>
        <v>Kiwi</v>
      </c>
      <c r="D520" s="1" t="str">
        <f t="shared" si="78"/>
        <v>Kaduna</v>
      </c>
      <c r="E520" s="4" t="str">
        <f>_xlfn.XLOOKUP(D520,'Sales Manager'!$A$2:$A$6,'Sales Manager'!$B$2:$B$6,"")</f>
        <v>Musa Garba</v>
      </c>
      <c r="F520" s="3">
        <f t="shared" si="79"/>
        <v>3</v>
      </c>
      <c r="G520" s="1" t="str">
        <f t="shared" si="79"/>
        <v>Mar</v>
      </c>
      <c r="H520" s="11">
        <v>2000</v>
      </c>
      <c r="I520" s="11">
        <v>8645</v>
      </c>
      <c r="J520" s="11" cm="1">
        <f t="array" ref="J520">_xlfn.XLOOKUP(C520&amp;D520&amp;F520,Expense!$C$2:$C$601&amp;Expense!$D$2:$D$601&amp;Expense!$E$2:$E$601,Expense!$G$2:$G$601,"")</f>
        <v>400</v>
      </c>
      <c r="K520" s="11" cm="1">
        <f t="array" ref="K520">_xlfn.XLOOKUP(C520&amp;D520&amp;F520,Expense!$C$2:$C$601&amp;Expense!$D$2:$D$601&amp;Expense!$E$2:$E$601,Expense!$H$2:$H$601,"")</f>
        <v>300</v>
      </c>
      <c r="L520" s="14">
        <f t="shared" si="82"/>
        <v>6645</v>
      </c>
      <c r="M520" s="14">
        <f>Master_Table[[#This Row],[Expense Budget]]-Master_Table[[#This Row],[Actual Expense]]</f>
        <v>100</v>
      </c>
      <c r="N520" s="16">
        <f t="shared" si="83"/>
        <v>8345</v>
      </c>
      <c r="O520" s="29">
        <f t="shared" si="80"/>
        <v>1600</v>
      </c>
      <c r="P520" s="16">
        <f t="shared" si="81"/>
        <v>6745</v>
      </c>
      <c r="Q520" s="28">
        <f>Master_Table[[#This Row],[△Sales Variance]]/Master_Table[[#This Row],[Sales Budget]]</f>
        <v>3.3224999999999998</v>
      </c>
      <c r="R520" s="28">
        <f>Master_Table[[#This Row],[△Expense  Variance]]/Master_Table[[#This Row],[Expense Budget]]</f>
        <v>0.25</v>
      </c>
      <c r="S520" s="28">
        <f>Master_Table[[#This Row],[Net Profit Variance]]/Master_Table[[#This Row],[Budget Net Profit]]</f>
        <v>4.2156250000000002</v>
      </c>
      <c r="T520" s="28">
        <f>Master_Table[[#This Row],[Actual Net Profit]]/Master_Table[[#This Row],[Actual Sales]]</f>
        <v>0.96529786003470219</v>
      </c>
      <c r="U520" s="28" t="str">
        <f>_xlfn.TEXTJOIN(" - ", TRUE, Master_Table[[#This Row],[Product]], Master_Table[[#This Row],[Branch]])</f>
        <v>Kiwi - Kaduna</v>
      </c>
    </row>
    <row r="521" spans="1:21" ht="14.4" x14ac:dyDescent="0.3">
      <c r="A521" s="2">
        <v>520</v>
      </c>
      <c r="B521" s="2">
        <f t="shared" si="77"/>
        <v>108</v>
      </c>
      <c r="C521" s="1" t="str">
        <f>VLOOKUP(B521,Products!A:C,2,FALSE)</f>
        <v>Kiwi</v>
      </c>
      <c r="D521" s="1" t="str">
        <f t="shared" si="78"/>
        <v>Kaduna</v>
      </c>
      <c r="E521" s="4" t="str">
        <f>_xlfn.XLOOKUP(D521,'Sales Manager'!$A$2:$A$6,'Sales Manager'!$B$2:$B$6,"")</f>
        <v>Musa Garba</v>
      </c>
      <c r="F521" s="3">
        <f t="shared" si="79"/>
        <v>4</v>
      </c>
      <c r="G521" s="1" t="str">
        <f t="shared" si="79"/>
        <v>Apr</v>
      </c>
      <c r="H521" s="11">
        <v>6000</v>
      </c>
      <c r="I521" s="11">
        <v>7633</v>
      </c>
      <c r="J521" s="11" cm="1">
        <f t="array" ref="J521">_xlfn.XLOOKUP(C521&amp;D521&amp;F521,Expense!$C$2:$C$601&amp;Expense!$D$2:$D$601&amp;Expense!$E$2:$E$601,Expense!$G$2:$G$601,"")</f>
        <v>3000</v>
      </c>
      <c r="K521" s="11" cm="1">
        <f t="array" ref="K521">_xlfn.XLOOKUP(C521&amp;D521&amp;F521,Expense!$C$2:$C$601&amp;Expense!$D$2:$D$601&amp;Expense!$E$2:$E$601,Expense!$H$2:$H$601,"")</f>
        <v>2500</v>
      </c>
      <c r="L521" s="14">
        <f t="shared" si="82"/>
        <v>1633</v>
      </c>
      <c r="M521" s="14">
        <f>Master_Table[[#This Row],[Expense Budget]]-Master_Table[[#This Row],[Actual Expense]]</f>
        <v>500</v>
      </c>
      <c r="N521" s="16">
        <f t="shared" si="83"/>
        <v>5133</v>
      </c>
      <c r="O521" s="29">
        <f t="shared" si="80"/>
        <v>3000</v>
      </c>
      <c r="P521" s="16">
        <f t="shared" si="81"/>
        <v>2133</v>
      </c>
      <c r="Q521" s="28">
        <f>Master_Table[[#This Row],[△Sales Variance]]/Master_Table[[#This Row],[Sales Budget]]</f>
        <v>0.27216666666666667</v>
      </c>
      <c r="R521" s="28">
        <f>Master_Table[[#This Row],[△Expense  Variance]]/Master_Table[[#This Row],[Expense Budget]]</f>
        <v>0.16666666666666666</v>
      </c>
      <c r="S521" s="28">
        <f>Master_Table[[#This Row],[Net Profit Variance]]/Master_Table[[#This Row],[Budget Net Profit]]</f>
        <v>0.71099999999999997</v>
      </c>
      <c r="T521" s="28">
        <f>Master_Table[[#This Row],[Actual Net Profit]]/Master_Table[[#This Row],[Actual Sales]]</f>
        <v>0.67247478055810295</v>
      </c>
      <c r="U521" s="28" t="str">
        <f>_xlfn.TEXTJOIN(" - ", TRUE, Master_Table[[#This Row],[Product]], Master_Table[[#This Row],[Branch]])</f>
        <v>Kiwi - Kaduna</v>
      </c>
    </row>
    <row r="522" spans="1:21" ht="14.4" x14ac:dyDescent="0.3">
      <c r="A522" s="2">
        <v>521</v>
      </c>
      <c r="B522" s="2">
        <f t="shared" si="77"/>
        <v>108</v>
      </c>
      <c r="C522" s="1" t="str">
        <f>VLOOKUP(B522,Products!A:C,2,FALSE)</f>
        <v>Kiwi</v>
      </c>
      <c r="D522" s="1" t="str">
        <f t="shared" si="78"/>
        <v>Kaduna</v>
      </c>
      <c r="E522" s="4" t="str">
        <f>_xlfn.XLOOKUP(D522,'Sales Manager'!$A$2:$A$6,'Sales Manager'!$B$2:$B$6,"")</f>
        <v>Musa Garba</v>
      </c>
      <c r="F522" s="3">
        <f t="shared" si="79"/>
        <v>5</v>
      </c>
      <c r="G522" s="1" t="str">
        <f t="shared" si="79"/>
        <v>May</v>
      </c>
      <c r="H522" s="11">
        <v>5000</v>
      </c>
      <c r="I522" s="11">
        <v>8126</v>
      </c>
      <c r="J522" s="11" cm="1">
        <f t="array" ref="J522">_xlfn.XLOOKUP(C522&amp;D522&amp;F522,Expense!$C$2:$C$601&amp;Expense!$D$2:$D$601&amp;Expense!$E$2:$E$601,Expense!$G$2:$G$601,"")</f>
        <v>1000</v>
      </c>
      <c r="K522" s="11" cm="1">
        <f t="array" ref="K522">_xlfn.XLOOKUP(C522&amp;D522&amp;F522,Expense!$C$2:$C$601&amp;Expense!$D$2:$D$601&amp;Expense!$E$2:$E$601,Expense!$H$2:$H$601,"")</f>
        <v>800</v>
      </c>
      <c r="L522" s="14">
        <f t="shared" si="82"/>
        <v>3126</v>
      </c>
      <c r="M522" s="14">
        <f>Master_Table[[#This Row],[Expense Budget]]-Master_Table[[#This Row],[Actual Expense]]</f>
        <v>200</v>
      </c>
      <c r="N522" s="16">
        <f t="shared" si="83"/>
        <v>7326</v>
      </c>
      <c r="O522" s="29">
        <f t="shared" si="80"/>
        <v>4000</v>
      </c>
      <c r="P522" s="16">
        <f t="shared" si="81"/>
        <v>3326</v>
      </c>
      <c r="Q522" s="28">
        <f>Master_Table[[#This Row],[△Sales Variance]]/Master_Table[[#This Row],[Sales Budget]]</f>
        <v>0.62519999999999998</v>
      </c>
      <c r="R522" s="28">
        <f>Master_Table[[#This Row],[△Expense  Variance]]/Master_Table[[#This Row],[Expense Budget]]</f>
        <v>0.2</v>
      </c>
      <c r="S522" s="28">
        <f>Master_Table[[#This Row],[Net Profit Variance]]/Master_Table[[#This Row],[Budget Net Profit]]</f>
        <v>0.83150000000000002</v>
      </c>
      <c r="T522" s="28">
        <f>Master_Table[[#This Row],[Actual Net Profit]]/Master_Table[[#This Row],[Actual Sales]]</f>
        <v>0.90155057839035191</v>
      </c>
      <c r="U522" s="28" t="str">
        <f>_xlfn.TEXTJOIN(" - ", TRUE, Master_Table[[#This Row],[Product]], Master_Table[[#This Row],[Branch]])</f>
        <v>Kiwi - Kaduna</v>
      </c>
    </row>
    <row r="523" spans="1:21" ht="14.4" x14ac:dyDescent="0.3">
      <c r="A523" s="2">
        <v>522</v>
      </c>
      <c r="B523" s="2">
        <f t="shared" si="77"/>
        <v>108</v>
      </c>
      <c r="C523" s="1" t="str">
        <f>VLOOKUP(B523,Products!A:C,2,FALSE)</f>
        <v>Kiwi</v>
      </c>
      <c r="D523" s="1" t="str">
        <f t="shared" si="78"/>
        <v>Kaduna</v>
      </c>
      <c r="E523" s="4" t="str">
        <f>_xlfn.XLOOKUP(D523,'Sales Manager'!$A$2:$A$6,'Sales Manager'!$B$2:$B$6,"")</f>
        <v>Musa Garba</v>
      </c>
      <c r="F523" s="3">
        <f t="shared" si="79"/>
        <v>6</v>
      </c>
      <c r="G523" s="1" t="str">
        <f t="shared" si="79"/>
        <v>Jun</v>
      </c>
      <c r="H523" s="11">
        <v>1000</v>
      </c>
      <c r="I523" s="11">
        <v>5346</v>
      </c>
      <c r="J523" s="11" cm="1">
        <f t="array" ref="J523">_xlfn.XLOOKUP(C523&amp;D523&amp;F523,Expense!$C$2:$C$601&amp;Expense!$D$2:$D$601&amp;Expense!$E$2:$E$601,Expense!$G$2:$G$601,"")</f>
        <v>333.33333333333331</v>
      </c>
      <c r="K523" s="11" cm="1">
        <f t="array" ref="K523">_xlfn.XLOOKUP(C523&amp;D523&amp;F523,Expense!$C$2:$C$601&amp;Expense!$D$2:$D$601&amp;Expense!$E$2:$E$601,Expense!$H$2:$H$601,"")</f>
        <v>166.66666666666669</v>
      </c>
      <c r="L523" s="14">
        <f t="shared" si="82"/>
        <v>4346</v>
      </c>
      <c r="M523" s="14">
        <f>Master_Table[[#This Row],[Expense Budget]]-Master_Table[[#This Row],[Actual Expense]]</f>
        <v>166.66666666666663</v>
      </c>
      <c r="N523" s="16">
        <f t="shared" si="83"/>
        <v>5179.333333333333</v>
      </c>
      <c r="O523" s="29">
        <f t="shared" si="80"/>
        <v>666.66666666666674</v>
      </c>
      <c r="P523" s="16">
        <f t="shared" si="81"/>
        <v>4512.6666666666661</v>
      </c>
      <c r="Q523" s="28">
        <f>Master_Table[[#This Row],[△Sales Variance]]/Master_Table[[#This Row],[Sales Budget]]</f>
        <v>4.3460000000000001</v>
      </c>
      <c r="R523" s="28">
        <f>Master_Table[[#This Row],[△Expense  Variance]]/Master_Table[[#This Row],[Expense Budget]]</f>
        <v>0.49999999999999989</v>
      </c>
      <c r="S523" s="28">
        <f>Master_Table[[#This Row],[Net Profit Variance]]/Master_Table[[#This Row],[Budget Net Profit]]</f>
        <v>6.7689999999999984</v>
      </c>
      <c r="T523" s="28">
        <f>Master_Table[[#This Row],[Actual Net Profit]]/Master_Table[[#This Row],[Actual Sales]]</f>
        <v>0.96882404289811697</v>
      </c>
      <c r="U523" s="28" t="str">
        <f>_xlfn.TEXTJOIN(" - ", TRUE, Master_Table[[#This Row],[Product]], Master_Table[[#This Row],[Branch]])</f>
        <v>Kiwi - Kaduna</v>
      </c>
    </row>
    <row r="524" spans="1:21" ht="14.4" x14ac:dyDescent="0.3">
      <c r="A524" s="2">
        <v>523</v>
      </c>
      <c r="B524" s="2">
        <f t="shared" si="77"/>
        <v>108</v>
      </c>
      <c r="C524" s="1" t="str">
        <f>VLOOKUP(B524,Products!A:C,2,FALSE)</f>
        <v>Kiwi</v>
      </c>
      <c r="D524" s="1" t="str">
        <f t="shared" si="78"/>
        <v>Kaduna</v>
      </c>
      <c r="E524" s="4" t="str">
        <f>_xlfn.XLOOKUP(D524,'Sales Manager'!$A$2:$A$6,'Sales Manager'!$B$2:$B$6,"")</f>
        <v>Musa Garba</v>
      </c>
      <c r="F524" s="3">
        <f t="shared" si="79"/>
        <v>7</v>
      </c>
      <c r="G524" s="1" t="str">
        <f t="shared" si="79"/>
        <v>Jul</v>
      </c>
      <c r="H524" s="11">
        <v>1000</v>
      </c>
      <c r="I524" s="11">
        <v>4274</v>
      </c>
      <c r="J524" s="11" cm="1">
        <f t="array" ref="J524">_xlfn.XLOOKUP(C524&amp;D524&amp;F524,Expense!$C$2:$C$601&amp;Expense!$D$2:$D$601&amp;Expense!$E$2:$E$601,Expense!$G$2:$G$601,"")</f>
        <v>200</v>
      </c>
      <c r="K524" s="11" cm="1">
        <f t="array" ref="K524">_xlfn.XLOOKUP(C524&amp;D524&amp;F524,Expense!$C$2:$C$601&amp;Expense!$D$2:$D$601&amp;Expense!$E$2:$E$601,Expense!$H$2:$H$601,"")</f>
        <v>400</v>
      </c>
      <c r="L524" s="14">
        <f t="shared" si="82"/>
        <v>3274</v>
      </c>
      <c r="M524" s="14">
        <f>Master_Table[[#This Row],[Expense Budget]]-Master_Table[[#This Row],[Actual Expense]]</f>
        <v>-200</v>
      </c>
      <c r="N524" s="16">
        <f t="shared" si="83"/>
        <v>3874</v>
      </c>
      <c r="O524" s="29">
        <f t="shared" si="80"/>
        <v>800</v>
      </c>
      <c r="P524" s="16">
        <f t="shared" si="81"/>
        <v>3074</v>
      </c>
      <c r="Q524" s="28">
        <f>Master_Table[[#This Row],[△Sales Variance]]/Master_Table[[#This Row],[Sales Budget]]</f>
        <v>3.274</v>
      </c>
      <c r="R524" s="28">
        <f>Master_Table[[#This Row],[△Expense  Variance]]/Master_Table[[#This Row],[Expense Budget]]</f>
        <v>-1</v>
      </c>
      <c r="S524" s="28">
        <f>Master_Table[[#This Row],[Net Profit Variance]]/Master_Table[[#This Row],[Budget Net Profit]]</f>
        <v>3.8424999999999998</v>
      </c>
      <c r="T524" s="28">
        <f>Master_Table[[#This Row],[Actual Net Profit]]/Master_Table[[#This Row],[Actual Sales]]</f>
        <v>0.90641085634066443</v>
      </c>
      <c r="U524" s="28" t="str">
        <f>_xlfn.TEXTJOIN(" - ", TRUE, Master_Table[[#This Row],[Product]], Master_Table[[#This Row],[Branch]])</f>
        <v>Kiwi - Kaduna</v>
      </c>
    </row>
    <row r="525" spans="1:21" ht="14.4" x14ac:dyDescent="0.3">
      <c r="A525" s="2">
        <v>524</v>
      </c>
      <c r="B525" s="2">
        <f t="shared" si="77"/>
        <v>108</v>
      </c>
      <c r="C525" s="1" t="str">
        <f>VLOOKUP(B525,Products!A:C,2,FALSE)</f>
        <v>Kiwi</v>
      </c>
      <c r="D525" s="1" t="str">
        <f t="shared" si="78"/>
        <v>Kaduna</v>
      </c>
      <c r="E525" s="4" t="str">
        <f>_xlfn.XLOOKUP(D525,'Sales Manager'!$A$2:$A$6,'Sales Manager'!$B$2:$B$6,"")</f>
        <v>Musa Garba</v>
      </c>
      <c r="F525" s="3">
        <f t="shared" si="79"/>
        <v>8</v>
      </c>
      <c r="G525" s="1" t="str">
        <f t="shared" si="79"/>
        <v>Aug</v>
      </c>
      <c r="H525" s="11">
        <v>3000</v>
      </c>
      <c r="I525" s="11">
        <v>3957</v>
      </c>
      <c r="J525" s="11" cm="1">
        <f t="array" ref="J525">_xlfn.XLOOKUP(C525&amp;D525&amp;F525,Expense!$C$2:$C$601&amp;Expense!$D$2:$D$601&amp;Expense!$E$2:$E$601,Expense!$G$2:$G$601,"")</f>
        <v>600</v>
      </c>
      <c r="K525" s="11" cm="1">
        <f t="array" ref="K525">_xlfn.XLOOKUP(C525&amp;D525&amp;F525,Expense!$C$2:$C$601&amp;Expense!$D$2:$D$601&amp;Expense!$E$2:$E$601,Expense!$H$2:$H$601,"")</f>
        <v>600</v>
      </c>
      <c r="L525" s="14">
        <f t="shared" si="82"/>
        <v>957</v>
      </c>
      <c r="M525" s="14">
        <f>Master_Table[[#This Row],[Expense Budget]]-Master_Table[[#This Row],[Actual Expense]]</f>
        <v>0</v>
      </c>
      <c r="N525" s="16">
        <f t="shared" si="83"/>
        <v>3357</v>
      </c>
      <c r="O525" s="29">
        <f t="shared" si="80"/>
        <v>2400</v>
      </c>
      <c r="P525" s="16">
        <f t="shared" si="81"/>
        <v>957</v>
      </c>
      <c r="Q525" s="28">
        <f>Master_Table[[#This Row],[△Sales Variance]]/Master_Table[[#This Row],[Sales Budget]]</f>
        <v>0.31900000000000001</v>
      </c>
      <c r="R525" s="28">
        <f>Master_Table[[#This Row],[△Expense  Variance]]/Master_Table[[#This Row],[Expense Budget]]</f>
        <v>0</v>
      </c>
      <c r="S525" s="28">
        <f>Master_Table[[#This Row],[Net Profit Variance]]/Master_Table[[#This Row],[Budget Net Profit]]</f>
        <v>0.39874999999999999</v>
      </c>
      <c r="T525" s="28">
        <f>Master_Table[[#This Row],[Actual Net Profit]]/Master_Table[[#This Row],[Actual Sales]]</f>
        <v>0.84836997725549657</v>
      </c>
      <c r="U525" s="28" t="str">
        <f>_xlfn.TEXTJOIN(" - ", TRUE, Master_Table[[#This Row],[Product]], Master_Table[[#This Row],[Branch]])</f>
        <v>Kiwi - Kaduna</v>
      </c>
    </row>
    <row r="526" spans="1:21" ht="14.4" x14ac:dyDescent="0.3">
      <c r="A526" s="2">
        <v>525</v>
      </c>
      <c r="B526" s="2">
        <f t="shared" si="77"/>
        <v>108</v>
      </c>
      <c r="C526" s="1" t="str">
        <f>VLOOKUP(B526,Products!A:C,2,FALSE)</f>
        <v>Kiwi</v>
      </c>
      <c r="D526" s="1" t="str">
        <f t="shared" si="78"/>
        <v>Kaduna</v>
      </c>
      <c r="E526" s="4" t="str">
        <f>_xlfn.XLOOKUP(D526,'Sales Manager'!$A$2:$A$6,'Sales Manager'!$B$2:$B$6,"")</f>
        <v>Musa Garba</v>
      </c>
      <c r="F526" s="3">
        <f t="shared" si="79"/>
        <v>9</v>
      </c>
      <c r="G526" s="1" t="str">
        <f t="shared" si="79"/>
        <v>Sept</v>
      </c>
      <c r="H526" s="11">
        <v>6000</v>
      </c>
      <c r="I526" s="11">
        <v>5436</v>
      </c>
      <c r="J526" s="11" cm="1">
        <f t="array" ref="J526">_xlfn.XLOOKUP(C526&amp;D526&amp;F526,Expense!$C$2:$C$601&amp;Expense!$D$2:$D$601&amp;Expense!$E$2:$E$601,Expense!$G$2:$G$601,"")</f>
        <v>3000</v>
      </c>
      <c r="K526" s="11" cm="1">
        <f t="array" ref="K526">_xlfn.XLOOKUP(C526&amp;D526&amp;F526,Expense!$C$2:$C$601&amp;Expense!$D$2:$D$601&amp;Expense!$E$2:$E$601,Expense!$H$2:$H$601,"")</f>
        <v>2700</v>
      </c>
      <c r="L526" s="14">
        <f t="shared" si="82"/>
        <v>-564</v>
      </c>
      <c r="M526" s="14">
        <f>Master_Table[[#This Row],[Expense Budget]]-Master_Table[[#This Row],[Actual Expense]]</f>
        <v>300</v>
      </c>
      <c r="N526" s="16">
        <f t="shared" si="83"/>
        <v>2736</v>
      </c>
      <c r="O526" s="29">
        <f t="shared" si="80"/>
        <v>3000</v>
      </c>
      <c r="P526" s="16">
        <f t="shared" si="81"/>
        <v>-264</v>
      </c>
      <c r="Q526" s="28">
        <f>Master_Table[[#This Row],[△Sales Variance]]/Master_Table[[#This Row],[Sales Budget]]</f>
        <v>-9.4E-2</v>
      </c>
      <c r="R526" s="28">
        <f>Master_Table[[#This Row],[△Expense  Variance]]/Master_Table[[#This Row],[Expense Budget]]</f>
        <v>0.1</v>
      </c>
      <c r="S526" s="28">
        <f>Master_Table[[#This Row],[Net Profit Variance]]/Master_Table[[#This Row],[Budget Net Profit]]</f>
        <v>-8.7999999999999995E-2</v>
      </c>
      <c r="T526" s="28">
        <f>Master_Table[[#This Row],[Actual Net Profit]]/Master_Table[[#This Row],[Actual Sales]]</f>
        <v>0.50331125827814571</v>
      </c>
      <c r="U526" s="28" t="str">
        <f>_xlfn.TEXTJOIN(" - ", TRUE, Master_Table[[#This Row],[Product]], Master_Table[[#This Row],[Branch]])</f>
        <v>Kiwi - Kaduna</v>
      </c>
    </row>
    <row r="527" spans="1:21" ht="14.4" x14ac:dyDescent="0.3">
      <c r="A527" s="2">
        <v>526</v>
      </c>
      <c r="B527" s="2">
        <f t="shared" si="77"/>
        <v>108</v>
      </c>
      <c r="C527" s="1" t="str">
        <f>VLOOKUP(B527,Products!A:C,2,FALSE)</f>
        <v>Kiwi</v>
      </c>
      <c r="D527" s="1" t="str">
        <f t="shared" si="78"/>
        <v>Kaduna</v>
      </c>
      <c r="E527" s="4" t="str">
        <f>_xlfn.XLOOKUP(D527,'Sales Manager'!$A$2:$A$6,'Sales Manager'!$B$2:$B$6,"")</f>
        <v>Musa Garba</v>
      </c>
      <c r="F527" s="3">
        <f t="shared" ref="F527:G542" si="84">F515</f>
        <v>10</v>
      </c>
      <c r="G527" s="1" t="str">
        <f t="shared" si="84"/>
        <v>Oct</v>
      </c>
      <c r="H527" s="11">
        <v>5000</v>
      </c>
      <c r="I527" s="11">
        <v>9187</v>
      </c>
      <c r="J527" s="11" cm="1">
        <f t="array" ref="J527">_xlfn.XLOOKUP(C527&amp;D527&amp;F527,Expense!$C$2:$C$601&amp;Expense!$D$2:$D$601&amp;Expense!$E$2:$E$601,Expense!$G$2:$G$601,"")</f>
        <v>1666.6666666666667</v>
      </c>
      <c r="K527" s="11" cm="1">
        <f t="array" ref="K527">_xlfn.XLOOKUP(C527&amp;D527&amp;F527,Expense!$C$2:$C$601&amp;Expense!$D$2:$D$601&amp;Expense!$E$2:$E$601,Expense!$H$2:$H$601,"")</f>
        <v>866.66666666666674</v>
      </c>
      <c r="L527" s="14">
        <f t="shared" si="82"/>
        <v>4187</v>
      </c>
      <c r="M527" s="14">
        <f>Master_Table[[#This Row],[Expense Budget]]-Master_Table[[#This Row],[Actual Expense]]</f>
        <v>800</v>
      </c>
      <c r="N527" s="16">
        <f t="shared" si="83"/>
        <v>8320.3333333333339</v>
      </c>
      <c r="O527" s="29">
        <f t="shared" si="80"/>
        <v>3333.333333333333</v>
      </c>
      <c r="P527" s="16">
        <f t="shared" si="81"/>
        <v>4987.0000000000009</v>
      </c>
      <c r="Q527" s="28">
        <f>Master_Table[[#This Row],[△Sales Variance]]/Master_Table[[#This Row],[Sales Budget]]</f>
        <v>0.83740000000000003</v>
      </c>
      <c r="R527" s="28">
        <f>Master_Table[[#This Row],[△Expense  Variance]]/Master_Table[[#This Row],[Expense Budget]]</f>
        <v>0.48</v>
      </c>
      <c r="S527" s="28">
        <f>Master_Table[[#This Row],[Net Profit Variance]]/Master_Table[[#This Row],[Budget Net Profit]]</f>
        <v>1.4961000000000004</v>
      </c>
      <c r="T527" s="28">
        <f>Master_Table[[#This Row],[Actual Net Profit]]/Master_Table[[#This Row],[Actual Sales]]</f>
        <v>0.90566380029752191</v>
      </c>
      <c r="U527" s="28" t="str">
        <f>_xlfn.TEXTJOIN(" - ", TRUE, Master_Table[[#This Row],[Product]], Master_Table[[#This Row],[Branch]])</f>
        <v>Kiwi - Kaduna</v>
      </c>
    </row>
    <row r="528" spans="1:21" ht="14.4" x14ac:dyDescent="0.3">
      <c r="A528" s="2">
        <v>527</v>
      </c>
      <c r="B528" s="2">
        <f t="shared" si="77"/>
        <v>108</v>
      </c>
      <c r="C528" s="1" t="str">
        <f>VLOOKUP(B528,Products!A:C,2,FALSE)</f>
        <v>Kiwi</v>
      </c>
      <c r="D528" s="1" t="str">
        <f t="shared" si="78"/>
        <v>Kaduna</v>
      </c>
      <c r="E528" s="4" t="str">
        <f>_xlfn.XLOOKUP(D528,'Sales Manager'!$A$2:$A$6,'Sales Manager'!$B$2:$B$6,"")</f>
        <v>Musa Garba</v>
      </c>
      <c r="F528" s="3">
        <f t="shared" si="84"/>
        <v>11</v>
      </c>
      <c r="G528" s="1" t="str">
        <f t="shared" si="84"/>
        <v>Nov</v>
      </c>
      <c r="H528" s="11">
        <v>5000</v>
      </c>
      <c r="I528" s="11">
        <v>2412</v>
      </c>
      <c r="J528" s="11" cm="1">
        <f t="array" ref="J528">_xlfn.XLOOKUP(C528&amp;D528&amp;F528,Expense!$C$2:$C$601&amp;Expense!$D$2:$D$601&amp;Expense!$E$2:$E$601,Expense!$G$2:$G$601,"")</f>
        <v>1000</v>
      </c>
      <c r="K528" s="11" cm="1">
        <f t="array" ref="K528">_xlfn.XLOOKUP(C528&amp;D528&amp;F528,Expense!$C$2:$C$601&amp;Expense!$D$2:$D$601&amp;Expense!$E$2:$E$601,Expense!$H$2:$H$601,"")</f>
        <v>400</v>
      </c>
      <c r="L528" s="14">
        <f t="shared" si="82"/>
        <v>-2588</v>
      </c>
      <c r="M528" s="14">
        <f>Master_Table[[#This Row],[Expense Budget]]-Master_Table[[#This Row],[Actual Expense]]</f>
        <v>600</v>
      </c>
      <c r="N528" s="16">
        <f t="shared" si="83"/>
        <v>2012</v>
      </c>
      <c r="O528" s="29">
        <f t="shared" si="80"/>
        <v>4000</v>
      </c>
      <c r="P528" s="16">
        <f t="shared" si="81"/>
        <v>-1988</v>
      </c>
      <c r="Q528" s="28">
        <f>Master_Table[[#This Row],[△Sales Variance]]/Master_Table[[#This Row],[Sales Budget]]</f>
        <v>-0.51759999999999995</v>
      </c>
      <c r="R528" s="28">
        <f>Master_Table[[#This Row],[△Expense  Variance]]/Master_Table[[#This Row],[Expense Budget]]</f>
        <v>0.6</v>
      </c>
      <c r="S528" s="28">
        <f>Master_Table[[#This Row],[Net Profit Variance]]/Master_Table[[#This Row],[Budget Net Profit]]</f>
        <v>-0.497</v>
      </c>
      <c r="T528" s="28">
        <f>Master_Table[[#This Row],[Actual Net Profit]]/Master_Table[[#This Row],[Actual Sales]]</f>
        <v>0.83416252072968489</v>
      </c>
      <c r="U528" s="28" t="str">
        <f>_xlfn.TEXTJOIN(" - ", TRUE, Master_Table[[#This Row],[Product]], Master_Table[[#This Row],[Branch]])</f>
        <v>Kiwi - Kaduna</v>
      </c>
    </row>
    <row r="529" spans="1:21" ht="14.4" x14ac:dyDescent="0.3">
      <c r="A529" s="2">
        <v>528</v>
      </c>
      <c r="B529" s="2">
        <f t="shared" si="77"/>
        <v>108</v>
      </c>
      <c r="C529" s="1" t="str">
        <f>VLOOKUP(B529,Products!A:C,2,FALSE)</f>
        <v>Kiwi</v>
      </c>
      <c r="D529" s="1" t="str">
        <f t="shared" si="78"/>
        <v>Kaduna</v>
      </c>
      <c r="E529" s="4" t="str">
        <f>_xlfn.XLOOKUP(D529,'Sales Manager'!$A$2:$A$6,'Sales Manager'!$B$2:$B$6,"")</f>
        <v>Musa Garba</v>
      </c>
      <c r="F529" s="3">
        <f t="shared" si="84"/>
        <v>12</v>
      </c>
      <c r="G529" s="1" t="str">
        <f t="shared" si="84"/>
        <v>Dec</v>
      </c>
      <c r="H529" s="11">
        <v>4000</v>
      </c>
      <c r="I529" s="11">
        <v>2635</v>
      </c>
      <c r="J529" s="11" cm="1">
        <f t="array" ref="J529">_xlfn.XLOOKUP(C529&amp;D529&amp;F529,Expense!$C$2:$C$601&amp;Expense!$D$2:$D$601&amp;Expense!$E$2:$E$601,Expense!$G$2:$G$601,"")</f>
        <v>1333.3333333333333</v>
      </c>
      <c r="K529" s="11" cm="1">
        <f t="array" ref="K529">_xlfn.XLOOKUP(C529&amp;D529&amp;F529,Expense!$C$2:$C$601&amp;Expense!$D$2:$D$601&amp;Expense!$E$2:$E$601,Expense!$H$2:$H$601,"")</f>
        <v>833.33333333333326</v>
      </c>
      <c r="L529" s="14">
        <f t="shared" si="82"/>
        <v>-1365</v>
      </c>
      <c r="M529" s="14">
        <f>Master_Table[[#This Row],[Expense Budget]]-Master_Table[[#This Row],[Actual Expense]]</f>
        <v>500</v>
      </c>
      <c r="N529" s="16">
        <f t="shared" si="83"/>
        <v>1801.6666666666667</v>
      </c>
      <c r="O529" s="29">
        <f t="shared" si="80"/>
        <v>2666.666666666667</v>
      </c>
      <c r="P529" s="16">
        <f t="shared" si="81"/>
        <v>-865.00000000000023</v>
      </c>
      <c r="Q529" s="28">
        <f>Master_Table[[#This Row],[△Sales Variance]]/Master_Table[[#This Row],[Sales Budget]]</f>
        <v>-0.34125</v>
      </c>
      <c r="R529" s="28">
        <f>Master_Table[[#This Row],[△Expense  Variance]]/Master_Table[[#This Row],[Expense Budget]]</f>
        <v>0.375</v>
      </c>
      <c r="S529" s="28">
        <f>Master_Table[[#This Row],[Net Profit Variance]]/Master_Table[[#This Row],[Budget Net Profit]]</f>
        <v>-0.32437500000000002</v>
      </c>
      <c r="T529" s="28">
        <f>Master_Table[[#This Row],[Actual Net Profit]]/Master_Table[[#This Row],[Actual Sales]]</f>
        <v>0.68374446552814672</v>
      </c>
      <c r="U529" s="28" t="str">
        <f>_xlfn.TEXTJOIN(" - ", TRUE, Master_Table[[#This Row],[Product]], Master_Table[[#This Row],[Branch]])</f>
        <v>Kiwi - Kaduna</v>
      </c>
    </row>
    <row r="530" spans="1:21" ht="14.4" x14ac:dyDescent="0.3">
      <c r="A530" s="2">
        <v>529</v>
      </c>
      <c r="B530" s="2">
        <f t="shared" si="77"/>
        <v>108</v>
      </c>
      <c r="C530" s="1" t="str">
        <f>VLOOKUP(B530,Products!A:C,2,FALSE)</f>
        <v>Kiwi</v>
      </c>
      <c r="D530" s="1" t="str">
        <f t="shared" si="78"/>
        <v>Ibadan</v>
      </c>
      <c r="E530" s="4" t="str">
        <f>_xlfn.XLOOKUP(D530,'Sales Manager'!$A$2:$A$6,'Sales Manager'!$B$2:$B$6,"")</f>
        <v>Funmi Adeyemi</v>
      </c>
      <c r="F530" s="3">
        <f t="shared" si="84"/>
        <v>1</v>
      </c>
      <c r="G530" s="1" t="str">
        <f t="shared" si="84"/>
        <v>Jan</v>
      </c>
      <c r="H530" s="11">
        <v>5000</v>
      </c>
      <c r="I530" s="11">
        <v>5171</v>
      </c>
      <c r="J530" s="11" cm="1">
        <f t="array" ref="J530">_xlfn.XLOOKUP(C530&amp;D530&amp;F530,Expense!$C$2:$C$601&amp;Expense!$D$2:$D$601&amp;Expense!$E$2:$E$601,Expense!$G$2:$G$601,"")</f>
        <v>1666.6666666666667</v>
      </c>
      <c r="K530" s="11" cm="1">
        <f t="array" ref="K530">_xlfn.XLOOKUP(C530&amp;D530&amp;F530,Expense!$C$2:$C$601&amp;Expense!$D$2:$D$601&amp;Expense!$E$2:$E$601,Expense!$H$2:$H$601,"")</f>
        <v>1366.6666666666667</v>
      </c>
      <c r="L530" s="14">
        <f t="shared" si="82"/>
        <v>171</v>
      </c>
      <c r="M530" s="14">
        <f>Master_Table[[#This Row],[Expense Budget]]-Master_Table[[#This Row],[Actual Expense]]</f>
        <v>300</v>
      </c>
      <c r="N530" s="16">
        <f t="shared" si="83"/>
        <v>3804.333333333333</v>
      </c>
      <c r="O530" s="29">
        <f t="shared" si="80"/>
        <v>3333.333333333333</v>
      </c>
      <c r="P530" s="16">
        <f t="shared" si="81"/>
        <v>471</v>
      </c>
      <c r="Q530" s="28">
        <f>Master_Table[[#This Row],[△Sales Variance]]/Master_Table[[#This Row],[Sales Budget]]</f>
        <v>3.4200000000000001E-2</v>
      </c>
      <c r="R530" s="28">
        <f>Master_Table[[#This Row],[△Expense  Variance]]/Master_Table[[#This Row],[Expense Budget]]</f>
        <v>0.18</v>
      </c>
      <c r="S530" s="28">
        <f>Master_Table[[#This Row],[Net Profit Variance]]/Master_Table[[#This Row],[Budget Net Profit]]</f>
        <v>0.14130000000000001</v>
      </c>
      <c r="T530" s="28">
        <f>Master_Table[[#This Row],[Actual Net Profit]]/Master_Table[[#This Row],[Actual Sales]]</f>
        <v>0.73570553729130406</v>
      </c>
      <c r="U530" s="28" t="str">
        <f>_xlfn.TEXTJOIN(" - ", TRUE, Master_Table[[#This Row],[Product]], Master_Table[[#This Row],[Branch]])</f>
        <v>Kiwi - Ibadan</v>
      </c>
    </row>
    <row r="531" spans="1:21" ht="14.4" x14ac:dyDescent="0.3">
      <c r="A531" s="2">
        <v>530</v>
      </c>
      <c r="B531" s="2">
        <f t="shared" si="77"/>
        <v>108</v>
      </c>
      <c r="C531" s="1" t="str">
        <f>VLOOKUP(B531,Products!A:C,2,FALSE)</f>
        <v>Kiwi</v>
      </c>
      <c r="D531" s="1" t="str">
        <f t="shared" si="78"/>
        <v>Ibadan</v>
      </c>
      <c r="E531" s="4" t="str">
        <f>_xlfn.XLOOKUP(D531,'Sales Manager'!$A$2:$A$6,'Sales Manager'!$B$2:$B$6,"")</f>
        <v>Funmi Adeyemi</v>
      </c>
      <c r="F531" s="3">
        <f t="shared" si="84"/>
        <v>2</v>
      </c>
      <c r="G531" s="1" t="str">
        <f t="shared" si="84"/>
        <v>Feb</v>
      </c>
      <c r="H531" s="11">
        <v>1000</v>
      </c>
      <c r="I531" s="11">
        <v>7381</v>
      </c>
      <c r="J531" s="11" cm="1">
        <f t="array" ref="J531">_xlfn.XLOOKUP(C531&amp;D531&amp;F531,Expense!$C$2:$C$601&amp;Expense!$D$2:$D$601&amp;Expense!$E$2:$E$601,Expense!$G$2:$G$601,"")</f>
        <v>333.33333333333331</v>
      </c>
      <c r="K531" s="11" cm="1">
        <f t="array" ref="K531">_xlfn.XLOOKUP(C531&amp;D531&amp;F531,Expense!$C$2:$C$601&amp;Expense!$D$2:$D$601&amp;Expense!$E$2:$E$601,Expense!$H$2:$H$601,"")</f>
        <v>166.66666666666669</v>
      </c>
      <c r="L531" s="14">
        <f t="shared" si="82"/>
        <v>6381</v>
      </c>
      <c r="M531" s="14">
        <f>Master_Table[[#This Row],[Expense Budget]]-Master_Table[[#This Row],[Actual Expense]]</f>
        <v>166.66666666666663</v>
      </c>
      <c r="N531" s="16">
        <f t="shared" si="83"/>
        <v>7214.333333333333</v>
      </c>
      <c r="O531" s="29">
        <f t="shared" si="80"/>
        <v>666.66666666666674</v>
      </c>
      <c r="P531" s="16">
        <f t="shared" si="81"/>
        <v>6547.6666666666661</v>
      </c>
      <c r="Q531" s="28">
        <f>Master_Table[[#This Row],[△Sales Variance]]/Master_Table[[#This Row],[Sales Budget]]</f>
        <v>6.3810000000000002</v>
      </c>
      <c r="R531" s="28">
        <f>Master_Table[[#This Row],[△Expense  Variance]]/Master_Table[[#This Row],[Expense Budget]]</f>
        <v>0.49999999999999989</v>
      </c>
      <c r="S531" s="28">
        <f>Master_Table[[#This Row],[Net Profit Variance]]/Master_Table[[#This Row],[Budget Net Profit]]</f>
        <v>9.8214999999999986</v>
      </c>
      <c r="T531" s="28">
        <f>Master_Table[[#This Row],[Actual Net Profit]]/Master_Table[[#This Row],[Actual Sales]]</f>
        <v>0.97741950051935145</v>
      </c>
      <c r="U531" s="28" t="str">
        <f>_xlfn.TEXTJOIN(" - ", TRUE, Master_Table[[#This Row],[Product]], Master_Table[[#This Row],[Branch]])</f>
        <v>Kiwi - Ibadan</v>
      </c>
    </row>
    <row r="532" spans="1:21" ht="14.4" x14ac:dyDescent="0.3">
      <c r="A532" s="2">
        <v>531</v>
      </c>
      <c r="B532" s="2">
        <f t="shared" si="77"/>
        <v>108</v>
      </c>
      <c r="C532" s="1" t="str">
        <f>VLOOKUP(B532,Products!A:C,2,FALSE)</f>
        <v>Kiwi</v>
      </c>
      <c r="D532" s="1" t="str">
        <f t="shared" si="78"/>
        <v>Ibadan</v>
      </c>
      <c r="E532" s="4" t="str">
        <f>_xlfn.XLOOKUP(D532,'Sales Manager'!$A$2:$A$6,'Sales Manager'!$B$2:$B$6,"")</f>
        <v>Funmi Adeyemi</v>
      </c>
      <c r="F532" s="3">
        <f t="shared" si="84"/>
        <v>3</v>
      </c>
      <c r="G532" s="1" t="str">
        <f t="shared" si="84"/>
        <v>Mar</v>
      </c>
      <c r="H532" s="11">
        <v>4000</v>
      </c>
      <c r="I532" s="11">
        <v>6255</v>
      </c>
      <c r="J532" s="11" cm="1">
        <f t="array" ref="J532">_xlfn.XLOOKUP(C532&amp;D532&amp;F532,Expense!$C$2:$C$601&amp;Expense!$D$2:$D$601&amp;Expense!$E$2:$E$601,Expense!$G$2:$G$601,"")</f>
        <v>1000</v>
      </c>
      <c r="K532" s="11" cm="1">
        <f t="array" ref="K532">_xlfn.XLOOKUP(C532&amp;D532&amp;F532,Expense!$C$2:$C$601&amp;Expense!$D$2:$D$601&amp;Expense!$E$2:$E$601,Expense!$H$2:$H$601,"")</f>
        <v>900</v>
      </c>
      <c r="L532" s="14">
        <f t="shared" si="82"/>
        <v>2255</v>
      </c>
      <c r="M532" s="14">
        <f>Master_Table[[#This Row],[Expense Budget]]-Master_Table[[#This Row],[Actual Expense]]</f>
        <v>100</v>
      </c>
      <c r="N532" s="16">
        <f t="shared" si="83"/>
        <v>5355</v>
      </c>
      <c r="O532" s="29">
        <f t="shared" si="80"/>
        <v>3000</v>
      </c>
      <c r="P532" s="16">
        <f t="shared" si="81"/>
        <v>2355</v>
      </c>
      <c r="Q532" s="28">
        <f>Master_Table[[#This Row],[△Sales Variance]]/Master_Table[[#This Row],[Sales Budget]]</f>
        <v>0.56374999999999997</v>
      </c>
      <c r="R532" s="28">
        <f>Master_Table[[#This Row],[△Expense  Variance]]/Master_Table[[#This Row],[Expense Budget]]</f>
        <v>0.1</v>
      </c>
      <c r="S532" s="28">
        <f>Master_Table[[#This Row],[Net Profit Variance]]/Master_Table[[#This Row],[Budget Net Profit]]</f>
        <v>0.78500000000000003</v>
      </c>
      <c r="T532" s="28">
        <f>Master_Table[[#This Row],[Actual Net Profit]]/Master_Table[[#This Row],[Actual Sales]]</f>
        <v>0.85611510791366907</v>
      </c>
      <c r="U532" s="28" t="str">
        <f>_xlfn.TEXTJOIN(" - ", TRUE, Master_Table[[#This Row],[Product]], Master_Table[[#This Row],[Branch]])</f>
        <v>Kiwi - Ibadan</v>
      </c>
    </row>
    <row r="533" spans="1:21" ht="14.4" x14ac:dyDescent="0.3">
      <c r="A533" s="2">
        <v>532</v>
      </c>
      <c r="B533" s="2">
        <f t="shared" si="77"/>
        <v>108</v>
      </c>
      <c r="C533" s="1" t="str">
        <f>VLOOKUP(B533,Products!A:C,2,FALSE)</f>
        <v>Kiwi</v>
      </c>
      <c r="D533" s="1" t="str">
        <f t="shared" si="78"/>
        <v>Ibadan</v>
      </c>
      <c r="E533" s="4" t="str">
        <f>_xlfn.XLOOKUP(D533,'Sales Manager'!$A$2:$A$6,'Sales Manager'!$B$2:$B$6,"")</f>
        <v>Funmi Adeyemi</v>
      </c>
      <c r="F533" s="3">
        <f t="shared" si="84"/>
        <v>4</v>
      </c>
      <c r="G533" s="1" t="str">
        <f t="shared" si="84"/>
        <v>Apr</v>
      </c>
      <c r="H533" s="11">
        <v>6000</v>
      </c>
      <c r="I533" s="11">
        <v>3425</v>
      </c>
      <c r="J533" s="11" cm="1">
        <f t="array" ref="J533">_xlfn.XLOOKUP(C533&amp;D533&amp;F533,Expense!$C$2:$C$601&amp;Expense!$D$2:$D$601&amp;Expense!$E$2:$E$601,Expense!$G$2:$G$601,"")</f>
        <v>2000</v>
      </c>
      <c r="K533" s="11" cm="1">
        <f t="array" ref="K533">_xlfn.XLOOKUP(C533&amp;D533&amp;F533,Expense!$C$2:$C$601&amp;Expense!$D$2:$D$601&amp;Expense!$E$2:$E$601,Expense!$H$2:$H$601,"")</f>
        <v>2000</v>
      </c>
      <c r="L533" s="14">
        <f t="shared" si="82"/>
        <v>-2575</v>
      </c>
      <c r="M533" s="14">
        <f>Master_Table[[#This Row],[Expense Budget]]-Master_Table[[#This Row],[Actual Expense]]</f>
        <v>0</v>
      </c>
      <c r="N533" s="16">
        <f t="shared" si="83"/>
        <v>1425</v>
      </c>
      <c r="O533" s="29">
        <f t="shared" si="80"/>
        <v>4000</v>
      </c>
      <c r="P533" s="16">
        <f t="shared" si="81"/>
        <v>-2575</v>
      </c>
      <c r="Q533" s="28">
        <f>Master_Table[[#This Row],[△Sales Variance]]/Master_Table[[#This Row],[Sales Budget]]</f>
        <v>-0.42916666666666664</v>
      </c>
      <c r="R533" s="28">
        <f>Master_Table[[#This Row],[△Expense  Variance]]/Master_Table[[#This Row],[Expense Budget]]</f>
        <v>0</v>
      </c>
      <c r="S533" s="28">
        <f>Master_Table[[#This Row],[Net Profit Variance]]/Master_Table[[#This Row],[Budget Net Profit]]</f>
        <v>-0.64375000000000004</v>
      </c>
      <c r="T533" s="28">
        <f>Master_Table[[#This Row],[Actual Net Profit]]/Master_Table[[#This Row],[Actual Sales]]</f>
        <v>0.41605839416058393</v>
      </c>
      <c r="U533" s="28" t="str">
        <f>_xlfn.TEXTJOIN(" - ", TRUE, Master_Table[[#This Row],[Product]], Master_Table[[#This Row],[Branch]])</f>
        <v>Kiwi - Ibadan</v>
      </c>
    </row>
    <row r="534" spans="1:21" ht="14.4" x14ac:dyDescent="0.3">
      <c r="A534" s="2">
        <v>533</v>
      </c>
      <c r="B534" s="2">
        <f t="shared" si="77"/>
        <v>108</v>
      </c>
      <c r="C534" s="1" t="str">
        <f>VLOOKUP(B534,Products!A:C,2,FALSE)</f>
        <v>Kiwi</v>
      </c>
      <c r="D534" s="1" t="str">
        <f t="shared" si="78"/>
        <v>Ibadan</v>
      </c>
      <c r="E534" s="4" t="str">
        <f>_xlfn.XLOOKUP(D534,'Sales Manager'!$A$2:$A$6,'Sales Manager'!$B$2:$B$6,"")</f>
        <v>Funmi Adeyemi</v>
      </c>
      <c r="F534" s="3">
        <f t="shared" si="84"/>
        <v>5</v>
      </c>
      <c r="G534" s="1" t="str">
        <f t="shared" si="84"/>
        <v>May</v>
      </c>
      <c r="H534" s="11">
        <v>4000</v>
      </c>
      <c r="I534" s="11">
        <v>5656</v>
      </c>
      <c r="J534" s="11" cm="1">
        <f t="array" ref="J534">_xlfn.XLOOKUP(C534&amp;D534&amp;F534,Expense!$C$2:$C$601&amp;Expense!$D$2:$D$601&amp;Expense!$E$2:$E$601,Expense!$G$2:$G$601,"")</f>
        <v>1333.3333333333333</v>
      </c>
      <c r="K534" s="11" cm="1">
        <f t="array" ref="K534">_xlfn.XLOOKUP(C534&amp;D534&amp;F534,Expense!$C$2:$C$601&amp;Expense!$D$2:$D$601&amp;Expense!$E$2:$E$601,Expense!$H$2:$H$601,"")</f>
        <v>1333.3333333333333</v>
      </c>
      <c r="L534" s="14">
        <f t="shared" si="82"/>
        <v>1656</v>
      </c>
      <c r="M534" s="14">
        <f>Master_Table[[#This Row],[Expense Budget]]-Master_Table[[#This Row],[Actual Expense]]</f>
        <v>0</v>
      </c>
      <c r="N534" s="16">
        <f t="shared" si="83"/>
        <v>4322.666666666667</v>
      </c>
      <c r="O534" s="29">
        <f t="shared" si="80"/>
        <v>2666.666666666667</v>
      </c>
      <c r="P534" s="16">
        <f t="shared" si="81"/>
        <v>1656</v>
      </c>
      <c r="Q534" s="28">
        <f>Master_Table[[#This Row],[△Sales Variance]]/Master_Table[[#This Row],[Sales Budget]]</f>
        <v>0.41399999999999998</v>
      </c>
      <c r="R534" s="28">
        <f>Master_Table[[#This Row],[△Expense  Variance]]/Master_Table[[#This Row],[Expense Budget]]</f>
        <v>0</v>
      </c>
      <c r="S534" s="28">
        <f>Master_Table[[#This Row],[Net Profit Variance]]/Master_Table[[#This Row],[Budget Net Profit]]</f>
        <v>0.62099999999999989</v>
      </c>
      <c r="T534" s="28">
        <f>Master_Table[[#This Row],[Actual Net Profit]]/Master_Table[[#This Row],[Actual Sales]]</f>
        <v>0.76426214049976426</v>
      </c>
      <c r="U534" s="28" t="str">
        <f>_xlfn.TEXTJOIN(" - ", TRUE, Master_Table[[#This Row],[Product]], Master_Table[[#This Row],[Branch]])</f>
        <v>Kiwi - Ibadan</v>
      </c>
    </row>
    <row r="535" spans="1:21" ht="14.4" x14ac:dyDescent="0.3">
      <c r="A535" s="2">
        <v>534</v>
      </c>
      <c r="B535" s="2">
        <f t="shared" si="77"/>
        <v>108</v>
      </c>
      <c r="C535" s="1" t="str">
        <f>VLOOKUP(B535,Products!A:C,2,FALSE)</f>
        <v>Kiwi</v>
      </c>
      <c r="D535" s="1" t="str">
        <f t="shared" si="78"/>
        <v>Ibadan</v>
      </c>
      <c r="E535" s="4" t="str">
        <f>_xlfn.XLOOKUP(D535,'Sales Manager'!$A$2:$A$6,'Sales Manager'!$B$2:$B$6,"")</f>
        <v>Funmi Adeyemi</v>
      </c>
      <c r="F535" s="3">
        <f t="shared" si="84"/>
        <v>6</v>
      </c>
      <c r="G535" s="1" t="str">
        <f t="shared" si="84"/>
        <v>Jun</v>
      </c>
      <c r="H535" s="11">
        <v>7000</v>
      </c>
      <c r="I535" s="11">
        <v>5232</v>
      </c>
      <c r="J535" s="11" cm="1">
        <f t="array" ref="J535">_xlfn.XLOOKUP(C535&amp;D535&amp;F535,Expense!$C$2:$C$601&amp;Expense!$D$2:$D$601&amp;Expense!$E$2:$E$601,Expense!$G$2:$G$601,"")</f>
        <v>1750</v>
      </c>
      <c r="K535" s="11" cm="1">
        <f t="array" ref="K535">_xlfn.XLOOKUP(C535&amp;D535&amp;F535,Expense!$C$2:$C$601&amp;Expense!$D$2:$D$601&amp;Expense!$E$2:$E$601,Expense!$H$2:$H$601,"")</f>
        <v>1050</v>
      </c>
      <c r="L535" s="14">
        <f t="shared" si="82"/>
        <v>-1768</v>
      </c>
      <c r="M535" s="14">
        <f>Master_Table[[#This Row],[Expense Budget]]-Master_Table[[#This Row],[Actual Expense]]</f>
        <v>700</v>
      </c>
      <c r="N535" s="16">
        <f t="shared" si="83"/>
        <v>4182</v>
      </c>
      <c r="O535" s="29">
        <f t="shared" si="80"/>
        <v>5250</v>
      </c>
      <c r="P535" s="16">
        <f t="shared" si="81"/>
        <v>-1068</v>
      </c>
      <c r="Q535" s="28">
        <f>Master_Table[[#This Row],[△Sales Variance]]/Master_Table[[#This Row],[Sales Budget]]</f>
        <v>-0.25257142857142856</v>
      </c>
      <c r="R535" s="28">
        <f>Master_Table[[#This Row],[△Expense  Variance]]/Master_Table[[#This Row],[Expense Budget]]</f>
        <v>0.4</v>
      </c>
      <c r="S535" s="28">
        <f>Master_Table[[#This Row],[Net Profit Variance]]/Master_Table[[#This Row],[Budget Net Profit]]</f>
        <v>-0.20342857142857143</v>
      </c>
      <c r="T535" s="28">
        <f>Master_Table[[#This Row],[Actual Net Profit]]/Master_Table[[#This Row],[Actual Sales]]</f>
        <v>0.79931192660550454</v>
      </c>
      <c r="U535" s="28" t="str">
        <f>_xlfn.TEXTJOIN(" - ", TRUE, Master_Table[[#This Row],[Product]], Master_Table[[#This Row],[Branch]])</f>
        <v>Kiwi - Ibadan</v>
      </c>
    </row>
    <row r="536" spans="1:21" ht="14.4" x14ac:dyDescent="0.3">
      <c r="A536" s="2">
        <v>535</v>
      </c>
      <c r="B536" s="2">
        <f t="shared" si="77"/>
        <v>108</v>
      </c>
      <c r="C536" s="1" t="str">
        <f>VLOOKUP(B536,Products!A:C,2,FALSE)</f>
        <v>Kiwi</v>
      </c>
      <c r="D536" s="1" t="str">
        <f t="shared" si="78"/>
        <v>Ibadan</v>
      </c>
      <c r="E536" s="4" t="str">
        <f>_xlfn.XLOOKUP(D536,'Sales Manager'!$A$2:$A$6,'Sales Manager'!$B$2:$B$6,"")</f>
        <v>Funmi Adeyemi</v>
      </c>
      <c r="F536" s="3">
        <f t="shared" si="84"/>
        <v>7</v>
      </c>
      <c r="G536" s="1" t="str">
        <f t="shared" si="84"/>
        <v>Jul</v>
      </c>
      <c r="H536" s="11">
        <v>5000</v>
      </c>
      <c r="I536" s="11">
        <v>2126</v>
      </c>
      <c r="J536" s="11" cm="1">
        <f t="array" ref="J536">_xlfn.XLOOKUP(C536&amp;D536&amp;F536,Expense!$C$2:$C$601&amp;Expense!$D$2:$D$601&amp;Expense!$E$2:$E$601,Expense!$G$2:$G$601,"")</f>
        <v>1666.6666666666667</v>
      </c>
      <c r="K536" s="11" cm="1">
        <f t="array" ref="K536">_xlfn.XLOOKUP(C536&amp;D536&amp;F536,Expense!$C$2:$C$601&amp;Expense!$D$2:$D$601&amp;Expense!$E$2:$E$601,Expense!$H$2:$H$601,"")</f>
        <v>966.66666666666674</v>
      </c>
      <c r="L536" s="14">
        <f t="shared" si="82"/>
        <v>-2874</v>
      </c>
      <c r="M536" s="14">
        <f>Master_Table[[#This Row],[Expense Budget]]-Master_Table[[#This Row],[Actual Expense]]</f>
        <v>700</v>
      </c>
      <c r="N536" s="16">
        <f t="shared" si="83"/>
        <v>1159.3333333333333</v>
      </c>
      <c r="O536" s="29">
        <f t="shared" si="80"/>
        <v>3333.333333333333</v>
      </c>
      <c r="P536" s="16">
        <f t="shared" si="81"/>
        <v>-2174</v>
      </c>
      <c r="Q536" s="28">
        <f>Master_Table[[#This Row],[△Sales Variance]]/Master_Table[[#This Row],[Sales Budget]]</f>
        <v>-0.57479999999999998</v>
      </c>
      <c r="R536" s="28">
        <f>Master_Table[[#This Row],[△Expense  Variance]]/Master_Table[[#This Row],[Expense Budget]]</f>
        <v>0.42</v>
      </c>
      <c r="S536" s="28">
        <f>Master_Table[[#This Row],[Net Profit Variance]]/Master_Table[[#This Row],[Budget Net Profit]]</f>
        <v>-0.65220000000000011</v>
      </c>
      <c r="T536" s="28">
        <f>Master_Table[[#This Row],[Actual Net Profit]]/Master_Table[[#This Row],[Actual Sales]]</f>
        <v>0.54531201003449359</v>
      </c>
      <c r="U536" s="28" t="str">
        <f>_xlfn.TEXTJOIN(" - ", TRUE, Master_Table[[#This Row],[Product]], Master_Table[[#This Row],[Branch]])</f>
        <v>Kiwi - Ibadan</v>
      </c>
    </row>
    <row r="537" spans="1:21" ht="14.4" x14ac:dyDescent="0.3">
      <c r="A537" s="2">
        <v>536</v>
      </c>
      <c r="B537" s="2">
        <f t="shared" si="77"/>
        <v>108</v>
      </c>
      <c r="C537" s="1" t="str">
        <f>VLOOKUP(B537,Products!A:C,2,FALSE)</f>
        <v>Kiwi</v>
      </c>
      <c r="D537" s="1" t="str">
        <f t="shared" si="78"/>
        <v>Ibadan</v>
      </c>
      <c r="E537" s="4" t="str">
        <f>_xlfn.XLOOKUP(D537,'Sales Manager'!$A$2:$A$6,'Sales Manager'!$B$2:$B$6,"")</f>
        <v>Funmi Adeyemi</v>
      </c>
      <c r="F537" s="3">
        <f t="shared" si="84"/>
        <v>8</v>
      </c>
      <c r="G537" s="1" t="str">
        <f t="shared" si="84"/>
        <v>Aug</v>
      </c>
      <c r="H537" s="11">
        <v>2000</v>
      </c>
      <c r="I537" s="11">
        <v>4772</v>
      </c>
      <c r="J537" s="11" cm="1">
        <f t="array" ref="J537">_xlfn.XLOOKUP(C537&amp;D537&amp;F537,Expense!$C$2:$C$601&amp;Expense!$D$2:$D$601&amp;Expense!$E$2:$E$601,Expense!$G$2:$G$601,"")</f>
        <v>400</v>
      </c>
      <c r="K537" s="11" cm="1">
        <f t="array" ref="K537">_xlfn.XLOOKUP(C537&amp;D537&amp;F537,Expense!$C$2:$C$601&amp;Expense!$D$2:$D$601&amp;Expense!$E$2:$E$601,Expense!$H$2:$H$601,"")</f>
        <v>400</v>
      </c>
      <c r="L537" s="14">
        <f t="shared" si="82"/>
        <v>2772</v>
      </c>
      <c r="M537" s="14">
        <f>Master_Table[[#This Row],[Expense Budget]]-Master_Table[[#This Row],[Actual Expense]]</f>
        <v>0</v>
      </c>
      <c r="N537" s="16">
        <f t="shared" si="83"/>
        <v>4372</v>
      </c>
      <c r="O537" s="29">
        <f t="shared" si="80"/>
        <v>1600</v>
      </c>
      <c r="P537" s="16">
        <f t="shared" si="81"/>
        <v>2772</v>
      </c>
      <c r="Q537" s="28">
        <f>Master_Table[[#This Row],[△Sales Variance]]/Master_Table[[#This Row],[Sales Budget]]</f>
        <v>1.3859999999999999</v>
      </c>
      <c r="R537" s="28">
        <f>Master_Table[[#This Row],[△Expense  Variance]]/Master_Table[[#This Row],[Expense Budget]]</f>
        <v>0</v>
      </c>
      <c r="S537" s="28">
        <f>Master_Table[[#This Row],[Net Profit Variance]]/Master_Table[[#This Row],[Budget Net Profit]]</f>
        <v>1.7324999999999999</v>
      </c>
      <c r="T537" s="28">
        <f>Master_Table[[#This Row],[Actual Net Profit]]/Master_Table[[#This Row],[Actual Sales]]</f>
        <v>0.91617770326906955</v>
      </c>
      <c r="U537" s="28" t="str">
        <f>_xlfn.TEXTJOIN(" - ", TRUE, Master_Table[[#This Row],[Product]], Master_Table[[#This Row],[Branch]])</f>
        <v>Kiwi - Ibadan</v>
      </c>
    </row>
    <row r="538" spans="1:21" ht="14.4" x14ac:dyDescent="0.3">
      <c r="A538" s="2">
        <v>537</v>
      </c>
      <c r="B538" s="2">
        <f t="shared" si="77"/>
        <v>108</v>
      </c>
      <c r="C538" s="1" t="str">
        <f>VLOOKUP(B538,Products!A:C,2,FALSE)</f>
        <v>Kiwi</v>
      </c>
      <c r="D538" s="1" t="str">
        <f t="shared" si="78"/>
        <v>Ibadan</v>
      </c>
      <c r="E538" s="4" t="str">
        <f>_xlfn.XLOOKUP(D538,'Sales Manager'!$A$2:$A$6,'Sales Manager'!$B$2:$B$6,"")</f>
        <v>Funmi Adeyemi</v>
      </c>
      <c r="F538" s="3">
        <f t="shared" si="84"/>
        <v>9</v>
      </c>
      <c r="G538" s="1" t="str">
        <f t="shared" si="84"/>
        <v>Sept</v>
      </c>
      <c r="H538" s="11">
        <v>5000</v>
      </c>
      <c r="I538" s="11">
        <v>8744</v>
      </c>
      <c r="J538" s="11" cm="1">
        <f t="array" ref="J538">_xlfn.XLOOKUP(C538&amp;D538&amp;F538,Expense!$C$2:$C$601&amp;Expense!$D$2:$D$601&amp;Expense!$E$2:$E$601,Expense!$G$2:$G$601,"")</f>
        <v>1666.6666666666667</v>
      </c>
      <c r="K538" s="11" cm="1">
        <f t="array" ref="K538">_xlfn.XLOOKUP(C538&amp;D538&amp;F538,Expense!$C$2:$C$601&amp;Expense!$D$2:$D$601&amp;Expense!$E$2:$E$601,Expense!$H$2:$H$601,"")</f>
        <v>1366.6666666666667</v>
      </c>
      <c r="L538" s="14">
        <f t="shared" si="82"/>
        <v>3744</v>
      </c>
      <c r="M538" s="14">
        <f>Master_Table[[#This Row],[Expense Budget]]-Master_Table[[#This Row],[Actual Expense]]</f>
        <v>300</v>
      </c>
      <c r="N538" s="16">
        <f t="shared" si="83"/>
        <v>7377.333333333333</v>
      </c>
      <c r="O538" s="29">
        <f t="shared" si="80"/>
        <v>3333.333333333333</v>
      </c>
      <c r="P538" s="16">
        <f t="shared" si="81"/>
        <v>4044</v>
      </c>
      <c r="Q538" s="28">
        <f>Master_Table[[#This Row],[△Sales Variance]]/Master_Table[[#This Row],[Sales Budget]]</f>
        <v>0.74880000000000002</v>
      </c>
      <c r="R538" s="28">
        <f>Master_Table[[#This Row],[△Expense  Variance]]/Master_Table[[#This Row],[Expense Budget]]</f>
        <v>0.18</v>
      </c>
      <c r="S538" s="28">
        <f>Master_Table[[#This Row],[Net Profit Variance]]/Master_Table[[#This Row],[Budget Net Profit]]</f>
        <v>1.2132000000000001</v>
      </c>
      <c r="T538" s="28">
        <f>Master_Table[[#This Row],[Actual Net Profit]]/Master_Table[[#This Row],[Actual Sales]]</f>
        <v>0.84370234827691371</v>
      </c>
      <c r="U538" s="28" t="str">
        <f>_xlfn.TEXTJOIN(" - ", TRUE, Master_Table[[#This Row],[Product]], Master_Table[[#This Row],[Branch]])</f>
        <v>Kiwi - Ibadan</v>
      </c>
    </row>
    <row r="539" spans="1:21" ht="14.4" x14ac:dyDescent="0.3">
      <c r="A539" s="2">
        <v>538</v>
      </c>
      <c r="B539" s="2">
        <f t="shared" si="77"/>
        <v>108</v>
      </c>
      <c r="C539" s="1" t="str">
        <f>VLOOKUP(B539,Products!A:C,2,FALSE)</f>
        <v>Kiwi</v>
      </c>
      <c r="D539" s="1" t="str">
        <f t="shared" si="78"/>
        <v>Ibadan</v>
      </c>
      <c r="E539" s="4" t="str">
        <f>_xlfn.XLOOKUP(D539,'Sales Manager'!$A$2:$A$6,'Sales Manager'!$B$2:$B$6,"")</f>
        <v>Funmi Adeyemi</v>
      </c>
      <c r="F539" s="3">
        <f t="shared" si="84"/>
        <v>10</v>
      </c>
      <c r="G539" s="1" t="str">
        <f t="shared" si="84"/>
        <v>Oct</v>
      </c>
      <c r="H539" s="11">
        <v>5000</v>
      </c>
      <c r="I539" s="11">
        <v>2624</v>
      </c>
      <c r="J539" s="11" cm="1">
        <f t="array" ref="J539">_xlfn.XLOOKUP(C539&amp;D539&amp;F539,Expense!$C$2:$C$601&amp;Expense!$D$2:$D$601&amp;Expense!$E$2:$E$601,Expense!$G$2:$G$601,"")</f>
        <v>1250</v>
      </c>
      <c r="K539" s="11" cm="1">
        <f t="array" ref="K539">_xlfn.XLOOKUP(C539&amp;D539&amp;F539,Expense!$C$2:$C$601&amp;Expense!$D$2:$D$601&amp;Expense!$E$2:$E$601,Expense!$H$2:$H$601,"")</f>
        <v>850</v>
      </c>
      <c r="L539" s="14">
        <f t="shared" si="82"/>
        <v>-2376</v>
      </c>
      <c r="M539" s="14">
        <f>Master_Table[[#This Row],[Expense Budget]]-Master_Table[[#This Row],[Actual Expense]]</f>
        <v>400</v>
      </c>
      <c r="N539" s="16">
        <f t="shared" si="83"/>
        <v>1774</v>
      </c>
      <c r="O539" s="29">
        <f t="shared" si="80"/>
        <v>3750</v>
      </c>
      <c r="P539" s="16">
        <f t="shared" si="81"/>
        <v>-1976</v>
      </c>
      <c r="Q539" s="28">
        <f>Master_Table[[#This Row],[△Sales Variance]]/Master_Table[[#This Row],[Sales Budget]]</f>
        <v>-0.47520000000000001</v>
      </c>
      <c r="R539" s="28">
        <f>Master_Table[[#This Row],[△Expense  Variance]]/Master_Table[[#This Row],[Expense Budget]]</f>
        <v>0.32</v>
      </c>
      <c r="S539" s="28">
        <f>Master_Table[[#This Row],[Net Profit Variance]]/Master_Table[[#This Row],[Budget Net Profit]]</f>
        <v>-0.52693333333333336</v>
      </c>
      <c r="T539" s="28">
        <f>Master_Table[[#This Row],[Actual Net Profit]]/Master_Table[[#This Row],[Actual Sales]]</f>
        <v>0.67606707317073167</v>
      </c>
      <c r="U539" s="28" t="str">
        <f>_xlfn.TEXTJOIN(" - ", TRUE, Master_Table[[#This Row],[Product]], Master_Table[[#This Row],[Branch]])</f>
        <v>Kiwi - Ibadan</v>
      </c>
    </row>
    <row r="540" spans="1:21" ht="14.4" x14ac:dyDescent="0.3">
      <c r="A540" s="2">
        <v>539</v>
      </c>
      <c r="B540" s="2">
        <f t="shared" si="77"/>
        <v>108</v>
      </c>
      <c r="C540" s="1" t="str">
        <f>VLOOKUP(B540,Products!A:C,2,FALSE)</f>
        <v>Kiwi</v>
      </c>
      <c r="D540" s="1" t="str">
        <f t="shared" si="78"/>
        <v>Ibadan</v>
      </c>
      <c r="E540" s="4" t="str">
        <f>_xlfn.XLOOKUP(D540,'Sales Manager'!$A$2:$A$6,'Sales Manager'!$B$2:$B$6,"")</f>
        <v>Funmi Adeyemi</v>
      </c>
      <c r="F540" s="3">
        <f t="shared" si="84"/>
        <v>11</v>
      </c>
      <c r="G540" s="1" t="str">
        <f t="shared" si="84"/>
        <v>Nov</v>
      </c>
      <c r="H540" s="11">
        <v>4000</v>
      </c>
      <c r="I540" s="11">
        <v>6163</v>
      </c>
      <c r="J540" s="11" cm="1">
        <f t="array" ref="J540">_xlfn.XLOOKUP(C540&amp;D540&amp;F540,Expense!$C$2:$C$601&amp;Expense!$D$2:$D$601&amp;Expense!$E$2:$E$601,Expense!$G$2:$G$601,"")</f>
        <v>800</v>
      </c>
      <c r="K540" s="11" cm="1">
        <f t="array" ref="K540">_xlfn.XLOOKUP(C540&amp;D540&amp;F540,Expense!$C$2:$C$601&amp;Expense!$D$2:$D$601&amp;Expense!$E$2:$E$601,Expense!$H$2:$H$601,"")</f>
        <v>400</v>
      </c>
      <c r="L540" s="14">
        <f t="shared" si="82"/>
        <v>2163</v>
      </c>
      <c r="M540" s="14">
        <f>Master_Table[[#This Row],[Expense Budget]]-Master_Table[[#This Row],[Actual Expense]]</f>
        <v>400</v>
      </c>
      <c r="N540" s="16">
        <f t="shared" si="83"/>
        <v>5763</v>
      </c>
      <c r="O540" s="29">
        <f t="shared" si="80"/>
        <v>3200</v>
      </c>
      <c r="P540" s="16">
        <f t="shared" si="81"/>
        <v>2563</v>
      </c>
      <c r="Q540" s="28">
        <f>Master_Table[[#This Row],[△Sales Variance]]/Master_Table[[#This Row],[Sales Budget]]</f>
        <v>0.54074999999999995</v>
      </c>
      <c r="R540" s="28">
        <f>Master_Table[[#This Row],[△Expense  Variance]]/Master_Table[[#This Row],[Expense Budget]]</f>
        <v>0.5</v>
      </c>
      <c r="S540" s="28">
        <f>Master_Table[[#This Row],[Net Profit Variance]]/Master_Table[[#This Row],[Budget Net Profit]]</f>
        <v>0.80093749999999997</v>
      </c>
      <c r="T540" s="28">
        <f>Master_Table[[#This Row],[Actual Net Profit]]/Master_Table[[#This Row],[Actual Sales]]</f>
        <v>0.9350965438909622</v>
      </c>
      <c r="U540" s="28" t="str">
        <f>_xlfn.TEXTJOIN(" - ", TRUE, Master_Table[[#This Row],[Product]], Master_Table[[#This Row],[Branch]])</f>
        <v>Kiwi - Ibadan</v>
      </c>
    </row>
    <row r="541" spans="1:21" ht="14.4" x14ac:dyDescent="0.3">
      <c r="A541" s="2">
        <v>540</v>
      </c>
      <c r="B541" s="2">
        <f t="shared" si="77"/>
        <v>108</v>
      </c>
      <c r="C541" s="1" t="str">
        <f>VLOOKUP(B541,Products!A:C,2,FALSE)</f>
        <v>Kiwi</v>
      </c>
      <c r="D541" s="1" t="str">
        <f t="shared" si="78"/>
        <v>Ibadan</v>
      </c>
      <c r="E541" s="4" t="str">
        <f>_xlfn.XLOOKUP(D541,'Sales Manager'!$A$2:$A$6,'Sales Manager'!$B$2:$B$6,"")</f>
        <v>Funmi Adeyemi</v>
      </c>
      <c r="F541" s="3">
        <f t="shared" si="84"/>
        <v>12</v>
      </c>
      <c r="G541" s="1" t="str">
        <f t="shared" si="84"/>
        <v>Dec</v>
      </c>
      <c r="H541" s="11">
        <v>3000</v>
      </c>
      <c r="I541" s="11">
        <v>8172</v>
      </c>
      <c r="J541" s="11" cm="1">
        <f t="array" ref="J541">_xlfn.XLOOKUP(C541&amp;D541&amp;F541,Expense!$C$2:$C$601&amp;Expense!$D$2:$D$601&amp;Expense!$E$2:$E$601,Expense!$G$2:$G$601,"")</f>
        <v>1000</v>
      </c>
      <c r="K541" s="11" cm="1">
        <f t="array" ref="K541">_xlfn.XLOOKUP(C541&amp;D541&amp;F541,Expense!$C$2:$C$601&amp;Expense!$D$2:$D$601&amp;Expense!$E$2:$E$601,Expense!$H$2:$H$601,"")</f>
        <v>700</v>
      </c>
      <c r="L541" s="14">
        <f t="shared" si="82"/>
        <v>5172</v>
      </c>
      <c r="M541" s="14">
        <f>Master_Table[[#This Row],[Expense Budget]]-Master_Table[[#This Row],[Actual Expense]]</f>
        <v>300</v>
      </c>
      <c r="N541" s="16">
        <f t="shared" si="83"/>
        <v>7472</v>
      </c>
      <c r="O541" s="29">
        <f t="shared" si="80"/>
        <v>2000</v>
      </c>
      <c r="P541" s="16">
        <f t="shared" si="81"/>
        <v>5472</v>
      </c>
      <c r="Q541" s="28">
        <f>Master_Table[[#This Row],[△Sales Variance]]/Master_Table[[#This Row],[Sales Budget]]</f>
        <v>1.724</v>
      </c>
      <c r="R541" s="28">
        <f>Master_Table[[#This Row],[△Expense  Variance]]/Master_Table[[#This Row],[Expense Budget]]</f>
        <v>0.3</v>
      </c>
      <c r="S541" s="28">
        <f>Master_Table[[#This Row],[Net Profit Variance]]/Master_Table[[#This Row],[Budget Net Profit]]</f>
        <v>2.7360000000000002</v>
      </c>
      <c r="T541" s="28">
        <f>Master_Table[[#This Row],[Actual Net Profit]]/Master_Table[[#This Row],[Actual Sales]]</f>
        <v>0.91434165442976012</v>
      </c>
      <c r="U541" s="28" t="str">
        <f>_xlfn.TEXTJOIN(" - ", TRUE, Master_Table[[#This Row],[Product]], Master_Table[[#This Row],[Branch]])</f>
        <v>Kiwi - Ibadan</v>
      </c>
    </row>
    <row r="542" spans="1:21" ht="14.4" x14ac:dyDescent="0.3">
      <c r="A542" s="2">
        <v>541</v>
      </c>
      <c r="B542" s="2">
        <f t="shared" si="77"/>
        <v>109</v>
      </c>
      <c r="C542" s="1" t="str">
        <f>VLOOKUP(B542,Products!A:C,2,FALSE)</f>
        <v>Pawpaw</v>
      </c>
      <c r="D542" s="1" t="str">
        <f t="shared" si="78"/>
        <v>Lagos</v>
      </c>
      <c r="E542" s="4" t="str">
        <f>_xlfn.XLOOKUP(D542,'Sales Manager'!$A$2:$A$6,'Sales Manager'!$B$2:$B$6,"")</f>
        <v>Adaora Okafor</v>
      </c>
      <c r="F542" s="3">
        <f t="shared" si="84"/>
        <v>1</v>
      </c>
      <c r="G542" s="1" t="str">
        <f t="shared" si="84"/>
        <v>Jan</v>
      </c>
      <c r="H542" s="11">
        <v>3000</v>
      </c>
      <c r="I542" s="11">
        <v>3271</v>
      </c>
      <c r="J542" s="11" cm="1">
        <f t="array" ref="J542">_xlfn.XLOOKUP(C542&amp;D542&amp;F542,Expense!$C$2:$C$601&amp;Expense!$D$2:$D$601&amp;Expense!$E$2:$E$601,Expense!$G$2:$G$601,"")</f>
        <v>750</v>
      </c>
      <c r="K542" s="11" cm="1">
        <f t="array" ref="K542">_xlfn.XLOOKUP(C542&amp;D542&amp;F542,Expense!$C$2:$C$601&amp;Expense!$D$2:$D$601&amp;Expense!$E$2:$E$601,Expense!$H$2:$H$601,"")</f>
        <v>250</v>
      </c>
      <c r="L542" s="14">
        <f t="shared" si="82"/>
        <v>271</v>
      </c>
      <c r="M542" s="14">
        <f>Master_Table[[#This Row],[Expense Budget]]-Master_Table[[#This Row],[Actual Expense]]</f>
        <v>500</v>
      </c>
      <c r="N542" s="16">
        <f t="shared" si="83"/>
        <v>3021</v>
      </c>
      <c r="O542" s="29">
        <f t="shared" si="80"/>
        <v>2250</v>
      </c>
      <c r="P542" s="16">
        <f t="shared" si="81"/>
        <v>771</v>
      </c>
      <c r="Q542" s="28">
        <f>Master_Table[[#This Row],[△Sales Variance]]/Master_Table[[#This Row],[Sales Budget]]</f>
        <v>9.0333333333333335E-2</v>
      </c>
      <c r="R542" s="28">
        <f>Master_Table[[#This Row],[△Expense  Variance]]/Master_Table[[#This Row],[Expense Budget]]</f>
        <v>0.66666666666666663</v>
      </c>
      <c r="S542" s="28">
        <f>Master_Table[[#This Row],[Net Profit Variance]]/Master_Table[[#This Row],[Budget Net Profit]]</f>
        <v>0.34266666666666667</v>
      </c>
      <c r="T542" s="28">
        <f>Master_Table[[#This Row],[Actual Net Profit]]/Master_Table[[#This Row],[Actual Sales]]</f>
        <v>0.92357077346377259</v>
      </c>
      <c r="U542" s="28" t="str">
        <f>_xlfn.TEXTJOIN(" - ", TRUE, Master_Table[[#This Row],[Product]], Master_Table[[#This Row],[Branch]])</f>
        <v>Pawpaw - Lagos</v>
      </c>
    </row>
    <row r="543" spans="1:21" ht="14.4" x14ac:dyDescent="0.3">
      <c r="A543" s="2">
        <v>542</v>
      </c>
      <c r="B543" s="2">
        <f t="shared" si="77"/>
        <v>109</v>
      </c>
      <c r="C543" s="1" t="str">
        <f>VLOOKUP(B543,Products!A:C,2,FALSE)</f>
        <v>Pawpaw</v>
      </c>
      <c r="D543" s="1" t="str">
        <f t="shared" si="78"/>
        <v>Lagos</v>
      </c>
      <c r="E543" s="4" t="str">
        <f>_xlfn.XLOOKUP(D543,'Sales Manager'!$A$2:$A$6,'Sales Manager'!$B$2:$B$6,"")</f>
        <v>Adaora Okafor</v>
      </c>
      <c r="F543" s="3">
        <f t="shared" ref="F543:G558" si="85">F531</f>
        <v>2</v>
      </c>
      <c r="G543" s="1" t="str">
        <f t="shared" si="85"/>
        <v>Feb</v>
      </c>
      <c r="H543" s="11">
        <v>3000</v>
      </c>
      <c r="I543" s="11">
        <v>2335</v>
      </c>
      <c r="J543" s="11" cm="1">
        <f t="array" ref="J543">_xlfn.XLOOKUP(C543&amp;D543&amp;F543,Expense!$C$2:$C$601&amp;Expense!$D$2:$D$601&amp;Expense!$E$2:$E$601,Expense!$G$2:$G$601,"")</f>
        <v>750</v>
      </c>
      <c r="K543" s="11" cm="1">
        <f t="array" ref="K543">_xlfn.XLOOKUP(C543&amp;D543&amp;F543,Expense!$C$2:$C$601&amp;Expense!$D$2:$D$601&amp;Expense!$E$2:$E$601,Expense!$H$2:$H$601,"")</f>
        <v>750</v>
      </c>
      <c r="L543" s="14">
        <f t="shared" si="82"/>
        <v>-665</v>
      </c>
      <c r="M543" s="14">
        <f>Master_Table[[#This Row],[Expense Budget]]-Master_Table[[#This Row],[Actual Expense]]</f>
        <v>0</v>
      </c>
      <c r="N543" s="16">
        <f t="shared" si="83"/>
        <v>1585</v>
      </c>
      <c r="O543" s="29">
        <f t="shared" si="80"/>
        <v>2250</v>
      </c>
      <c r="P543" s="16">
        <f t="shared" si="81"/>
        <v>-665</v>
      </c>
      <c r="Q543" s="28">
        <f>Master_Table[[#This Row],[△Sales Variance]]/Master_Table[[#This Row],[Sales Budget]]</f>
        <v>-0.22166666666666668</v>
      </c>
      <c r="R543" s="28">
        <f>Master_Table[[#This Row],[△Expense  Variance]]/Master_Table[[#This Row],[Expense Budget]]</f>
        <v>0</v>
      </c>
      <c r="S543" s="28">
        <f>Master_Table[[#This Row],[Net Profit Variance]]/Master_Table[[#This Row],[Budget Net Profit]]</f>
        <v>-0.29555555555555557</v>
      </c>
      <c r="T543" s="28">
        <f>Master_Table[[#This Row],[Actual Net Profit]]/Master_Table[[#This Row],[Actual Sales]]</f>
        <v>0.67880085653104927</v>
      </c>
      <c r="U543" s="28" t="str">
        <f>_xlfn.TEXTJOIN(" - ", TRUE, Master_Table[[#This Row],[Product]], Master_Table[[#This Row],[Branch]])</f>
        <v>Pawpaw - Lagos</v>
      </c>
    </row>
    <row r="544" spans="1:21" ht="14.4" x14ac:dyDescent="0.3">
      <c r="A544" s="2">
        <v>543</v>
      </c>
      <c r="B544" s="2">
        <f t="shared" si="77"/>
        <v>109</v>
      </c>
      <c r="C544" s="1" t="str">
        <f>VLOOKUP(B544,Products!A:C,2,FALSE)</f>
        <v>Pawpaw</v>
      </c>
      <c r="D544" s="1" t="str">
        <f t="shared" si="78"/>
        <v>Lagos</v>
      </c>
      <c r="E544" s="4" t="str">
        <f>_xlfn.XLOOKUP(D544,'Sales Manager'!$A$2:$A$6,'Sales Manager'!$B$2:$B$6,"")</f>
        <v>Adaora Okafor</v>
      </c>
      <c r="F544" s="3">
        <f t="shared" si="85"/>
        <v>3</v>
      </c>
      <c r="G544" s="1" t="str">
        <f t="shared" si="85"/>
        <v>Mar</v>
      </c>
      <c r="H544" s="11">
        <v>2000</v>
      </c>
      <c r="I544" s="11">
        <v>5226</v>
      </c>
      <c r="J544" s="11" cm="1">
        <f t="array" ref="J544">_xlfn.XLOOKUP(C544&amp;D544&amp;F544,Expense!$C$2:$C$601&amp;Expense!$D$2:$D$601&amp;Expense!$E$2:$E$601,Expense!$G$2:$G$601,"")</f>
        <v>1000</v>
      </c>
      <c r="K544" s="11" cm="1">
        <f t="array" ref="K544">_xlfn.XLOOKUP(C544&amp;D544&amp;F544,Expense!$C$2:$C$601&amp;Expense!$D$2:$D$601&amp;Expense!$E$2:$E$601,Expense!$H$2:$H$601,"")</f>
        <v>700</v>
      </c>
      <c r="L544" s="14">
        <f t="shared" si="82"/>
        <v>3226</v>
      </c>
      <c r="M544" s="14">
        <f>Master_Table[[#This Row],[Expense Budget]]-Master_Table[[#This Row],[Actual Expense]]</f>
        <v>300</v>
      </c>
      <c r="N544" s="16">
        <f t="shared" si="83"/>
        <v>4526</v>
      </c>
      <c r="O544" s="29">
        <f t="shared" si="80"/>
        <v>1000</v>
      </c>
      <c r="P544" s="16">
        <f t="shared" si="81"/>
        <v>3526</v>
      </c>
      <c r="Q544" s="28">
        <f>Master_Table[[#This Row],[△Sales Variance]]/Master_Table[[#This Row],[Sales Budget]]</f>
        <v>1.613</v>
      </c>
      <c r="R544" s="28">
        <f>Master_Table[[#This Row],[△Expense  Variance]]/Master_Table[[#This Row],[Expense Budget]]</f>
        <v>0.3</v>
      </c>
      <c r="S544" s="28">
        <f>Master_Table[[#This Row],[Net Profit Variance]]/Master_Table[[#This Row],[Budget Net Profit]]</f>
        <v>3.5259999999999998</v>
      </c>
      <c r="T544" s="28">
        <f>Master_Table[[#This Row],[Actual Net Profit]]/Master_Table[[#This Row],[Actual Sales]]</f>
        <v>0.86605434366628398</v>
      </c>
      <c r="U544" s="28" t="str">
        <f>_xlfn.TEXTJOIN(" - ", TRUE, Master_Table[[#This Row],[Product]], Master_Table[[#This Row],[Branch]])</f>
        <v>Pawpaw - Lagos</v>
      </c>
    </row>
    <row r="545" spans="1:21" ht="14.4" x14ac:dyDescent="0.3">
      <c r="A545" s="2">
        <v>544</v>
      </c>
      <c r="B545" s="2">
        <f t="shared" si="77"/>
        <v>109</v>
      </c>
      <c r="C545" s="1" t="str">
        <f>VLOOKUP(B545,Products!A:C,2,FALSE)</f>
        <v>Pawpaw</v>
      </c>
      <c r="D545" s="1" t="str">
        <f t="shared" si="78"/>
        <v>Lagos</v>
      </c>
      <c r="E545" s="4" t="str">
        <f>_xlfn.XLOOKUP(D545,'Sales Manager'!$A$2:$A$6,'Sales Manager'!$B$2:$B$6,"")</f>
        <v>Adaora Okafor</v>
      </c>
      <c r="F545" s="3">
        <f t="shared" si="85"/>
        <v>4</v>
      </c>
      <c r="G545" s="1" t="str">
        <f t="shared" si="85"/>
        <v>Apr</v>
      </c>
      <c r="H545" s="11">
        <v>2000</v>
      </c>
      <c r="I545" s="11">
        <v>4324</v>
      </c>
      <c r="J545" s="11" cm="1">
        <f t="array" ref="J545">_xlfn.XLOOKUP(C545&amp;D545&amp;F545,Expense!$C$2:$C$601&amp;Expense!$D$2:$D$601&amp;Expense!$E$2:$E$601,Expense!$G$2:$G$601,"")</f>
        <v>500</v>
      </c>
      <c r="K545" s="11" cm="1">
        <f t="array" ref="K545">_xlfn.XLOOKUP(C545&amp;D545&amp;F545,Expense!$C$2:$C$601&amp;Expense!$D$2:$D$601&amp;Expense!$E$2:$E$601,Expense!$H$2:$H$601,"")</f>
        <v>400</v>
      </c>
      <c r="L545" s="14">
        <f t="shared" si="82"/>
        <v>2324</v>
      </c>
      <c r="M545" s="14">
        <f>Master_Table[[#This Row],[Expense Budget]]-Master_Table[[#This Row],[Actual Expense]]</f>
        <v>100</v>
      </c>
      <c r="N545" s="16">
        <f t="shared" si="83"/>
        <v>3924</v>
      </c>
      <c r="O545" s="29">
        <f t="shared" si="80"/>
        <v>1500</v>
      </c>
      <c r="P545" s="16">
        <f t="shared" si="81"/>
        <v>2424</v>
      </c>
      <c r="Q545" s="28">
        <f>Master_Table[[#This Row],[△Sales Variance]]/Master_Table[[#This Row],[Sales Budget]]</f>
        <v>1.1619999999999999</v>
      </c>
      <c r="R545" s="28">
        <f>Master_Table[[#This Row],[△Expense  Variance]]/Master_Table[[#This Row],[Expense Budget]]</f>
        <v>0.2</v>
      </c>
      <c r="S545" s="28">
        <f>Master_Table[[#This Row],[Net Profit Variance]]/Master_Table[[#This Row],[Budget Net Profit]]</f>
        <v>1.6160000000000001</v>
      </c>
      <c r="T545" s="28">
        <f>Master_Table[[#This Row],[Actual Net Profit]]/Master_Table[[#This Row],[Actual Sales]]</f>
        <v>0.90749306197964852</v>
      </c>
      <c r="U545" s="28" t="str">
        <f>_xlfn.TEXTJOIN(" - ", TRUE, Master_Table[[#This Row],[Product]], Master_Table[[#This Row],[Branch]])</f>
        <v>Pawpaw - Lagos</v>
      </c>
    </row>
    <row r="546" spans="1:21" ht="14.4" x14ac:dyDescent="0.3">
      <c r="A546" s="2">
        <v>545</v>
      </c>
      <c r="B546" s="2">
        <f t="shared" si="77"/>
        <v>109</v>
      </c>
      <c r="C546" s="1" t="str">
        <f>VLOOKUP(B546,Products!A:C,2,FALSE)</f>
        <v>Pawpaw</v>
      </c>
      <c r="D546" s="1" t="str">
        <f t="shared" si="78"/>
        <v>Lagos</v>
      </c>
      <c r="E546" s="4" t="str">
        <f>_xlfn.XLOOKUP(D546,'Sales Manager'!$A$2:$A$6,'Sales Manager'!$B$2:$B$6,"")</f>
        <v>Adaora Okafor</v>
      </c>
      <c r="F546" s="3">
        <f t="shared" si="85"/>
        <v>5</v>
      </c>
      <c r="G546" s="1" t="str">
        <f t="shared" si="85"/>
        <v>May</v>
      </c>
      <c r="H546" s="11">
        <v>5000</v>
      </c>
      <c r="I546" s="11">
        <v>5454</v>
      </c>
      <c r="J546" s="11" cm="1">
        <f t="array" ref="J546">_xlfn.XLOOKUP(C546&amp;D546&amp;F546,Expense!$C$2:$C$601&amp;Expense!$D$2:$D$601&amp;Expense!$E$2:$E$601,Expense!$G$2:$G$601,"")</f>
        <v>1000</v>
      </c>
      <c r="K546" s="11" cm="1">
        <f t="array" ref="K546">_xlfn.XLOOKUP(C546&amp;D546&amp;F546,Expense!$C$2:$C$601&amp;Expense!$D$2:$D$601&amp;Expense!$E$2:$E$601,Expense!$H$2:$H$601,"")</f>
        <v>600</v>
      </c>
      <c r="L546" s="14">
        <f t="shared" si="82"/>
        <v>454</v>
      </c>
      <c r="M546" s="14">
        <f>Master_Table[[#This Row],[Expense Budget]]-Master_Table[[#This Row],[Actual Expense]]</f>
        <v>400</v>
      </c>
      <c r="N546" s="16">
        <f t="shared" si="83"/>
        <v>4854</v>
      </c>
      <c r="O546" s="29">
        <f t="shared" si="80"/>
        <v>4000</v>
      </c>
      <c r="P546" s="16">
        <f t="shared" si="81"/>
        <v>854</v>
      </c>
      <c r="Q546" s="28">
        <f>Master_Table[[#This Row],[△Sales Variance]]/Master_Table[[#This Row],[Sales Budget]]</f>
        <v>9.0800000000000006E-2</v>
      </c>
      <c r="R546" s="28">
        <f>Master_Table[[#This Row],[△Expense  Variance]]/Master_Table[[#This Row],[Expense Budget]]</f>
        <v>0.4</v>
      </c>
      <c r="S546" s="28">
        <f>Master_Table[[#This Row],[Net Profit Variance]]/Master_Table[[#This Row],[Budget Net Profit]]</f>
        <v>0.2135</v>
      </c>
      <c r="T546" s="28">
        <f>Master_Table[[#This Row],[Actual Net Profit]]/Master_Table[[#This Row],[Actual Sales]]</f>
        <v>0.88998899889989003</v>
      </c>
      <c r="U546" s="28" t="str">
        <f>_xlfn.TEXTJOIN(" - ", TRUE, Master_Table[[#This Row],[Product]], Master_Table[[#This Row],[Branch]])</f>
        <v>Pawpaw - Lagos</v>
      </c>
    </row>
    <row r="547" spans="1:21" ht="14.4" x14ac:dyDescent="0.3">
      <c r="A547" s="2">
        <v>546</v>
      </c>
      <c r="B547" s="2">
        <f t="shared" si="77"/>
        <v>109</v>
      </c>
      <c r="C547" s="1" t="str">
        <f>VLOOKUP(B547,Products!A:C,2,FALSE)</f>
        <v>Pawpaw</v>
      </c>
      <c r="D547" s="1" t="str">
        <f t="shared" si="78"/>
        <v>Lagos</v>
      </c>
      <c r="E547" s="4" t="str">
        <f>_xlfn.XLOOKUP(D547,'Sales Manager'!$A$2:$A$6,'Sales Manager'!$B$2:$B$6,"")</f>
        <v>Adaora Okafor</v>
      </c>
      <c r="F547" s="3">
        <f t="shared" si="85"/>
        <v>6</v>
      </c>
      <c r="G547" s="1" t="str">
        <f t="shared" si="85"/>
        <v>Jun</v>
      </c>
      <c r="H547" s="11">
        <v>5000</v>
      </c>
      <c r="I547" s="11">
        <v>5253</v>
      </c>
      <c r="J547" s="11" cm="1">
        <f t="array" ref="J547">_xlfn.XLOOKUP(C547&amp;D547&amp;F547,Expense!$C$2:$C$601&amp;Expense!$D$2:$D$601&amp;Expense!$E$2:$E$601,Expense!$G$2:$G$601,"")</f>
        <v>1000</v>
      </c>
      <c r="K547" s="11" cm="1">
        <f t="array" ref="K547">_xlfn.XLOOKUP(C547&amp;D547&amp;F547,Expense!$C$2:$C$601&amp;Expense!$D$2:$D$601&amp;Expense!$E$2:$E$601,Expense!$H$2:$H$601,"")</f>
        <v>700</v>
      </c>
      <c r="L547" s="14">
        <f t="shared" si="82"/>
        <v>253</v>
      </c>
      <c r="M547" s="14">
        <f>Master_Table[[#This Row],[Expense Budget]]-Master_Table[[#This Row],[Actual Expense]]</f>
        <v>300</v>
      </c>
      <c r="N547" s="16">
        <f t="shared" si="83"/>
        <v>4553</v>
      </c>
      <c r="O547" s="29">
        <f t="shared" si="80"/>
        <v>4000</v>
      </c>
      <c r="P547" s="16">
        <f t="shared" si="81"/>
        <v>553</v>
      </c>
      <c r="Q547" s="28">
        <f>Master_Table[[#This Row],[△Sales Variance]]/Master_Table[[#This Row],[Sales Budget]]</f>
        <v>5.0599999999999999E-2</v>
      </c>
      <c r="R547" s="28">
        <f>Master_Table[[#This Row],[△Expense  Variance]]/Master_Table[[#This Row],[Expense Budget]]</f>
        <v>0.3</v>
      </c>
      <c r="S547" s="28">
        <f>Master_Table[[#This Row],[Net Profit Variance]]/Master_Table[[#This Row],[Budget Net Profit]]</f>
        <v>0.13825000000000001</v>
      </c>
      <c r="T547" s="28">
        <f>Master_Table[[#This Row],[Actual Net Profit]]/Master_Table[[#This Row],[Actual Sales]]</f>
        <v>0.86674281363030647</v>
      </c>
      <c r="U547" s="28" t="str">
        <f>_xlfn.TEXTJOIN(" - ", TRUE, Master_Table[[#This Row],[Product]], Master_Table[[#This Row],[Branch]])</f>
        <v>Pawpaw - Lagos</v>
      </c>
    </row>
    <row r="548" spans="1:21" ht="14.4" x14ac:dyDescent="0.3">
      <c r="A548" s="2">
        <v>547</v>
      </c>
      <c r="B548" s="2">
        <f t="shared" si="77"/>
        <v>109</v>
      </c>
      <c r="C548" s="1" t="str">
        <f>VLOOKUP(B548,Products!A:C,2,FALSE)</f>
        <v>Pawpaw</v>
      </c>
      <c r="D548" s="1" t="str">
        <f t="shared" si="78"/>
        <v>Lagos</v>
      </c>
      <c r="E548" s="4" t="str">
        <f>_xlfn.XLOOKUP(D548,'Sales Manager'!$A$2:$A$6,'Sales Manager'!$B$2:$B$6,"")</f>
        <v>Adaora Okafor</v>
      </c>
      <c r="F548" s="3">
        <f t="shared" si="85"/>
        <v>7</v>
      </c>
      <c r="G548" s="1" t="str">
        <f t="shared" si="85"/>
        <v>Jul</v>
      </c>
      <c r="H548" s="11">
        <v>1000</v>
      </c>
      <c r="I548" s="11">
        <v>5342</v>
      </c>
      <c r="J548" s="11" cm="1">
        <f t="array" ref="J548">_xlfn.XLOOKUP(C548&amp;D548&amp;F548,Expense!$C$2:$C$601&amp;Expense!$D$2:$D$601&amp;Expense!$E$2:$E$601,Expense!$G$2:$G$601,"")</f>
        <v>250</v>
      </c>
      <c r="K548" s="11" cm="1">
        <f t="array" ref="K548">_xlfn.XLOOKUP(C548&amp;D548&amp;F548,Expense!$C$2:$C$601&amp;Expense!$D$2:$D$601&amp;Expense!$E$2:$E$601,Expense!$H$2:$H$601,"")</f>
        <v>150</v>
      </c>
      <c r="L548" s="14">
        <f t="shared" si="82"/>
        <v>4342</v>
      </c>
      <c r="M548" s="14">
        <f>Master_Table[[#This Row],[Expense Budget]]-Master_Table[[#This Row],[Actual Expense]]</f>
        <v>100</v>
      </c>
      <c r="N548" s="16">
        <f t="shared" si="83"/>
        <v>5192</v>
      </c>
      <c r="O548" s="29">
        <f t="shared" si="80"/>
        <v>750</v>
      </c>
      <c r="P548" s="16">
        <f t="shared" si="81"/>
        <v>4442</v>
      </c>
      <c r="Q548" s="28">
        <f>Master_Table[[#This Row],[△Sales Variance]]/Master_Table[[#This Row],[Sales Budget]]</f>
        <v>4.3419999999999996</v>
      </c>
      <c r="R548" s="28">
        <f>Master_Table[[#This Row],[△Expense  Variance]]/Master_Table[[#This Row],[Expense Budget]]</f>
        <v>0.4</v>
      </c>
      <c r="S548" s="28">
        <f>Master_Table[[#This Row],[Net Profit Variance]]/Master_Table[[#This Row],[Budget Net Profit]]</f>
        <v>5.9226666666666663</v>
      </c>
      <c r="T548" s="28">
        <f>Master_Table[[#This Row],[Actual Net Profit]]/Master_Table[[#This Row],[Actual Sales]]</f>
        <v>0.97192062897791087</v>
      </c>
      <c r="U548" s="28" t="str">
        <f>_xlfn.TEXTJOIN(" - ", TRUE, Master_Table[[#This Row],[Product]], Master_Table[[#This Row],[Branch]])</f>
        <v>Pawpaw - Lagos</v>
      </c>
    </row>
    <row r="549" spans="1:21" ht="14.4" x14ac:dyDescent="0.3">
      <c r="A549" s="2">
        <v>548</v>
      </c>
      <c r="B549" s="2">
        <f t="shared" si="77"/>
        <v>109</v>
      </c>
      <c r="C549" s="1" t="str">
        <f>VLOOKUP(B549,Products!A:C,2,FALSE)</f>
        <v>Pawpaw</v>
      </c>
      <c r="D549" s="1" t="str">
        <f t="shared" si="78"/>
        <v>Lagos</v>
      </c>
      <c r="E549" s="4" t="str">
        <f>_xlfn.XLOOKUP(D549,'Sales Manager'!$A$2:$A$6,'Sales Manager'!$B$2:$B$6,"")</f>
        <v>Adaora Okafor</v>
      </c>
      <c r="F549" s="3">
        <f t="shared" si="85"/>
        <v>8</v>
      </c>
      <c r="G549" s="1" t="str">
        <f t="shared" si="85"/>
        <v>Aug</v>
      </c>
      <c r="H549" s="11">
        <v>2000</v>
      </c>
      <c r="I549" s="11">
        <v>6616</v>
      </c>
      <c r="J549" s="11" cm="1">
        <f t="array" ref="J549">_xlfn.XLOOKUP(C549&amp;D549&amp;F549,Expense!$C$2:$C$601&amp;Expense!$D$2:$D$601&amp;Expense!$E$2:$E$601,Expense!$G$2:$G$601,"")</f>
        <v>500</v>
      </c>
      <c r="K549" s="11" cm="1">
        <f t="array" ref="K549">_xlfn.XLOOKUP(C549&amp;D549&amp;F549,Expense!$C$2:$C$601&amp;Expense!$D$2:$D$601&amp;Expense!$E$2:$E$601,Expense!$H$2:$H$601,"")</f>
        <v>100</v>
      </c>
      <c r="L549" s="14">
        <f t="shared" si="82"/>
        <v>4616</v>
      </c>
      <c r="M549" s="14">
        <f>Master_Table[[#This Row],[Expense Budget]]-Master_Table[[#This Row],[Actual Expense]]</f>
        <v>400</v>
      </c>
      <c r="N549" s="16">
        <f t="shared" si="83"/>
        <v>6516</v>
      </c>
      <c r="O549" s="29">
        <f t="shared" si="80"/>
        <v>1500</v>
      </c>
      <c r="P549" s="16">
        <f t="shared" si="81"/>
        <v>5016</v>
      </c>
      <c r="Q549" s="28">
        <f>Master_Table[[#This Row],[△Sales Variance]]/Master_Table[[#This Row],[Sales Budget]]</f>
        <v>2.3079999999999998</v>
      </c>
      <c r="R549" s="28">
        <f>Master_Table[[#This Row],[△Expense  Variance]]/Master_Table[[#This Row],[Expense Budget]]</f>
        <v>0.8</v>
      </c>
      <c r="S549" s="28">
        <f>Master_Table[[#This Row],[Net Profit Variance]]/Master_Table[[#This Row],[Budget Net Profit]]</f>
        <v>3.3439999999999999</v>
      </c>
      <c r="T549" s="28">
        <f>Master_Table[[#This Row],[Actual Net Profit]]/Master_Table[[#This Row],[Actual Sales]]</f>
        <v>0.98488512696493347</v>
      </c>
      <c r="U549" s="28" t="str">
        <f>_xlfn.TEXTJOIN(" - ", TRUE, Master_Table[[#This Row],[Product]], Master_Table[[#This Row],[Branch]])</f>
        <v>Pawpaw - Lagos</v>
      </c>
    </row>
    <row r="550" spans="1:21" ht="14.4" x14ac:dyDescent="0.3">
      <c r="A550" s="2">
        <v>549</v>
      </c>
      <c r="B550" s="2">
        <f t="shared" si="77"/>
        <v>109</v>
      </c>
      <c r="C550" s="1" t="str">
        <f>VLOOKUP(B550,Products!A:C,2,FALSE)</f>
        <v>Pawpaw</v>
      </c>
      <c r="D550" s="1" t="str">
        <f t="shared" si="78"/>
        <v>Lagos</v>
      </c>
      <c r="E550" s="4" t="str">
        <f>_xlfn.XLOOKUP(D550,'Sales Manager'!$A$2:$A$6,'Sales Manager'!$B$2:$B$6,"")</f>
        <v>Adaora Okafor</v>
      </c>
      <c r="F550" s="3">
        <f t="shared" si="85"/>
        <v>9</v>
      </c>
      <c r="G550" s="1" t="str">
        <f t="shared" si="85"/>
        <v>Sept</v>
      </c>
      <c r="H550" s="11">
        <v>1000</v>
      </c>
      <c r="I550" s="11">
        <v>2777</v>
      </c>
      <c r="J550" s="11" cm="1">
        <f t="array" ref="J550">_xlfn.XLOOKUP(C550&amp;D550&amp;F550,Expense!$C$2:$C$601&amp;Expense!$D$2:$D$601&amp;Expense!$E$2:$E$601,Expense!$G$2:$G$601,"")</f>
        <v>250</v>
      </c>
      <c r="K550" s="11" cm="1">
        <f t="array" ref="K550">_xlfn.XLOOKUP(C550&amp;D550&amp;F550,Expense!$C$2:$C$601&amp;Expense!$D$2:$D$601&amp;Expense!$E$2:$E$601,Expense!$H$2:$H$601,"")</f>
        <v>350</v>
      </c>
      <c r="L550" s="14">
        <f t="shared" si="82"/>
        <v>1777</v>
      </c>
      <c r="M550" s="14">
        <f>Master_Table[[#This Row],[Expense Budget]]-Master_Table[[#This Row],[Actual Expense]]</f>
        <v>-100</v>
      </c>
      <c r="N550" s="16">
        <f t="shared" si="83"/>
        <v>2427</v>
      </c>
      <c r="O550" s="29">
        <f t="shared" si="80"/>
        <v>750</v>
      </c>
      <c r="P550" s="16">
        <f t="shared" si="81"/>
        <v>1677</v>
      </c>
      <c r="Q550" s="28">
        <f>Master_Table[[#This Row],[△Sales Variance]]/Master_Table[[#This Row],[Sales Budget]]</f>
        <v>1.7769999999999999</v>
      </c>
      <c r="R550" s="28">
        <f>Master_Table[[#This Row],[△Expense  Variance]]/Master_Table[[#This Row],[Expense Budget]]</f>
        <v>-0.4</v>
      </c>
      <c r="S550" s="28">
        <f>Master_Table[[#This Row],[Net Profit Variance]]/Master_Table[[#This Row],[Budget Net Profit]]</f>
        <v>2.2360000000000002</v>
      </c>
      <c r="T550" s="28">
        <f>Master_Table[[#This Row],[Actual Net Profit]]/Master_Table[[#This Row],[Actual Sales]]</f>
        <v>0.87396471011883325</v>
      </c>
      <c r="U550" s="28" t="str">
        <f>_xlfn.TEXTJOIN(" - ", TRUE, Master_Table[[#This Row],[Product]], Master_Table[[#This Row],[Branch]])</f>
        <v>Pawpaw - Lagos</v>
      </c>
    </row>
    <row r="551" spans="1:21" ht="14.4" x14ac:dyDescent="0.3">
      <c r="A551" s="2">
        <v>550</v>
      </c>
      <c r="B551" s="2">
        <f t="shared" si="77"/>
        <v>109</v>
      </c>
      <c r="C551" s="1" t="str">
        <f>VLOOKUP(B551,Products!A:C,2,FALSE)</f>
        <v>Pawpaw</v>
      </c>
      <c r="D551" s="1" t="str">
        <f t="shared" si="78"/>
        <v>Lagos</v>
      </c>
      <c r="E551" s="4" t="str">
        <f>_xlfn.XLOOKUP(D551,'Sales Manager'!$A$2:$A$6,'Sales Manager'!$B$2:$B$6,"")</f>
        <v>Adaora Okafor</v>
      </c>
      <c r="F551" s="3">
        <f t="shared" si="85"/>
        <v>10</v>
      </c>
      <c r="G551" s="1" t="str">
        <f t="shared" si="85"/>
        <v>Oct</v>
      </c>
      <c r="H551" s="11">
        <v>7000</v>
      </c>
      <c r="I551" s="11">
        <v>8668</v>
      </c>
      <c r="J551" s="11" cm="1">
        <f t="array" ref="J551">_xlfn.XLOOKUP(C551&amp;D551&amp;F551,Expense!$C$2:$C$601&amp;Expense!$D$2:$D$601&amp;Expense!$E$2:$E$601,Expense!$G$2:$G$601,"")</f>
        <v>3500</v>
      </c>
      <c r="K551" s="11" cm="1">
        <f t="array" ref="K551">_xlfn.XLOOKUP(C551&amp;D551&amp;F551,Expense!$C$2:$C$601&amp;Expense!$D$2:$D$601&amp;Expense!$E$2:$E$601,Expense!$H$2:$H$601,"")</f>
        <v>3400</v>
      </c>
      <c r="L551" s="14">
        <f t="shared" si="82"/>
        <v>1668</v>
      </c>
      <c r="M551" s="14">
        <f>Master_Table[[#This Row],[Expense Budget]]-Master_Table[[#This Row],[Actual Expense]]</f>
        <v>100</v>
      </c>
      <c r="N551" s="16">
        <f t="shared" si="83"/>
        <v>5268</v>
      </c>
      <c r="O551" s="29">
        <f t="shared" si="80"/>
        <v>3500</v>
      </c>
      <c r="P551" s="16">
        <f t="shared" si="81"/>
        <v>1768</v>
      </c>
      <c r="Q551" s="28">
        <f>Master_Table[[#This Row],[△Sales Variance]]/Master_Table[[#This Row],[Sales Budget]]</f>
        <v>0.2382857142857143</v>
      </c>
      <c r="R551" s="28">
        <f>Master_Table[[#This Row],[△Expense  Variance]]/Master_Table[[#This Row],[Expense Budget]]</f>
        <v>2.8571428571428571E-2</v>
      </c>
      <c r="S551" s="28">
        <f>Master_Table[[#This Row],[Net Profit Variance]]/Master_Table[[#This Row],[Budget Net Profit]]</f>
        <v>0.50514285714285712</v>
      </c>
      <c r="T551" s="28">
        <f>Master_Table[[#This Row],[Actual Net Profit]]/Master_Table[[#This Row],[Actual Sales]]</f>
        <v>0.60775265343793261</v>
      </c>
      <c r="U551" s="28" t="str">
        <f>_xlfn.TEXTJOIN(" - ", TRUE, Master_Table[[#This Row],[Product]], Master_Table[[#This Row],[Branch]])</f>
        <v>Pawpaw - Lagos</v>
      </c>
    </row>
    <row r="552" spans="1:21" ht="14.4" x14ac:dyDescent="0.3">
      <c r="A552" s="2">
        <v>551</v>
      </c>
      <c r="B552" s="2">
        <f t="shared" si="77"/>
        <v>109</v>
      </c>
      <c r="C552" s="1" t="str">
        <f>VLOOKUP(B552,Products!A:C,2,FALSE)</f>
        <v>Pawpaw</v>
      </c>
      <c r="D552" s="1" t="str">
        <f t="shared" si="78"/>
        <v>Lagos</v>
      </c>
      <c r="E552" s="4" t="str">
        <f>_xlfn.XLOOKUP(D552,'Sales Manager'!$A$2:$A$6,'Sales Manager'!$B$2:$B$6,"")</f>
        <v>Adaora Okafor</v>
      </c>
      <c r="F552" s="3">
        <f t="shared" si="85"/>
        <v>11</v>
      </c>
      <c r="G552" s="1" t="str">
        <f t="shared" si="85"/>
        <v>Nov</v>
      </c>
      <c r="H552" s="11">
        <v>1000</v>
      </c>
      <c r="I552" s="11">
        <v>2451</v>
      </c>
      <c r="J552" s="11" cm="1">
        <f t="array" ref="J552">_xlfn.XLOOKUP(C552&amp;D552&amp;F552,Expense!$C$2:$C$601&amp;Expense!$D$2:$D$601&amp;Expense!$E$2:$E$601,Expense!$G$2:$G$601,"")</f>
        <v>333.33333333333331</v>
      </c>
      <c r="K552" s="11" cm="1">
        <f t="array" ref="K552">_xlfn.XLOOKUP(C552&amp;D552&amp;F552,Expense!$C$2:$C$601&amp;Expense!$D$2:$D$601&amp;Expense!$E$2:$E$601,Expense!$H$2:$H$601,"")</f>
        <v>166.66666666666669</v>
      </c>
      <c r="L552" s="14">
        <f t="shared" si="82"/>
        <v>1451</v>
      </c>
      <c r="M552" s="14">
        <f>Master_Table[[#This Row],[Expense Budget]]-Master_Table[[#This Row],[Actual Expense]]</f>
        <v>166.66666666666663</v>
      </c>
      <c r="N552" s="16">
        <f t="shared" si="83"/>
        <v>2284.3333333333335</v>
      </c>
      <c r="O552" s="29">
        <f t="shared" si="80"/>
        <v>666.66666666666674</v>
      </c>
      <c r="P552" s="16">
        <f t="shared" si="81"/>
        <v>1617.6666666666667</v>
      </c>
      <c r="Q552" s="28">
        <f>Master_Table[[#This Row],[△Sales Variance]]/Master_Table[[#This Row],[Sales Budget]]</f>
        <v>1.4510000000000001</v>
      </c>
      <c r="R552" s="28">
        <f>Master_Table[[#This Row],[△Expense  Variance]]/Master_Table[[#This Row],[Expense Budget]]</f>
        <v>0.49999999999999989</v>
      </c>
      <c r="S552" s="28">
        <f>Master_Table[[#This Row],[Net Profit Variance]]/Master_Table[[#This Row],[Budget Net Profit]]</f>
        <v>2.4264999999999999</v>
      </c>
      <c r="T552" s="28">
        <f>Master_Table[[#This Row],[Actual Net Profit]]/Master_Table[[#This Row],[Actual Sales]]</f>
        <v>0.93200054399564813</v>
      </c>
      <c r="U552" s="28" t="str">
        <f>_xlfn.TEXTJOIN(" - ", TRUE, Master_Table[[#This Row],[Product]], Master_Table[[#This Row],[Branch]])</f>
        <v>Pawpaw - Lagos</v>
      </c>
    </row>
    <row r="553" spans="1:21" ht="14.4" x14ac:dyDescent="0.3">
      <c r="A553" s="2">
        <v>552</v>
      </c>
      <c r="B553" s="2">
        <f t="shared" si="77"/>
        <v>109</v>
      </c>
      <c r="C553" s="1" t="str">
        <f>VLOOKUP(B553,Products!A:C,2,FALSE)</f>
        <v>Pawpaw</v>
      </c>
      <c r="D553" s="1" t="str">
        <f t="shared" si="78"/>
        <v>Lagos</v>
      </c>
      <c r="E553" s="4" t="str">
        <f>_xlfn.XLOOKUP(D553,'Sales Manager'!$A$2:$A$6,'Sales Manager'!$B$2:$B$6,"")</f>
        <v>Adaora Okafor</v>
      </c>
      <c r="F553" s="3">
        <f t="shared" si="85"/>
        <v>12</v>
      </c>
      <c r="G553" s="1" t="str">
        <f t="shared" si="85"/>
        <v>Dec</v>
      </c>
      <c r="H553" s="11">
        <v>8000</v>
      </c>
      <c r="I553" s="11">
        <v>2545</v>
      </c>
      <c r="J553" s="11" cm="1">
        <f t="array" ref="J553">_xlfn.XLOOKUP(C553&amp;D553&amp;F553,Expense!$C$2:$C$601&amp;Expense!$D$2:$D$601&amp;Expense!$E$2:$E$601,Expense!$G$2:$G$601,"")</f>
        <v>2000</v>
      </c>
      <c r="K553" s="11" cm="1">
        <f t="array" ref="K553">_xlfn.XLOOKUP(C553&amp;D553&amp;F553,Expense!$C$2:$C$601&amp;Expense!$D$2:$D$601&amp;Expense!$E$2:$E$601,Expense!$H$2:$H$601,"")</f>
        <v>1800</v>
      </c>
      <c r="L553" s="14">
        <f t="shared" si="82"/>
        <v>-5455</v>
      </c>
      <c r="M553" s="14">
        <f>Master_Table[[#This Row],[Expense Budget]]-Master_Table[[#This Row],[Actual Expense]]</f>
        <v>200</v>
      </c>
      <c r="N553" s="16">
        <f t="shared" si="83"/>
        <v>745</v>
      </c>
      <c r="O553" s="29">
        <f t="shared" si="80"/>
        <v>6000</v>
      </c>
      <c r="P553" s="16">
        <f t="shared" si="81"/>
        <v>-5255</v>
      </c>
      <c r="Q553" s="28">
        <f>Master_Table[[#This Row],[△Sales Variance]]/Master_Table[[#This Row],[Sales Budget]]</f>
        <v>-0.68187500000000001</v>
      </c>
      <c r="R553" s="28">
        <f>Master_Table[[#This Row],[△Expense  Variance]]/Master_Table[[#This Row],[Expense Budget]]</f>
        <v>0.1</v>
      </c>
      <c r="S553" s="28">
        <f>Master_Table[[#This Row],[Net Profit Variance]]/Master_Table[[#This Row],[Budget Net Profit]]</f>
        <v>-0.87583333333333335</v>
      </c>
      <c r="T553" s="28">
        <f>Master_Table[[#This Row],[Actual Net Profit]]/Master_Table[[#This Row],[Actual Sales]]</f>
        <v>0.29273084479371314</v>
      </c>
      <c r="U553" s="28" t="str">
        <f>_xlfn.TEXTJOIN(" - ", TRUE, Master_Table[[#This Row],[Product]], Master_Table[[#This Row],[Branch]])</f>
        <v>Pawpaw - Lagos</v>
      </c>
    </row>
    <row r="554" spans="1:21" ht="14.4" x14ac:dyDescent="0.3">
      <c r="A554" s="2">
        <v>553</v>
      </c>
      <c r="B554" s="2">
        <f t="shared" si="77"/>
        <v>109</v>
      </c>
      <c r="C554" s="1" t="str">
        <f>VLOOKUP(B554,Products!A:C,2,FALSE)</f>
        <v>Pawpaw</v>
      </c>
      <c r="D554" s="1" t="str">
        <f t="shared" si="78"/>
        <v>Abuja</v>
      </c>
      <c r="E554" s="4" t="str">
        <f>_xlfn.XLOOKUP(D554,'Sales Manager'!$A$2:$A$6,'Sales Manager'!$B$2:$B$6,"")</f>
        <v>Emeka Nwosu</v>
      </c>
      <c r="F554" s="3">
        <f t="shared" si="85"/>
        <v>1</v>
      </c>
      <c r="G554" s="1" t="str">
        <f t="shared" si="85"/>
        <v>Jan</v>
      </c>
      <c r="H554" s="11">
        <v>2000</v>
      </c>
      <c r="I554" s="11">
        <v>10264</v>
      </c>
      <c r="J554" s="11" cm="1">
        <f t="array" ref="J554">_xlfn.XLOOKUP(C554&amp;D554&amp;F554,Expense!$C$2:$C$601&amp;Expense!$D$2:$D$601&amp;Expense!$E$2:$E$601,Expense!$G$2:$G$601,"")</f>
        <v>400</v>
      </c>
      <c r="K554" s="11" cm="1">
        <f t="array" ref="K554">_xlfn.XLOOKUP(C554&amp;D554&amp;F554,Expense!$C$2:$C$601&amp;Expense!$D$2:$D$601&amp;Expense!$E$2:$E$601,Expense!$H$2:$H$601,"")</f>
        <v>200</v>
      </c>
      <c r="L554" s="14">
        <f t="shared" si="82"/>
        <v>8264</v>
      </c>
      <c r="M554" s="14">
        <f>Master_Table[[#This Row],[Expense Budget]]-Master_Table[[#This Row],[Actual Expense]]</f>
        <v>200</v>
      </c>
      <c r="N554" s="16">
        <f t="shared" si="83"/>
        <v>10064</v>
      </c>
      <c r="O554" s="29">
        <f t="shared" si="80"/>
        <v>1600</v>
      </c>
      <c r="P554" s="16">
        <f t="shared" si="81"/>
        <v>8464</v>
      </c>
      <c r="Q554" s="28">
        <f>Master_Table[[#This Row],[△Sales Variance]]/Master_Table[[#This Row],[Sales Budget]]</f>
        <v>4.1319999999999997</v>
      </c>
      <c r="R554" s="28">
        <f>Master_Table[[#This Row],[△Expense  Variance]]/Master_Table[[#This Row],[Expense Budget]]</f>
        <v>0.5</v>
      </c>
      <c r="S554" s="28">
        <f>Master_Table[[#This Row],[Net Profit Variance]]/Master_Table[[#This Row],[Budget Net Profit]]</f>
        <v>5.29</v>
      </c>
      <c r="T554" s="28">
        <f>Master_Table[[#This Row],[Actual Net Profit]]/Master_Table[[#This Row],[Actual Sales]]</f>
        <v>0.98051441932969607</v>
      </c>
      <c r="U554" s="28" t="str">
        <f>_xlfn.TEXTJOIN(" - ", TRUE, Master_Table[[#This Row],[Product]], Master_Table[[#This Row],[Branch]])</f>
        <v>Pawpaw - Abuja</v>
      </c>
    </row>
    <row r="555" spans="1:21" ht="14.4" x14ac:dyDescent="0.3">
      <c r="A555" s="2">
        <v>554</v>
      </c>
      <c r="B555" s="2">
        <f t="shared" si="77"/>
        <v>109</v>
      </c>
      <c r="C555" s="1" t="str">
        <f>VLOOKUP(B555,Products!A:C,2,FALSE)</f>
        <v>Pawpaw</v>
      </c>
      <c r="D555" s="1" t="str">
        <f t="shared" si="78"/>
        <v>Abuja</v>
      </c>
      <c r="E555" s="4" t="str">
        <f>_xlfn.XLOOKUP(D555,'Sales Manager'!$A$2:$A$6,'Sales Manager'!$B$2:$B$6,"")</f>
        <v>Emeka Nwosu</v>
      </c>
      <c r="F555" s="3">
        <f t="shared" si="85"/>
        <v>2</v>
      </c>
      <c r="G555" s="1" t="str">
        <f t="shared" si="85"/>
        <v>Feb</v>
      </c>
      <c r="H555" s="11">
        <v>8000</v>
      </c>
      <c r="I555" s="11">
        <v>3415</v>
      </c>
      <c r="J555" s="11" cm="1">
        <f t="array" ref="J555">_xlfn.XLOOKUP(C555&amp;D555&amp;F555,Expense!$C$2:$C$601&amp;Expense!$D$2:$D$601&amp;Expense!$E$2:$E$601,Expense!$G$2:$G$601,"")</f>
        <v>4000</v>
      </c>
      <c r="K555" s="11" cm="1">
        <f t="array" ref="K555">_xlfn.XLOOKUP(C555&amp;D555&amp;F555,Expense!$C$2:$C$601&amp;Expense!$D$2:$D$601&amp;Expense!$E$2:$E$601,Expense!$H$2:$H$601,"")</f>
        <v>3800</v>
      </c>
      <c r="L555" s="14">
        <f t="shared" si="82"/>
        <v>-4585</v>
      </c>
      <c r="M555" s="14">
        <f>Master_Table[[#This Row],[Expense Budget]]-Master_Table[[#This Row],[Actual Expense]]</f>
        <v>200</v>
      </c>
      <c r="N555" s="16">
        <f t="shared" si="83"/>
        <v>-385</v>
      </c>
      <c r="O555" s="29">
        <f t="shared" si="80"/>
        <v>4000</v>
      </c>
      <c r="P555" s="16">
        <f t="shared" si="81"/>
        <v>-4385</v>
      </c>
      <c r="Q555" s="28">
        <f>Master_Table[[#This Row],[△Sales Variance]]/Master_Table[[#This Row],[Sales Budget]]</f>
        <v>-0.573125</v>
      </c>
      <c r="R555" s="28">
        <f>Master_Table[[#This Row],[△Expense  Variance]]/Master_Table[[#This Row],[Expense Budget]]</f>
        <v>0.05</v>
      </c>
      <c r="S555" s="28">
        <f>Master_Table[[#This Row],[Net Profit Variance]]/Master_Table[[#This Row],[Budget Net Profit]]</f>
        <v>-1.0962499999999999</v>
      </c>
      <c r="T555" s="28">
        <f>Master_Table[[#This Row],[Actual Net Profit]]/Master_Table[[#This Row],[Actual Sales]]</f>
        <v>-0.11273792093704246</v>
      </c>
      <c r="U555" s="28" t="str">
        <f>_xlfn.TEXTJOIN(" - ", TRUE, Master_Table[[#This Row],[Product]], Master_Table[[#This Row],[Branch]])</f>
        <v>Pawpaw - Abuja</v>
      </c>
    </row>
    <row r="556" spans="1:21" ht="14.4" x14ac:dyDescent="0.3">
      <c r="A556" s="2">
        <v>555</v>
      </c>
      <c r="B556" s="2">
        <f t="shared" si="77"/>
        <v>109</v>
      </c>
      <c r="C556" s="1" t="str">
        <f>VLOOKUP(B556,Products!A:C,2,FALSE)</f>
        <v>Pawpaw</v>
      </c>
      <c r="D556" s="1" t="str">
        <f t="shared" si="78"/>
        <v>Abuja</v>
      </c>
      <c r="E556" s="4" t="str">
        <f>_xlfn.XLOOKUP(D556,'Sales Manager'!$A$2:$A$6,'Sales Manager'!$B$2:$B$6,"")</f>
        <v>Emeka Nwosu</v>
      </c>
      <c r="F556" s="3">
        <f t="shared" si="85"/>
        <v>3</v>
      </c>
      <c r="G556" s="1" t="str">
        <f t="shared" si="85"/>
        <v>Mar</v>
      </c>
      <c r="H556" s="11">
        <v>9000</v>
      </c>
      <c r="I556" s="11">
        <v>8549</v>
      </c>
      <c r="J556" s="11" cm="1">
        <f t="array" ref="J556">_xlfn.XLOOKUP(C556&amp;D556&amp;F556,Expense!$C$2:$C$601&amp;Expense!$D$2:$D$601&amp;Expense!$E$2:$E$601,Expense!$G$2:$G$601,"")</f>
        <v>4500</v>
      </c>
      <c r="K556" s="11" cm="1">
        <f t="array" ref="K556">_xlfn.XLOOKUP(C556&amp;D556&amp;F556,Expense!$C$2:$C$601&amp;Expense!$D$2:$D$601&amp;Expense!$E$2:$E$601,Expense!$H$2:$H$601,"")</f>
        <v>3800</v>
      </c>
      <c r="L556" s="14">
        <f t="shared" si="82"/>
        <v>-451</v>
      </c>
      <c r="M556" s="14">
        <f>Master_Table[[#This Row],[Expense Budget]]-Master_Table[[#This Row],[Actual Expense]]</f>
        <v>700</v>
      </c>
      <c r="N556" s="16">
        <f t="shared" si="83"/>
        <v>4749</v>
      </c>
      <c r="O556" s="29">
        <f t="shared" si="80"/>
        <v>4500</v>
      </c>
      <c r="P556" s="16">
        <f t="shared" si="81"/>
        <v>249</v>
      </c>
      <c r="Q556" s="28">
        <f>Master_Table[[#This Row],[△Sales Variance]]/Master_Table[[#This Row],[Sales Budget]]</f>
        <v>-5.0111111111111113E-2</v>
      </c>
      <c r="R556" s="28">
        <f>Master_Table[[#This Row],[△Expense  Variance]]/Master_Table[[#This Row],[Expense Budget]]</f>
        <v>0.15555555555555556</v>
      </c>
      <c r="S556" s="28">
        <f>Master_Table[[#This Row],[Net Profit Variance]]/Master_Table[[#This Row],[Budget Net Profit]]</f>
        <v>5.5333333333333332E-2</v>
      </c>
      <c r="T556" s="28">
        <f>Master_Table[[#This Row],[Actual Net Profit]]/Master_Table[[#This Row],[Actual Sales]]</f>
        <v>0.55550356766873321</v>
      </c>
      <c r="U556" s="28" t="str">
        <f>_xlfn.TEXTJOIN(" - ", TRUE, Master_Table[[#This Row],[Product]], Master_Table[[#This Row],[Branch]])</f>
        <v>Pawpaw - Abuja</v>
      </c>
    </row>
    <row r="557" spans="1:21" ht="14.4" x14ac:dyDescent="0.3">
      <c r="A557" s="2">
        <v>556</v>
      </c>
      <c r="B557" s="2">
        <f t="shared" si="77"/>
        <v>109</v>
      </c>
      <c r="C557" s="1" t="str">
        <f>VLOOKUP(B557,Products!A:C,2,FALSE)</f>
        <v>Pawpaw</v>
      </c>
      <c r="D557" s="1" t="str">
        <f t="shared" si="78"/>
        <v>Abuja</v>
      </c>
      <c r="E557" s="4" t="str">
        <f>_xlfn.XLOOKUP(D557,'Sales Manager'!$A$2:$A$6,'Sales Manager'!$B$2:$B$6,"")</f>
        <v>Emeka Nwosu</v>
      </c>
      <c r="F557" s="3">
        <f t="shared" si="85"/>
        <v>4</v>
      </c>
      <c r="G557" s="1" t="str">
        <f t="shared" si="85"/>
        <v>Apr</v>
      </c>
      <c r="H557" s="11">
        <v>9000</v>
      </c>
      <c r="I557" s="11">
        <v>2598</v>
      </c>
      <c r="J557" s="11" cm="1">
        <f t="array" ref="J557">_xlfn.XLOOKUP(C557&amp;D557&amp;F557,Expense!$C$2:$C$601&amp;Expense!$D$2:$D$601&amp;Expense!$E$2:$E$601,Expense!$G$2:$G$601,"")</f>
        <v>1800</v>
      </c>
      <c r="K557" s="11" cm="1">
        <f t="array" ref="K557">_xlfn.XLOOKUP(C557&amp;D557&amp;F557,Expense!$C$2:$C$601&amp;Expense!$D$2:$D$601&amp;Expense!$E$2:$E$601,Expense!$H$2:$H$601,"")</f>
        <v>1700</v>
      </c>
      <c r="L557" s="14">
        <f t="shared" si="82"/>
        <v>-6402</v>
      </c>
      <c r="M557" s="14">
        <f>Master_Table[[#This Row],[Expense Budget]]-Master_Table[[#This Row],[Actual Expense]]</f>
        <v>100</v>
      </c>
      <c r="N557" s="16">
        <f t="shared" si="83"/>
        <v>898</v>
      </c>
      <c r="O557" s="29">
        <f t="shared" si="80"/>
        <v>7200</v>
      </c>
      <c r="P557" s="16">
        <f t="shared" si="81"/>
        <v>-6302</v>
      </c>
      <c r="Q557" s="28">
        <f>Master_Table[[#This Row],[△Sales Variance]]/Master_Table[[#This Row],[Sales Budget]]</f>
        <v>-0.71133333333333337</v>
      </c>
      <c r="R557" s="28">
        <f>Master_Table[[#This Row],[△Expense  Variance]]/Master_Table[[#This Row],[Expense Budget]]</f>
        <v>5.5555555555555552E-2</v>
      </c>
      <c r="S557" s="28">
        <f>Master_Table[[#This Row],[Net Profit Variance]]/Master_Table[[#This Row],[Budget Net Profit]]</f>
        <v>-0.87527777777777782</v>
      </c>
      <c r="T557" s="28">
        <f>Master_Table[[#This Row],[Actual Net Profit]]/Master_Table[[#This Row],[Actual Sales]]</f>
        <v>0.34565050038491146</v>
      </c>
      <c r="U557" s="28" t="str">
        <f>_xlfn.TEXTJOIN(" - ", TRUE, Master_Table[[#This Row],[Product]], Master_Table[[#This Row],[Branch]])</f>
        <v>Pawpaw - Abuja</v>
      </c>
    </row>
    <row r="558" spans="1:21" ht="14.4" x14ac:dyDescent="0.3">
      <c r="A558" s="2">
        <v>557</v>
      </c>
      <c r="B558" s="2">
        <f t="shared" si="77"/>
        <v>109</v>
      </c>
      <c r="C558" s="1" t="str">
        <f>VLOOKUP(B558,Products!A:C,2,FALSE)</f>
        <v>Pawpaw</v>
      </c>
      <c r="D558" s="1" t="str">
        <f t="shared" si="78"/>
        <v>Abuja</v>
      </c>
      <c r="E558" s="4" t="str">
        <f>_xlfn.XLOOKUP(D558,'Sales Manager'!$A$2:$A$6,'Sales Manager'!$B$2:$B$6,"")</f>
        <v>Emeka Nwosu</v>
      </c>
      <c r="F558" s="3">
        <f t="shared" si="85"/>
        <v>5</v>
      </c>
      <c r="G558" s="1" t="str">
        <f t="shared" si="85"/>
        <v>May</v>
      </c>
      <c r="H558" s="11">
        <v>4000</v>
      </c>
      <c r="I558" s="11">
        <v>10587</v>
      </c>
      <c r="J558" s="11" cm="1">
        <f t="array" ref="J558">_xlfn.XLOOKUP(C558&amp;D558&amp;F558,Expense!$C$2:$C$601&amp;Expense!$D$2:$D$601&amp;Expense!$E$2:$E$601,Expense!$G$2:$G$601,"")</f>
        <v>800</v>
      </c>
      <c r="K558" s="11" cm="1">
        <f t="array" ref="K558">_xlfn.XLOOKUP(C558&amp;D558&amp;F558,Expense!$C$2:$C$601&amp;Expense!$D$2:$D$601&amp;Expense!$E$2:$E$601,Expense!$H$2:$H$601,"")</f>
        <v>500</v>
      </c>
      <c r="L558" s="14">
        <f t="shared" si="82"/>
        <v>6587</v>
      </c>
      <c r="M558" s="14">
        <f>Master_Table[[#This Row],[Expense Budget]]-Master_Table[[#This Row],[Actual Expense]]</f>
        <v>300</v>
      </c>
      <c r="N558" s="16">
        <f t="shared" si="83"/>
        <v>10087</v>
      </c>
      <c r="O558" s="29">
        <f t="shared" si="80"/>
        <v>3200</v>
      </c>
      <c r="P558" s="16">
        <f t="shared" si="81"/>
        <v>6887</v>
      </c>
      <c r="Q558" s="28">
        <f>Master_Table[[#This Row],[△Sales Variance]]/Master_Table[[#This Row],[Sales Budget]]</f>
        <v>1.6467499999999999</v>
      </c>
      <c r="R558" s="28">
        <f>Master_Table[[#This Row],[△Expense  Variance]]/Master_Table[[#This Row],[Expense Budget]]</f>
        <v>0.375</v>
      </c>
      <c r="S558" s="28">
        <f>Master_Table[[#This Row],[Net Profit Variance]]/Master_Table[[#This Row],[Budget Net Profit]]</f>
        <v>2.1521875000000001</v>
      </c>
      <c r="T558" s="28">
        <f>Master_Table[[#This Row],[Actual Net Profit]]/Master_Table[[#This Row],[Actual Sales]]</f>
        <v>0.95277226787569658</v>
      </c>
      <c r="U558" s="28" t="str">
        <f>_xlfn.TEXTJOIN(" - ", TRUE, Master_Table[[#This Row],[Product]], Master_Table[[#This Row],[Branch]])</f>
        <v>Pawpaw - Abuja</v>
      </c>
    </row>
    <row r="559" spans="1:21" ht="14.4" x14ac:dyDescent="0.3">
      <c r="A559" s="2">
        <v>558</v>
      </c>
      <c r="B559" s="2">
        <f t="shared" si="77"/>
        <v>109</v>
      </c>
      <c r="C559" s="1" t="str">
        <f>VLOOKUP(B559,Products!A:C,2,FALSE)</f>
        <v>Pawpaw</v>
      </c>
      <c r="D559" s="1" t="str">
        <f t="shared" si="78"/>
        <v>Abuja</v>
      </c>
      <c r="E559" s="4" t="str">
        <f>_xlfn.XLOOKUP(D559,'Sales Manager'!$A$2:$A$6,'Sales Manager'!$B$2:$B$6,"")</f>
        <v>Emeka Nwosu</v>
      </c>
      <c r="F559" s="3">
        <f t="shared" ref="F559:G574" si="86">F547</f>
        <v>6</v>
      </c>
      <c r="G559" s="1" t="str">
        <f t="shared" si="86"/>
        <v>Jun</v>
      </c>
      <c r="H559" s="11">
        <v>7000</v>
      </c>
      <c r="I559" s="11">
        <v>7226</v>
      </c>
      <c r="J559" s="11" cm="1">
        <f t="array" ref="J559">_xlfn.XLOOKUP(C559&amp;D559&amp;F559,Expense!$C$2:$C$601&amp;Expense!$D$2:$D$601&amp;Expense!$E$2:$E$601,Expense!$G$2:$G$601,"")</f>
        <v>2333.3333333333335</v>
      </c>
      <c r="K559" s="11" cm="1">
        <f t="array" ref="K559">_xlfn.XLOOKUP(C559&amp;D559&amp;F559,Expense!$C$2:$C$601&amp;Expense!$D$2:$D$601&amp;Expense!$E$2:$E$601,Expense!$H$2:$H$601,"")</f>
        <v>2033.3333333333335</v>
      </c>
      <c r="L559" s="14">
        <f t="shared" si="82"/>
        <v>226</v>
      </c>
      <c r="M559" s="14">
        <f>Master_Table[[#This Row],[Expense Budget]]-Master_Table[[#This Row],[Actual Expense]]</f>
        <v>300</v>
      </c>
      <c r="N559" s="16">
        <f t="shared" si="83"/>
        <v>5192.6666666666661</v>
      </c>
      <c r="O559" s="29">
        <f t="shared" si="80"/>
        <v>4666.6666666666661</v>
      </c>
      <c r="P559" s="16">
        <f t="shared" si="81"/>
        <v>526</v>
      </c>
      <c r="Q559" s="28">
        <f>Master_Table[[#This Row],[△Sales Variance]]/Master_Table[[#This Row],[Sales Budget]]</f>
        <v>3.2285714285714286E-2</v>
      </c>
      <c r="R559" s="28">
        <f>Master_Table[[#This Row],[△Expense  Variance]]/Master_Table[[#This Row],[Expense Budget]]</f>
        <v>0.12857142857142856</v>
      </c>
      <c r="S559" s="28">
        <f>Master_Table[[#This Row],[Net Profit Variance]]/Master_Table[[#This Row],[Budget Net Profit]]</f>
        <v>0.11271428571428573</v>
      </c>
      <c r="T559" s="28">
        <f>Master_Table[[#This Row],[Actual Net Profit]]/Master_Table[[#This Row],[Actual Sales]]</f>
        <v>0.71860872774241158</v>
      </c>
      <c r="U559" s="28" t="str">
        <f>_xlfn.TEXTJOIN(" - ", TRUE, Master_Table[[#This Row],[Product]], Master_Table[[#This Row],[Branch]])</f>
        <v>Pawpaw - Abuja</v>
      </c>
    </row>
    <row r="560" spans="1:21" ht="14.4" x14ac:dyDescent="0.3">
      <c r="A560" s="2">
        <v>559</v>
      </c>
      <c r="B560" s="2">
        <f t="shared" si="77"/>
        <v>109</v>
      </c>
      <c r="C560" s="1" t="str">
        <f>VLOOKUP(B560,Products!A:C,2,FALSE)</f>
        <v>Pawpaw</v>
      </c>
      <c r="D560" s="1" t="str">
        <f t="shared" si="78"/>
        <v>Abuja</v>
      </c>
      <c r="E560" s="4" t="str">
        <f>_xlfn.XLOOKUP(D560,'Sales Manager'!$A$2:$A$6,'Sales Manager'!$B$2:$B$6,"")</f>
        <v>Emeka Nwosu</v>
      </c>
      <c r="F560" s="3">
        <f t="shared" si="86"/>
        <v>7</v>
      </c>
      <c r="G560" s="1" t="str">
        <f t="shared" si="86"/>
        <v>Jul</v>
      </c>
      <c r="H560" s="11">
        <v>5000</v>
      </c>
      <c r="I560" s="11">
        <v>3243</v>
      </c>
      <c r="J560" s="11" cm="1">
        <f t="array" ref="J560">_xlfn.XLOOKUP(C560&amp;D560&amp;F560,Expense!$C$2:$C$601&amp;Expense!$D$2:$D$601&amp;Expense!$E$2:$E$601,Expense!$G$2:$G$601,"")</f>
        <v>1000</v>
      </c>
      <c r="K560" s="11" cm="1">
        <f t="array" ref="K560">_xlfn.XLOOKUP(C560&amp;D560&amp;F560,Expense!$C$2:$C$601&amp;Expense!$D$2:$D$601&amp;Expense!$E$2:$E$601,Expense!$H$2:$H$601,"")</f>
        <v>500</v>
      </c>
      <c r="L560" s="14">
        <f t="shared" si="82"/>
        <v>-1757</v>
      </c>
      <c r="M560" s="14">
        <f>Master_Table[[#This Row],[Expense Budget]]-Master_Table[[#This Row],[Actual Expense]]</f>
        <v>500</v>
      </c>
      <c r="N560" s="16">
        <f t="shared" si="83"/>
        <v>2743</v>
      </c>
      <c r="O560" s="29">
        <f t="shared" si="80"/>
        <v>4000</v>
      </c>
      <c r="P560" s="16">
        <f t="shared" si="81"/>
        <v>-1257</v>
      </c>
      <c r="Q560" s="28">
        <f>Master_Table[[#This Row],[△Sales Variance]]/Master_Table[[#This Row],[Sales Budget]]</f>
        <v>-0.35139999999999999</v>
      </c>
      <c r="R560" s="28">
        <f>Master_Table[[#This Row],[△Expense  Variance]]/Master_Table[[#This Row],[Expense Budget]]</f>
        <v>0.5</v>
      </c>
      <c r="S560" s="28">
        <f>Master_Table[[#This Row],[Net Profit Variance]]/Master_Table[[#This Row],[Budget Net Profit]]</f>
        <v>-0.31424999999999997</v>
      </c>
      <c r="T560" s="28">
        <f>Master_Table[[#This Row],[Actual Net Profit]]/Master_Table[[#This Row],[Actual Sales]]</f>
        <v>0.84582176996608083</v>
      </c>
      <c r="U560" s="28" t="str">
        <f>_xlfn.TEXTJOIN(" - ", TRUE, Master_Table[[#This Row],[Product]], Master_Table[[#This Row],[Branch]])</f>
        <v>Pawpaw - Abuja</v>
      </c>
    </row>
    <row r="561" spans="1:21" ht="14.4" x14ac:dyDescent="0.3">
      <c r="A561" s="2">
        <v>560</v>
      </c>
      <c r="B561" s="2">
        <f t="shared" si="77"/>
        <v>109</v>
      </c>
      <c r="C561" s="1" t="str">
        <f>VLOOKUP(B561,Products!A:C,2,FALSE)</f>
        <v>Pawpaw</v>
      </c>
      <c r="D561" s="1" t="str">
        <f t="shared" si="78"/>
        <v>Abuja</v>
      </c>
      <c r="E561" s="4" t="str">
        <f>_xlfn.XLOOKUP(D561,'Sales Manager'!$A$2:$A$6,'Sales Manager'!$B$2:$B$6,"")</f>
        <v>Emeka Nwosu</v>
      </c>
      <c r="F561" s="3">
        <f t="shared" si="86"/>
        <v>8</v>
      </c>
      <c r="G561" s="1" t="str">
        <f t="shared" si="86"/>
        <v>Aug</v>
      </c>
      <c r="H561" s="11">
        <v>7000</v>
      </c>
      <c r="I561" s="11">
        <v>6123</v>
      </c>
      <c r="J561" s="11" cm="1">
        <f t="array" ref="J561">_xlfn.XLOOKUP(C561&amp;D561&amp;F561,Expense!$C$2:$C$601&amp;Expense!$D$2:$D$601&amp;Expense!$E$2:$E$601,Expense!$G$2:$G$601,"")</f>
        <v>1750</v>
      </c>
      <c r="K561" s="11" cm="1">
        <f t="array" ref="K561">_xlfn.XLOOKUP(C561&amp;D561&amp;F561,Expense!$C$2:$C$601&amp;Expense!$D$2:$D$601&amp;Expense!$E$2:$E$601,Expense!$H$2:$H$601,"")</f>
        <v>1750</v>
      </c>
      <c r="L561" s="14">
        <f t="shared" si="82"/>
        <v>-877</v>
      </c>
      <c r="M561" s="14">
        <f>Master_Table[[#This Row],[Expense Budget]]-Master_Table[[#This Row],[Actual Expense]]</f>
        <v>0</v>
      </c>
      <c r="N561" s="16">
        <f t="shared" si="83"/>
        <v>4373</v>
      </c>
      <c r="O561" s="29">
        <f t="shared" si="80"/>
        <v>5250</v>
      </c>
      <c r="P561" s="16">
        <f t="shared" si="81"/>
        <v>-877</v>
      </c>
      <c r="Q561" s="28">
        <f>Master_Table[[#This Row],[△Sales Variance]]/Master_Table[[#This Row],[Sales Budget]]</f>
        <v>-0.12528571428571428</v>
      </c>
      <c r="R561" s="28">
        <f>Master_Table[[#This Row],[△Expense  Variance]]/Master_Table[[#This Row],[Expense Budget]]</f>
        <v>0</v>
      </c>
      <c r="S561" s="28">
        <f>Master_Table[[#This Row],[Net Profit Variance]]/Master_Table[[#This Row],[Budget Net Profit]]</f>
        <v>-0.16704761904761906</v>
      </c>
      <c r="T561" s="28">
        <f>Master_Table[[#This Row],[Actual Net Profit]]/Master_Table[[#This Row],[Actual Sales]]</f>
        <v>0.71419238935162499</v>
      </c>
      <c r="U561" s="28" t="str">
        <f>_xlfn.TEXTJOIN(" - ", TRUE, Master_Table[[#This Row],[Product]], Master_Table[[#This Row],[Branch]])</f>
        <v>Pawpaw - Abuja</v>
      </c>
    </row>
    <row r="562" spans="1:21" ht="14.4" x14ac:dyDescent="0.3">
      <c r="A562" s="2">
        <v>561</v>
      </c>
      <c r="B562" s="2">
        <f t="shared" si="77"/>
        <v>109</v>
      </c>
      <c r="C562" s="1" t="str">
        <f>VLOOKUP(B562,Products!A:C,2,FALSE)</f>
        <v>Pawpaw</v>
      </c>
      <c r="D562" s="1" t="str">
        <f t="shared" si="78"/>
        <v>Abuja</v>
      </c>
      <c r="E562" s="4" t="str">
        <f>_xlfn.XLOOKUP(D562,'Sales Manager'!$A$2:$A$6,'Sales Manager'!$B$2:$B$6,"")</f>
        <v>Emeka Nwosu</v>
      </c>
      <c r="F562" s="3">
        <f t="shared" si="86"/>
        <v>9</v>
      </c>
      <c r="G562" s="1" t="str">
        <f t="shared" si="86"/>
        <v>Sept</v>
      </c>
      <c r="H562" s="11">
        <v>3000</v>
      </c>
      <c r="I562" s="11">
        <v>4244</v>
      </c>
      <c r="J562" s="11" cm="1">
        <f t="array" ref="J562">_xlfn.XLOOKUP(C562&amp;D562&amp;F562,Expense!$C$2:$C$601&amp;Expense!$D$2:$D$601&amp;Expense!$E$2:$E$601,Expense!$G$2:$G$601,"")</f>
        <v>750</v>
      </c>
      <c r="K562" s="11" cm="1">
        <f t="array" ref="K562">_xlfn.XLOOKUP(C562&amp;D562&amp;F562,Expense!$C$2:$C$601&amp;Expense!$D$2:$D$601&amp;Expense!$E$2:$E$601,Expense!$H$2:$H$601,"")</f>
        <v>250</v>
      </c>
      <c r="L562" s="14">
        <f t="shared" si="82"/>
        <v>1244</v>
      </c>
      <c r="M562" s="14">
        <f>Master_Table[[#This Row],[Expense Budget]]-Master_Table[[#This Row],[Actual Expense]]</f>
        <v>500</v>
      </c>
      <c r="N562" s="16">
        <f t="shared" si="83"/>
        <v>3994</v>
      </c>
      <c r="O562" s="29">
        <f t="shared" si="80"/>
        <v>2250</v>
      </c>
      <c r="P562" s="16">
        <f t="shared" si="81"/>
        <v>1744</v>
      </c>
      <c r="Q562" s="28">
        <f>Master_Table[[#This Row],[△Sales Variance]]/Master_Table[[#This Row],[Sales Budget]]</f>
        <v>0.41466666666666668</v>
      </c>
      <c r="R562" s="28">
        <f>Master_Table[[#This Row],[△Expense  Variance]]/Master_Table[[#This Row],[Expense Budget]]</f>
        <v>0.66666666666666663</v>
      </c>
      <c r="S562" s="28">
        <f>Master_Table[[#This Row],[Net Profit Variance]]/Master_Table[[#This Row],[Budget Net Profit]]</f>
        <v>0.77511111111111108</v>
      </c>
      <c r="T562" s="28">
        <f>Master_Table[[#This Row],[Actual Net Profit]]/Master_Table[[#This Row],[Actual Sales]]</f>
        <v>0.94109330819981152</v>
      </c>
      <c r="U562" s="28" t="str">
        <f>_xlfn.TEXTJOIN(" - ", TRUE, Master_Table[[#This Row],[Product]], Master_Table[[#This Row],[Branch]])</f>
        <v>Pawpaw - Abuja</v>
      </c>
    </row>
    <row r="563" spans="1:21" ht="14.4" x14ac:dyDescent="0.3">
      <c r="A563" s="2">
        <v>562</v>
      </c>
      <c r="B563" s="2">
        <f t="shared" si="77"/>
        <v>109</v>
      </c>
      <c r="C563" s="1" t="str">
        <f>VLOOKUP(B563,Products!A:C,2,FALSE)</f>
        <v>Pawpaw</v>
      </c>
      <c r="D563" s="1" t="str">
        <f t="shared" si="78"/>
        <v>Abuja</v>
      </c>
      <c r="E563" s="4" t="str">
        <f>_xlfn.XLOOKUP(D563,'Sales Manager'!$A$2:$A$6,'Sales Manager'!$B$2:$B$6,"")</f>
        <v>Emeka Nwosu</v>
      </c>
      <c r="F563" s="3">
        <f t="shared" si="86"/>
        <v>10</v>
      </c>
      <c r="G563" s="1" t="str">
        <f t="shared" si="86"/>
        <v>Oct</v>
      </c>
      <c r="H563" s="11">
        <v>5000</v>
      </c>
      <c r="I563" s="11">
        <v>4747</v>
      </c>
      <c r="J563" s="11" cm="1">
        <f t="array" ref="J563">_xlfn.XLOOKUP(C563&amp;D563&amp;F563,Expense!$C$2:$C$601&amp;Expense!$D$2:$D$601&amp;Expense!$E$2:$E$601,Expense!$G$2:$G$601,"")</f>
        <v>1000</v>
      </c>
      <c r="K563" s="11" cm="1">
        <f t="array" ref="K563">_xlfn.XLOOKUP(C563&amp;D563&amp;F563,Expense!$C$2:$C$601&amp;Expense!$D$2:$D$601&amp;Expense!$E$2:$E$601,Expense!$H$2:$H$601,"")</f>
        <v>700</v>
      </c>
      <c r="L563" s="14">
        <f t="shared" si="82"/>
        <v>-253</v>
      </c>
      <c r="M563" s="14">
        <f>Master_Table[[#This Row],[Expense Budget]]-Master_Table[[#This Row],[Actual Expense]]</f>
        <v>300</v>
      </c>
      <c r="N563" s="16">
        <f t="shared" si="83"/>
        <v>4047</v>
      </c>
      <c r="O563" s="29">
        <f t="shared" si="80"/>
        <v>4000</v>
      </c>
      <c r="P563" s="16">
        <f t="shared" si="81"/>
        <v>47</v>
      </c>
      <c r="Q563" s="28">
        <f>Master_Table[[#This Row],[△Sales Variance]]/Master_Table[[#This Row],[Sales Budget]]</f>
        <v>-5.0599999999999999E-2</v>
      </c>
      <c r="R563" s="28">
        <f>Master_Table[[#This Row],[△Expense  Variance]]/Master_Table[[#This Row],[Expense Budget]]</f>
        <v>0.3</v>
      </c>
      <c r="S563" s="28">
        <f>Master_Table[[#This Row],[Net Profit Variance]]/Master_Table[[#This Row],[Budget Net Profit]]</f>
        <v>1.175E-2</v>
      </c>
      <c r="T563" s="28">
        <f>Master_Table[[#This Row],[Actual Net Profit]]/Master_Table[[#This Row],[Actual Sales]]</f>
        <v>0.85253844533389511</v>
      </c>
      <c r="U563" s="28" t="str">
        <f>_xlfn.TEXTJOIN(" - ", TRUE, Master_Table[[#This Row],[Product]], Master_Table[[#This Row],[Branch]])</f>
        <v>Pawpaw - Abuja</v>
      </c>
    </row>
    <row r="564" spans="1:21" ht="14.4" x14ac:dyDescent="0.3">
      <c r="A564" s="2">
        <v>563</v>
      </c>
      <c r="B564" s="2">
        <f t="shared" si="77"/>
        <v>109</v>
      </c>
      <c r="C564" s="1" t="str">
        <f>VLOOKUP(B564,Products!A:C,2,FALSE)</f>
        <v>Pawpaw</v>
      </c>
      <c r="D564" s="1" t="str">
        <f t="shared" si="78"/>
        <v>Abuja</v>
      </c>
      <c r="E564" s="4" t="str">
        <f>_xlfn.XLOOKUP(D564,'Sales Manager'!$A$2:$A$6,'Sales Manager'!$B$2:$B$6,"")</f>
        <v>Emeka Nwosu</v>
      </c>
      <c r="F564" s="3">
        <f t="shared" si="86"/>
        <v>11</v>
      </c>
      <c r="G564" s="1" t="str">
        <f t="shared" si="86"/>
        <v>Nov</v>
      </c>
      <c r="H564" s="11">
        <v>5000</v>
      </c>
      <c r="I564" s="11">
        <v>6655</v>
      </c>
      <c r="J564" s="11" cm="1">
        <f t="array" ref="J564">_xlfn.XLOOKUP(C564&amp;D564&amp;F564,Expense!$C$2:$C$601&amp;Expense!$D$2:$D$601&amp;Expense!$E$2:$E$601,Expense!$G$2:$G$601,"")</f>
        <v>1000</v>
      </c>
      <c r="K564" s="11" cm="1">
        <f t="array" ref="K564">_xlfn.XLOOKUP(C564&amp;D564&amp;F564,Expense!$C$2:$C$601&amp;Expense!$D$2:$D$601&amp;Expense!$E$2:$E$601,Expense!$H$2:$H$601,"")</f>
        <v>800</v>
      </c>
      <c r="L564" s="14">
        <f t="shared" si="82"/>
        <v>1655</v>
      </c>
      <c r="M564" s="14">
        <f>Master_Table[[#This Row],[Expense Budget]]-Master_Table[[#This Row],[Actual Expense]]</f>
        <v>200</v>
      </c>
      <c r="N564" s="16">
        <f t="shared" si="83"/>
        <v>5855</v>
      </c>
      <c r="O564" s="29">
        <f t="shared" si="80"/>
        <v>4000</v>
      </c>
      <c r="P564" s="16">
        <f t="shared" si="81"/>
        <v>1855</v>
      </c>
      <c r="Q564" s="28">
        <f>Master_Table[[#This Row],[△Sales Variance]]/Master_Table[[#This Row],[Sales Budget]]</f>
        <v>0.33100000000000002</v>
      </c>
      <c r="R564" s="28">
        <f>Master_Table[[#This Row],[△Expense  Variance]]/Master_Table[[#This Row],[Expense Budget]]</f>
        <v>0.2</v>
      </c>
      <c r="S564" s="28">
        <f>Master_Table[[#This Row],[Net Profit Variance]]/Master_Table[[#This Row],[Budget Net Profit]]</f>
        <v>0.46375</v>
      </c>
      <c r="T564" s="28">
        <f>Master_Table[[#This Row],[Actual Net Profit]]/Master_Table[[#This Row],[Actual Sales]]</f>
        <v>0.87978963185574754</v>
      </c>
      <c r="U564" s="28" t="str">
        <f>_xlfn.TEXTJOIN(" - ", TRUE, Master_Table[[#This Row],[Product]], Master_Table[[#This Row],[Branch]])</f>
        <v>Pawpaw - Abuja</v>
      </c>
    </row>
    <row r="565" spans="1:21" ht="14.4" x14ac:dyDescent="0.3">
      <c r="A565" s="2">
        <v>564</v>
      </c>
      <c r="B565" s="2">
        <f t="shared" si="77"/>
        <v>109</v>
      </c>
      <c r="C565" s="1" t="str">
        <f>VLOOKUP(B565,Products!A:C,2,FALSE)</f>
        <v>Pawpaw</v>
      </c>
      <c r="D565" s="1" t="str">
        <f t="shared" si="78"/>
        <v>Abuja</v>
      </c>
      <c r="E565" s="4" t="str">
        <f>_xlfn.XLOOKUP(D565,'Sales Manager'!$A$2:$A$6,'Sales Manager'!$B$2:$B$6,"")</f>
        <v>Emeka Nwosu</v>
      </c>
      <c r="F565" s="3">
        <f t="shared" si="86"/>
        <v>12</v>
      </c>
      <c r="G565" s="1" t="str">
        <f t="shared" si="86"/>
        <v>Dec</v>
      </c>
      <c r="H565" s="11">
        <v>2000</v>
      </c>
      <c r="I565" s="11">
        <v>5296</v>
      </c>
      <c r="J565" s="11" cm="1">
        <f t="array" ref="J565">_xlfn.XLOOKUP(C565&amp;D565&amp;F565,Expense!$C$2:$C$601&amp;Expense!$D$2:$D$601&amp;Expense!$E$2:$E$601,Expense!$G$2:$G$601,"")</f>
        <v>500</v>
      </c>
      <c r="K565" s="11" cm="1">
        <f t="array" ref="K565">_xlfn.XLOOKUP(C565&amp;D565&amp;F565,Expense!$C$2:$C$601&amp;Expense!$D$2:$D$601&amp;Expense!$E$2:$E$601,Expense!$H$2:$H$601,"")</f>
        <v>400</v>
      </c>
      <c r="L565" s="14">
        <f t="shared" si="82"/>
        <v>3296</v>
      </c>
      <c r="M565" s="14">
        <f>Master_Table[[#This Row],[Expense Budget]]-Master_Table[[#This Row],[Actual Expense]]</f>
        <v>100</v>
      </c>
      <c r="N565" s="16">
        <f t="shared" si="83"/>
        <v>4896</v>
      </c>
      <c r="O565" s="29">
        <f t="shared" si="80"/>
        <v>1500</v>
      </c>
      <c r="P565" s="16">
        <f t="shared" si="81"/>
        <v>3396</v>
      </c>
      <c r="Q565" s="28">
        <f>Master_Table[[#This Row],[△Sales Variance]]/Master_Table[[#This Row],[Sales Budget]]</f>
        <v>1.6479999999999999</v>
      </c>
      <c r="R565" s="28">
        <f>Master_Table[[#This Row],[△Expense  Variance]]/Master_Table[[#This Row],[Expense Budget]]</f>
        <v>0.2</v>
      </c>
      <c r="S565" s="28">
        <f>Master_Table[[#This Row],[Net Profit Variance]]/Master_Table[[#This Row],[Budget Net Profit]]</f>
        <v>2.2639999999999998</v>
      </c>
      <c r="T565" s="28">
        <f>Master_Table[[#This Row],[Actual Net Profit]]/Master_Table[[#This Row],[Actual Sales]]</f>
        <v>0.92447129909365555</v>
      </c>
      <c r="U565" s="28" t="str">
        <f>_xlfn.TEXTJOIN(" - ", TRUE, Master_Table[[#This Row],[Product]], Master_Table[[#This Row],[Branch]])</f>
        <v>Pawpaw - Abuja</v>
      </c>
    </row>
    <row r="566" spans="1:21" ht="14.4" x14ac:dyDescent="0.3">
      <c r="A566" s="2">
        <v>565</v>
      </c>
      <c r="B566" s="2">
        <f t="shared" si="77"/>
        <v>109</v>
      </c>
      <c r="C566" s="1" t="str">
        <f>VLOOKUP(B566,Products!A:C,2,FALSE)</f>
        <v>Pawpaw</v>
      </c>
      <c r="D566" s="1" t="str">
        <f t="shared" si="78"/>
        <v>Warri</v>
      </c>
      <c r="E566" s="4" t="str">
        <f>_xlfn.XLOOKUP(D566,'Sales Manager'!$A$2:$A$6,'Sales Manager'!$B$2:$B$6,"")</f>
        <v>Gbenga Adesanya</v>
      </c>
      <c r="F566" s="3">
        <f t="shared" si="86"/>
        <v>1</v>
      </c>
      <c r="G566" s="1" t="str">
        <f t="shared" si="86"/>
        <v>Jan</v>
      </c>
      <c r="H566" s="11">
        <v>2000</v>
      </c>
      <c r="I566" s="11">
        <v>5566</v>
      </c>
      <c r="J566" s="11" cm="1">
        <f t="array" ref="J566">_xlfn.XLOOKUP(C566&amp;D566&amp;F566,Expense!$C$2:$C$601&amp;Expense!$D$2:$D$601&amp;Expense!$E$2:$E$601,Expense!$G$2:$G$601,"")</f>
        <v>1000</v>
      </c>
      <c r="K566" s="11" cm="1">
        <f t="array" ref="K566">_xlfn.XLOOKUP(C566&amp;D566&amp;F566,Expense!$C$2:$C$601&amp;Expense!$D$2:$D$601&amp;Expense!$E$2:$E$601,Expense!$H$2:$H$601,"")</f>
        <v>600</v>
      </c>
      <c r="L566" s="14">
        <f t="shared" si="82"/>
        <v>3566</v>
      </c>
      <c r="M566" s="14">
        <f>Master_Table[[#This Row],[Expense Budget]]-Master_Table[[#This Row],[Actual Expense]]</f>
        <v>400</v>
      </c>
      <c r="N566" s="16">
        <f t="shared" si="83"/>
        <v>4966</v>
      </c>
      <c r="O566" s="29">
        <f t="shared" si="80"/>
        <v>1000</v>
      </c>
      <c r="P566" s="16">
        <f t="shared" si="81"/>
        <v>3966</v>
      </c>
      <c r="Q566" s="28">
        <f>Master_Table[[#This Row],[△Sales Variance]]/Master_Table[[#This Row],[Sales Budget]]</f>
        <v>1.7829999999999999</v>
      </c>
      <c r="R566" s="28">
        <f>Master_Table[[#This Row],[△Expense  Variance]]/Master_Table[[#This Row],[Expense Budget]]</f>
        <v>0.4</v>
      </c>
      <c r="S566" s="28">
        <f>Master_Table[[#This Row],[Net Profit Variance]]/Master_Table[[#This Row],[Budget Net Profit]]</f>
        <v>3.9660000000000002</v>
      </c>
      <c r="T566" s="28">
        <f>Master_Table[[#This Row],[Actual Net Profit]]/Master_Table[[#This Row],[Actual Sales]]</f>
        <v>0.89220265900107798</v>
      </c>
      <c r="U566" s="28" t="str">
        <f>_xlfn.TEXTJOIN(" - ", TRUE, Master_Table[[#This Row],[Product]], Master_Table[[#This Row],[Branch]])</f>
        <v>Pawpaw - Warri</v>
      </c>
    </row>
    <row r="567" spans="1:21" ht="14.4" x14ac:dyDescent="0.3">
      <c r="A567" s="2">
        <v>566</v>
      </c>
      <c r="B567" s="2">
        <f t="shared" si="77"/>
        <v>109</v>
      </c>
      <c r="C567" s="1" t="str">
        <f>VLOOKUP(B567,Products!A:C,2,FALSE)</f>
        <v>Pawpaw</v>
      </c>
      <c r="D567" s="1" t="str">
        <f t="shared" si="78"/>
        <v>Warri</v>
      </c>
      <c r="E567" s="4" t="str">
        <f>_xlfn.XLOOKUP(D567,'Sales Manager'!$A$2:$A$6,'Sales Manager'!$B$2:$B$6,"")</f>
        <v>Gbenga Adesanya</v>
      </c>
      <c r="F567" s="3">
        <f t="shared" si="86"/>
        <v>2</v>
      </c>
      <c r="G567" s="1" t="str">
        <f t="shared" si="86"/>
        <v>Feb</v>
      </c>
      <c r="H567" s="11">
        <v>6000</v>
      </c>
      <c r="I567" s="11">
        <v>8647</v>
      </c>
      <c r="J567" s="11" cm="1">
        <f t="array" ref="J567">_xlfn.XLOOKUP(C567&amp;D567&amp;F567,Expense!$C$2:$C$601&amp;Expense!$D$2:$D$601&amp;Expense!$E$2:$E$601,Expense!$G$2:$G$601,"")</f>
        <v>1500</v>
      </c>
      <c r="K567" s="11" cm="1">
        <f t="array" ref="K567">_xlfn.XLOOKUP(C567&amp;D567&amp;F567,Expense!$C$2:$C$601&amp;Expense!$D$2:$D$601&amp;Expense!$E$2:$E$601,Expense!$H$2:$H$601,"")</f>
        <v>1400</v>
      </c>
      <c r="L567" s="14">
        <f t="shared" si="82"/>
        <v>2647</v>
      </c>
      <c r="M567" s="14">
        <f>Master_Table[[#This Row],[Expense Budget]]-Master_Table[[#This Row],[Actual Expense]]</f>
        <v>100</v>
      </c>
      <c r="N567" s="16">
        <f t="shared" si="83"/>
        <v>7247</v>
      </c>
      <c r="O567" s="29">
        <f t="shared" si="80"/>
        <v>4500</v>
      </c>
      <c r="P567" s="16">
        <f t="shared" si="81"/>
        <v>2747</v>
      </c>
      <c r="Q567" s="28">
        <f>Master_Table[[#This Row],[△Sales Variance]]/Master_Table[[#This Row],[Sales Budget]]</f>
        <v>0.44116666666666665</v>
      </c>
      <c r="R567" s="28">
        <f>Master_Table[[#This Row],[△Expense  Variance]]/Master_Table[[#This Row],[Expense Budget]]</f>
        <v>6.6666666666666666E-2</v>
      </c>
      <c r="S567" s="28">
        <f>Master_Table[[#This Row],[Net Profit Variance]]/Master_Table[[#This Row],[Budget Net Profit]]</f>
        <v>0.61044444444444446</v>
      </c>
      <c r="T567" s="28">
        <f>Master_Table[[#This Row],[Actual Net Profit]]/Master_Table[[#This Row],[Actual Sales]]</f>
        <v>0.83809413669480748</v>
      </c>
      <c r="U567" s="28" t="str">
        <f>_xlfn.TEXTJOIN(" - ", TRUE, Master_Table[[#This Row],[Product]], Master_Table[[#This Row],[Branch]])</f>
        <v>Pawpaw - Warri</v>
      </c>
    </row>
    <row r="568" spans="1:21" ht="14.4" x14ac:dyDescent="0.3">
      <c r="A568" s="2">
        <v>567</v>
      </c>
      <c r="B568" s="2">
        <f t="shared" si="77"/>
        <v>109</v>
      </c>
      <c r="C568" s="1" t="str">
        <f>VLOOKUP(B568,Products!A:C,2,FALSE)</f>
        <v>Pawpaw</v>
      </c>
      <c r="D568" s="1" t="str">
        <f t="shared" si="78"/>
        <v>Warri</v>
      </c>
      <c r="E568" s="4" t="str">
        <f>_xlfn.XLOOKUP(D568,'Sales Manager'!$A$2:$A$6,'Sales Manager'!$B$2:$B$6,"")</f>
        <v>Gbenga Adesanya</v>
      </c>
      <c r="F568" s="3">
        <f t="shared" si="86"/>
        <v>3</v>
      </c>
      <c r="G568" s="1" t="str">
        <f t="shared" si="86"/>
        <v>Mar</v>
      </c>
      <c r="H568" s="11">
        <v>2000</v>
      </c>
      <c r="I568" s="11">
        <v>4156</v>
      </c>
      <c r="J568" s="11" cm="1">
        <f t="array" ref="J568">_xlfn.XLOOKUP(C568&amp;D568&amp;F568,Expense!$C$2:$C$601&amp;Expense!$D$2:$D$601&amp;Expense!$E$2:$E$601,Expense!$G$2:$G$601,"")</f>
        <v>666.66666666666663</v>
      </c>
      <c r="K568" s="11" cm="1">
        <f t="array" ref="K568">_xlfn.XLOOKUP(C568&amp;D568&amp;F568,Expense!$C$2:$C$601&amp;Expense!$D$2:$D$601&amp;Expense!$E$2:$E$601,Expense!$H$2:$H$601,"")</f>
        <v>466.66666666666663</v>
      </c>
      <c r="L568" s="14">
        <f t="shared" si="82"/>
        <v>2156</v>
      </c>
      <c r="M568" s="14">
        <f>Master_Table[[#This Row],[Expense Budget]]-Master_Table[[#This Row],[Actual Expense]]</f>
        <v>200</v>
      </c>
      <c r="N568" s="16">
        <f t="shared" si="83"/>
        <v>3689.3333333333335</v>
      </c>
      <c r="O568" s="29">
        <f t="shared" si="80"/>
        <v>1333.3333333333335</v>
      </c>
      <c r="P568" s="16">
        <f t="shared" si="81"/>
        <v>2356</v>
      </c>
      <c r="Q568" s="28">
        <f>Master_Table[[#This Row],[△Sales Variance]]/Master_Table[[#This Row],[Sales Budget]]</f>
        <v>1.0780000000000001</v>
      </c>
      <c r="R568" s="28">
        <f>Master_Table[[#This Row],[△Expense  Variance]]/Master_Table[[#This Row],[Expense Budget]]</f>
        <v>0.30000000000000004</v>
      </c>
      <c r="S568" s="28">
        <f>Master_Table[[#This Row],[Net Profit Variance]]/Master_Table[[#This Row],[Budget Net Profit]]</f>
        <v>1.7669999999999999</v>
      </c>
      <c r="T568" s="28">
        <f>Master_Table[[#This Row],[Actual Net Profit]]/Master_Table[[#This Row],[Actual Sales]]</f>
        <v>0.8877125441129291</v>
      </c>
      <c r="U568" s="28" t="str">
        <f>_xlfn.TEXTJOIN(" - ", TRUE, Master_Table[[#This Row],[Product]], Master_Table[[#This Row],[Branch]])</f>
        <v>Pawpaw - Warri</v>
      </c>
    </row>
    <row r="569" spans="1:21" ht="14.4" x14ac:dyDescent="0.3">
      <c r="A569" s="2">
        <v>568</v>
      </c>
      <c r="B569" s="2">
        <f t="shared" si="77"/>
        <v>109</v>
      </c>
      <c r="C569" s="1" t="str">
        <f>VLOOKUP(B569,Products!A:C,2,FALSE)</f>
        <v>Pawpaw</v>
      </c>
      <c r="D569" s="1" t="str">
        <f t="shared" si="78"/>
        <v>Warri</v>
      </c>
      <c r="E569" s="4" t="str">
        <f>_xlfn.XLOOKUP(D569,'Sales Manager'!$A$2:$A$6,'Sales Manager'!$B$2:$B$6,"")</f>
        <v>Gbenga Adesanya</v>
      </c>
      <c r="F569" s="3">
        <f t="shared" si="86"/>
        <v>4</v>
      </c>
      <c r="G569" s="1" t="str">
        <f t="shared" si="86"/>
        <v>Apr</v>
      </c>
      <c r="H569" s="11">
        <v>1000</v>
      </c>
      <c r="I569" s="11">
        <v>3122</v>
      </c>
      <c r="J569" s="11" cm="1">
        <f t="array" ref="J569">_xlfn.XLOOKUP(C569&amp;D569&amp;F569,Expense!$C$2:$C$601&amp;Expense!$D$2:$D$601&amp;Expense!$E$2:$E$601,Expense!$G$2:$G$601,"")</f>
        <v>500</v>
      </c>
      <c r="K569" s="11" cm="1">
        <f t="array" ref="K569">_xlfn.XLOOKUP(C569&amp;D569&amp;F569,Expense!$C$2:$C$601&amp;Expense!$D$2:$D$601&amp;Expense!$E$2:$E$601,Expense!$H$2:$H$601,"")</f>
        <v>200</v>
      </c>
      <c r="L569" s="14">
        <f t="shared" si="82"/>
        <v>2122</v>
      </c>
      <c r="M569" s="14">
        <f>Master_Table[[#This Row],[Expense Budget]]-Master_Table[[#This Row],[Actual Expense]]</f>
        <v>300</v>
      </c>
      <c r="N569" s="16">
        <f t="shared" si="83"/>
        <v>2922</v>
      </c>
      <c r="O569" s="29">
        <f t="shared" si="80"/>
        <v>500</v>
      </c>
      <c r="P569" s="16">
        <f t="shared" si="81"/>
        <v>2422</v>
      </c>
      <c r="Q569" s="28">
        <f>Master_Table[[#This Row],[△Sales Variance]]/Master_Table[[#This Row],[Sales Budget]]</f>
        <v>2.1219999999999999</v>
      </c>
      <c r="R569" s="28">
        <f>Master_Table[[#This Row],[△Expense  Variance]]/Master_Table[[#This Row],[Expense Budget]]</f>
        <v>0.6</v>
      </c>
      <c r="S569" s="28">
        <f>Master_Table[[#This Row],[Net Profit Variance]]/Master_Table[[#This Row],[Budget Net Profit]]</f>
        <v>4.8440000000000003</v>
      </c>
      <c r="T569" s="28">
        <f>Master_Table[[#This Row],[Actual Net Profit]]/Master_Table[[#This Row],[Actual Sales]]</f>
        <v>0.93593850096092246</v>
      </c>
      <c r="U569" s="28" t="str">
        <f>_xlfn.TEXTJOIN(" - ", TRUE, Master_Table[[#This Row],[Product]], Master_Table[[#This Row],[Branch]])</f>
        <v>Pawpaw - Warri</v>
      </c>
    </row>
    <row r="570" spans="1:21" ht="14.4" x14ac:dyDescent="0.3">
      <c r="A570" s="2">
        <v>569</v>
      </c>
      <c r="B570" s="2">
        <f t="shared" si="77"/>
        <v>109</v>
      </c>
      <c r="C570" s="1" t="str">
        <f>VLOOKUP(B570,Products!A:C,2,FALSE)</f>
        <v>Pawpaw</v>
      </c>
      <c r="D570" s="1" t="str">
        <f t="shared" si="78"/>
        <v>Warri</v>
      </c>
      <c r="E570" s="4" t="str">
        <f>_xlfn.XLOOKUP(D570,'Sales Manager'!$A$2:$A$6,'Sales Manager'!$B$2:$B$6,"")</f>
        <v>Gbenga Adesanya</v>
      </c>
      <c r="F570" s="3">
        <f t="shared" si="86"/>
        <v>5</v>
      </c>
      <c r="G570" s="1" t="str">
        <f t="shared" si="86"/>
        <v>May</v>
      </c>
      <c r="H570" s="11">
        <v>6000</v>
      </c>
      <c r="I570" s="11">
        <v>4157</v>
      </c>
      <c r="J570" s="11" cm="1">
        <f t="array" ref="J570">_xlfn.XLOOKUP(C570&amp;D570&amp;F570,Expense!$C$2:$C$601&amp;Expense!$D$2:$D$601&amp;Expense!$E$2:$E$601,Expense!$G$2:$G$601,"")</f>
        <v>1500</v>
      </c>
      <c r="K570" s="11" cm="1">
        <f t="array" ref="K570">_xlfn.XLOOKUP(C570&amp;D570&amp;F570,Expense!$C$2:$C$601&amp;Expense!$D$2:$D$601&amp;Expense!$E$2:$E$601,Expense!$H$2:$H$601,"")</f>
        <v>1200</v>
      </c>
      <c r="L570" s="14">
        <f t="shared" si="82"/>
        <v>-1843</v>
      </c>
      <c r="M570" s="14">
        <f>Master_Table[[#This Row],[Expense Budget]]-Master_Table[[#This Row],[Actual Expense]]</f>
        <v>300</v>
      </c>
      <c r="N570" s="16">
        <f t="shared" si="83"/>
        <v>2957</v>
      </c>
      <c r="O570" s="29">
        <f t="shared" si="80"/>
        <v>4500</v>
      </c>
      <c r="P570" s="16">
        <f t="shared" si="81"/>
        <v>-1543</v>
      </c>
      <c r="Q570" s="28">
        <f>Master_Table[[#This Row],[△Sales Variance]]/Master_Table[[#This Row],[Sales Budget]]</f>
        <v>-0.30716666666666664</v>
      </c>
      <c r="R570" s="28">
        <f>Master_Table[[#This Row],[△Expense  Variance]]/Master_Table[[#This Row],[Expense Budget]]</f>
        <v>0.2</v>
      </c>
      <c r="S570" s="28">
        <f>Master_Table[[#This Row],[Net Profit Variance]]/Master_Table[[#This Row],[Budget Net Profit]]</f>
        <v>-0.34288888888888891</v>
      </c>
      <c r="T570" s="28">
        <f>Master_Table[[#This Row],[Actual Net Profit]]/Master_Table[[#This Row],[Actual Sales]]</f>
        <v>0.71133028626413275</v>
      </c>
      <c r="U570" s="28" t="str">
        <f>_xlfn.TEXTJOIN(" - ", TRUE, Master_Table[[#This Row],[Product]], Master_Table[[#This Row],[Branch]])</f>
        <v>Pawpaw - Warri</v>
      </c>
    </row>
    <row r="571" spans="1:21" ht="14.4" x14ac:dyDescent="0.3">
      <c r="A571" s="2">
        <v>570</v>
      </c>
      <c r="B571" s="2">
        <f t="shared" si="77"/>
        <v>109</v>
      </c>
      <c r="C571" s="1" t="str">
        <f>VLOOKUP(B571,Products!A:C,2,FALSE)</f>
        <v>Pawpaw</v>
      </c>
      <c r="D571" s="1" t="str">
        <f t="shared" si="78"/>
        <v>Warri</v>
      </c>
      <c r="E571" s="4" t="str">
        <f>_xlfn.XLOOKUP(D571,'Sales Manager'!$A$2:$A$6,'Sales Manager'!$B$2:$B$6,"")</f>
        <v>Gbenga Adesanya</v>
      </c>
      <c r="F571" s="3">
        <f t="shared" si="86"/>
        <v>6</v>
      </c>
      <c r="G571" s="1" t="str">
        <f t="shared" si="86"/>
        <v>Jun</v>
      </c>
      <c r="H571" s="11">
        <v>1000</v>
      </c>
      <c r="I571" s="11">
        <v>5142</v>
      </c>
      <c r="J571" s="11" cm="1">
        <f t="array" ref="J571">_xlfn.XLOOKUP(C571&amp;D571&amp;F571,Expense!$C$2:$C$601&amp;Expense!$D$2:$D$601&amp;Expense!$E$2:$E$601,Expense!$G$2:$G$601,"")</f>
        <v>250</v>
      </c>
      <c r="K571" s="11" cm="1">
        <f t="array" ref="K571">_xlfn.XLOOKUP(C571&amp;D571&amp;F571,Expense!$C$2:$C$601&amp;Expense!$D$2:$D$601&amp;Expense!$E$2:$E$601,Expense!$H$2:$H$601,"")</f>
        <v>450</v>
      </c>
      <c r="L571" s="14">
        <f t="shared" si="82"/>
        <v>4142</v>
      </c>
      <c r="M571" s="14">
        <f>Master_Table[[#This Row],[Expense Budget]]-Master_Table[[#This Row],[Actual Expense]]</f>
        <v>-200</v>
      </c>
      <c r="N571" s="16">
        <f t="shared" si="83"/>
        <v>4692</v>
      </c>
      <c r="O571" s="29">
        <f t="shared" si="80"/>
        <v>750</v>
      </c>
      <c r="P571" s="16">
        <f t="shared" si="81"/>
        <v>3942</v>
      </c>
      <c r="Q571" s="28">
        <f>Master_Table[[#This Row],[△Sales Variance]]/Master_Table[[#This Row],[Sales Budget]]</f>
        <v>4.1420000000000003</v>
      </c>
      <c r="R571" s="28">
        <f>Master_Table[[#This Row],[△Expense  Variance]]/Master_Table[[#This Row],[Expense Budget]]</f>
        <v>-0.8</v>
      </c>
      <c r="S571" s="28">
        <f>Master_Table[[#This Row],[Net Profit Variance]]/Master_Table[[#This Row],[Budget Net Profit]]</f>
        <v>5.2560000000000002</v>
      </c>
      <c r="T571" s="28">
        <f>Master_Table[[#This Row],[Actual Net Profit]]/Master_Table[[#This Row],[Actual Sales]]</f>
        <v>0.91248541423570595</v>
      </c>
      <c r="U571" s="28" t="str">
        <f>_xlfn.TEXTJOIN(" - ", TRUE, Master_Table[[#This Row],[Product]], Master_Table[[#This Row],[Branch]])</f>
        <v>Pawpaw - Warri</v>
      </c>
    </row>
    <row r="572" spans="1:21" ht="14.4" x14ac:dyDescent="0.3">
      <c r="A572" s="2">
        <v>571</v>
      </c>
      <c r="B572" s="2">
        <f t="shared" si="77"/>
        <v>109</v>
      </c>
      <c r="C572" s="1" t="str">
        <f>VLOOKUP(B572,Products!A:C,2,FALSE)</f>
        <v>Pawpaw</v>
      </c>
      <c r="D572" s="1" t="str">
        <f t="shared" si="78"/>
        <v>Warri</v>
      </c>
      <c r="E572" s="4" t="str">
        <f>_xlfn.XLOOKUP(D572,'Sales Manager'!$A$2:$A$6,'Sales Manager'!$B$2:$B$6,"")</f>
        <v>Gbenga Adesanya</v>
      </c>
      <c r="F572" s="3">
        <f t="shared" si="86"/>
        <v>7</v>
      </c>
      <c r="G572" s="1" t="str">
        <f t="shared" si="86"/>
        <v>Jul</v>
      </c>
      <c r="H572" s="11">
        <v>7000</v>
      </c>
      <c r="I572" s="11">
        <v>3726</v>
      </c>
      <c r="J572" s="11" cm="1">
        <f t="array" ref="J572">_xlfn.XLOOKUP(C572&amp;D572&amp;F572,Expense!$C$2:$C$601&amp;Expense!$D$2:$D$601&amp;Expense!$E$2:$E$601,Expense!$G$2:$G$601,"")</f>
        <v>1750</v>
      </c>
      <c r="K572" s="11" cm="1">
        <f t="array" ref="K572">_xlfn.XLOOKUP(C572&amp;D572&amp;F572,Expense!$C$2:$C$601&amp;Expense!$D$2:$D$601&amp;Expense!$E$2:$E$601,Expense!$H$2:$H$601,"")</f>
        <v>1450</v>
      </c>
      <c r="L572" s="14">
        <f t="shared" si="82"/>
        <v>-3274</v>
      </c>
      <c r="M572" s="14">
        <f>Master_Table[[#This Row],[Expense Budget]]-Master_Table[[#This Row],[Actual Expense]]</f>
        <v>300</v>
      </c>
      <c r="N572" s="16">
        <f t="shared" si="83"/>
        <v>2276</v>
      </c>
      <c r="O572" s="29">
        <f t="shared" si="80"/>
        <v>5250</v>
      </c>
      <c r="P572" s="16">
        <f t="shared" si="81"/>
        <v>-2974</v>
      </c>
      <c r="Q572" s="28">
        <f>Master_Table[[#This Row],[△Sales Variance]]/Master_Table[[#This Row],[Sales Budget]]</f>
        <v>-0.46771428571428569</v>
      </c>
      <c r="R572" s="28">
        <f>Master_Table[[#This Row],[△Expense  Variance]]/Master_Table[[#This Row],[Expense Budget]]</f>
        <v>0.17142857142857143</v>
      </c>
      <c r="S572" s="28">
        <f>Master_Table[[#This Row],[Net Profit Variance]]/Master_Table[[#This Row],[Budget Net Profit]]</f>
        <v>-0.56647619047619047</v>
      </c>
      <c r="T572" s="28">
        <f>Master_Table[[#This Row],[Actual Net Profit]]/Master_Table[[#This Row],[Actual Sales]]</f>
        <v>0.61084272678475582</v>
      </c>
      <c r="U572" s="28" t="str">
        <f>_xlfn.TEXTJOIN(" - ", TRUE, Master_Table[[#This Row],[Product]], Master_Table[[#This Row],[Branch]])</f>
        <v>Pawpaw - Warri</v>
      </c>
    </row>
    <row r="573" spans="1:21" ht="14.4" x14ac:dyDescent="0.3">
      <c r="A573" s="2">
        <v>572</v>
      </c>
      <c r="B573" s="2">
        <f t="shared" si="77"/>
        <v>109</v>
      </c>
      <c r="C573" s="1" t="str">
        <f>VLOOKUP(B573,Products!A:C,2,FALSE)</f>
        <v>Pawpaw</v>
      </c>
      <c r="D573" s="1" t="str">
        <f t="shared" si="78"/>
        <v>Warri</v>
      </c>
      <c r="E573" s="4" t="str">
        <f>_xlfn.XLOOKUP(D573,'Sales Manager'!$A$2:$A$6,'Sales Manager'!$B$2:$B$6,"")</f>
        <v>Gbenga Adesanya</v>
      </c>
      <c r="F573" s="3">
        <f t="shared" si="86"/>
        <v>8</v>
      </c>
      <c r="G573" s="1" t="str">
        <f t="shared" si="86"/>
        <v>Aug</v>
      </c>
      <c r="H573" s="11">
        <v>8000</v>
      </c>
      <c r="I573" s="11">
        <v>10455</v>
      </c>
      <c r="J573" s="11" cm="1">
        <f t="array" ref="J573">_xlfn.XLOOKUP(C573&amp;D573&amp;F573,Expense!$C$2:$C$601&amp;Expense!$D$2:$D$601&amp;Expense!$E$2:$E$601,Expense!$G$2:$G$601,"")</f>
        <v>1600</v>
      </c>
      <c r="K573" s="11" cm="1">
        <f t="array" ref="K573">_xlfn.XLOOKUP(C573&amp;D573&amp;F573,Expense!$C$2:$C$601&amp;Expense!$D$2:$D$601&amp;Expense!$E$2:$E$601,Expense!$H$2:$H$601,"")</f>
        <v>1000</v>
      </c>
      <c r="L573" s="14">
        <f t="shared" si="82"/>
        <v>2455</v>
      </c>
      <c r="M573" s="14">
        <f>Master_Table[[#This Row],[Expense Budget]]-Master_Table[[#This Row],[Actual Expense]]</f>
        <v>600</v>
      </c>
      <c r="N573" s="16">
        <f t="shared" si="83"/>
        <v>9455</v>
      </c>
      <c r="O573" s="29">
        <f t="shared" si="80"/>
        <v>6400</v>
      </c>
      <c r="P573" s="16">
        <f t="shared" si="81"/>
        <v>3055</v>
      </c>
      <c r="Q573" s="28">
        <f>Master_Table[[#This Row],[△Sales Variance]]/Master_Table[[#This Row],[Sales Budget]]</f>
        <v>0.30687500000000001</v>
      </c>
      <c r="R573" s="28">
        <f>Master_Table[[#This Row],[△Expense  Variance]]/Master_Table[[#This Row],[Expense Budget]]</f>
        <v>0.375</v>
      </c>
      <c r="S573" s="28">
        <f>Master_Table[[#This Row],[Net Profit Variance]]/Master_Table[[#This Row],[Budget Net Profit]]</f>
        <v>0.47734375000000001</v>
      </c>
      <c r="T573" s="28">
        <f>Master_Table[[#This Row],[Actual Net Profit]]/Master_Table[[#This Row],[Actual Sales]]</f>
        <v>0.9043519846963175</v>
      </c>
      <c r="U573" s="28" t="str">
        <f>_xlfn.TEXTJOIN(" - ", TRUE, Master_Table[[#This Row],[Product]], Master_Table[[#This Row],[Branch]])</f>
        <v>Pawpaw - Warri</v>
      </c>
    </row>
    <row r="574" spans="1:21" ht="14.4" x14ac:dyDescent="0.3">
      <c r="A574" s="2">
        <v>573</v>
      </c>
      <c r="B574" s="2">
        <f t="shared" si="77"/>
        <v>109</v>
      </c>
      <c r="C574" s="1" t="str">
        <f>VLOOKUP(B574,Products!A:C,2,FALSE)</f>
        <v>Pawpaw</v>
      </c>
      <c r="D574" s="1" t="str">
        <f t="shared" si="78"/>
        <v>Warri</v>
      </c>
      <c r="E574" s="4" t="str">
        <f>_xlfn.XLOOKUP(D574,'Sales Manager'!$A$2:$A$6,'Sales Manager'!$B$2:$B$6,"")</f>
        <v>Gbenga Adesanya</v>
      </c>
      <c r="F574" s="3">
        <f t="shared" si="86"/>
        <v>9</v>
      </c>
      <c r="G574" s="1" t="str">
        <f t="shared" si="86"/>
        <v>Sept</v>
      </c>
      <c r="H574" s="11">
        <v>1000</v>
      </c>
      <c r="I574" s="11">
        <v>5233</v>
      </c>
      <c r="J574" s="11" cm="1">
        <f t="array" ref="J574">_xlfn.XLOOKUP(C574&amp;D574&amp;F574,Expense!$C$2:$C$601&amp;Expense!$D$2:$D$601&amp;Expense!$E$2:$E$601,Expense!$G$2:$G$601,"")</f>
        <v>250</v>
      </c>
      <c r="K574" s="11" cm="1">
        <f t="array" ref="K574">_xlfn.XLOOKUP(C574&amp;D574&amp;F574,Expense!$C$2:$C$601&amp;Expense!$D$2:$D$601&amp;Expense!$E$2:$E$601,Expense!$H$2:$H$601,"")</f>
        <v>150</v>
      </c>
      <c r="L574" s="14">
        <f t="shared" si="82"/>
        <v>4233</v>
      </c>
      <c r="M574" s="14">
        <f>Master_Table[[#This Row],[Expense Budget]]-Master_Table[[#This Row],[Actual Expense]]</f>
        <v>100</v>
      </c>
      <c r="N574" s="16">
        <f t="shared" si="83"/>
        <v>5083</v>
      </c>
      <c r="O574" s="29">
        <f t="shared" si="80"/>
        <v>750</v>
      </c>
      <c r="P574" s="16">
        <f t="shared" si="81"/>
        <v>4333</v>
      </c>
      <c r="Q574" s="28">
        <f>Master_Table[[#This Row],[△Sales Variance]]/Master_Table[[#This Row],[Sales Budget]]</f>
        <v>4.2329999999999997</v>
      </c>
      <c r="R574" s="28">
        <f>Master_Table[[#This Row],[△Expense  Variance]]/Master_Table[[#This Row],[Expense Budget]]</f>
        <v>0.4</v>
      </c>
      <c r="S574" s="28">
        <f>Master_Table[[#This Row],[Net Profit Variance]]/Master_Table[[#This Row],[Budget Net Profit]]</f>
        <v>5.777333333333333</v>
      </c>
      <c r="T574" s="28">
        <f>Master_Table[[#This Row],[Actual Net Profit]]/Master_Table[[#This Row],[Actual Sales]]</f>
        <v>0.97133575386967319</v>
      </c>
      <c r="U574" s="28" t="str">
        <f>_xlfn.TEXTJOIN(" - ", TRUE, Master_Table[[#This Row],[Product]], Master_Table[[#This Row],[Branch]])</f>
        <v>Pawpaw - Warri</v>
      </c>
    </row>
    <row r="575" spans="1:21" ht="14.4" x14ac:dyDescent="0.3">
      <c r="A575" s="2">
        <v>574</v>
      </c>
      <c r="B575" s="2">
        <f t="shared" ref="B575:B601" si="87">B515+1</f>
        <v>109</v>
      </c>
      <c r="C575" s="1" t="str">
        <f>VLOOKUP(B575,Products!A:C,2,FALSE)</f>
        <v>Pawpaw</v>
      </c>
      <c r="D575" s="1" t="str">
        <f t="shared" ref="D575:D601" si="88">D515</f>
        <v>Warri</v>
      </c>
      <c r="E575" s="4" t="str">
        <f>_xlfn.XLOOKUP(D575,'Sales Manager'!$A$2:$A$6,'Sales Manager'!$B$2:$B$6,"")</f>
        <v>Gbenga Adesanya</v>
      </c>
      <c r="F575" s="3">
        <f t="shared" ref="F575:G590" si="89">F563</f>
        <v>10</v>
      </c>
      <c r="G575" s="1" t="str">
        <f t="shared" si="89"/>
        <v>Oct</v>
      </c>
      <c r="H575" s="11">
        <v>5000</v>
      </c>
      <c r="I575" s="11">
        <v>4444</v>
      </c>
      <c r="J575" s="11" cm="1">
        <f t="array" ref="J575">_xlfn.XLOOKUP(C575&amp;D575&amp;F575,Expense!$C$2:$C$601&amp;Expense!$D$2:$D$601&amp;Expense!$E$2:$E$601,Expense!$G$2:$G$601,"")</f>
        <v>1666.6666666666667</v>
      </c>
      <c r="K575" s="11" cm="1">
        <f t="array" ref="K575">_xlfn.XLOOKUP(C575&amp;D575&amp;F575,Expense!$C$2:$C$601&amp;Expense!$D$2:$D$601&amp;Expense!$E$2:$E$601,Expense!$H$2:$H$601,"")</f>
        <v>966.66666666666674</v>
      </c>
      <c r="L575" s="14">
        <f t="shared" si="82"/>
        <v>-556</v>
      </c>
      <c r="M575" s="14">
        <f>Master_Table[[#This Row],[Expense Budget]]-Master_Table[[#This Row],[Actual Expense]]</f>
        <v>700</v>
      </c>
      <c r="N575" s="16">
        <f t="shared" si="83"/>
        <v>3477.333333333333</v>
      </c>
      <c r="O575" s="29">
        <f t="shared" si="80"/>
        <v>3333.333333333333</v>
      </c>
      <c r="P575" s="16">
        <f t="shared" si="81"/>
        <v>144</v>
      </c>
      <c r="Q575" s="28">
        <f>Master_Table[[#This Row],[△Sales Variance]]/Master_Table[[#This Row],[Sales Budget]]</f>
        <v>-0.11119999999999999</v>
      </c>
      <c r="R575" s="28">
        <f>Master_Table[[#This Row],[△Expense  Variance]]/Master_Table[[#This Row],[Expense Budget]]</f>
        <v>0.42</v>
      </c>
      <c r="S575" s="28">
        <f>Master_Table[[#This Row],[Net Profit Variance]]/Master_Table[[#This Row],[Budget Net Profit]]</f>
        <v>4.3200000000000002E-2</v>
      </c>
      <c r="T575" s="28">
        <f>Master_Table[[#This Row],[Actual Net Profit]]/Master_Table[[#This Row],[Actual Sales]]</f>
        <v>0.78247824782478237</v>
      </c>
      <c r="U575" s="28" t="str">
        <f>_xlfn.TEXTJOIN(" - ", TRUE, Master_Table[[#This Row],[Product]], Master_Table[[#This Row],[Branch]])</f>
        <v>Pawpaw - Warri</v>
      </c>
    </row>
    <row r="576" spans="1:21" ht="14.4" x14ac:dyDescent="0.3">
      <c r="A576" s="2">
        <v>575</v>
      </c>
      <c r="B576" s="2">
        <f t="shared" si="87"/>
        <v>109</v>
      </c>
      <c r="C576" s="1" t="str">
        <f>VLOOKUP(B576,Products!A:C,2,FALSE)</f>
        <v>Pawpaw</v>
      </c>
      <c r="D576" s="1" t="str">
        <f t="shared" si="88"/>
        <v>Warri</v>
      </c>
      <c r="E576" s="4" t="str">
        <f>_xlfn.XLOOKUP(D576,'Sales Manager'!$A$2:$A$6,'Sales Manager'!$B$2:$B$6,"")</f>
        <v>Gbenga Adesanya</v>
      </c>
      <c r="F576" s="3">
        <f t="shared" si="89"/>
        <v>11</v>
      </c>
      <c r="G576" s="1" t="str">
        <f t="shared" si="89"/>
        <v>Nov</v>
      </c>
      <c r="H576" s="11">
        <v>1000</v>
      </c>
      <c r="I576" s="11">
        <v>10642</v>
      </c>
      <c r="J576" s="11" cm="1">
        <f t="array" ref="J576">_xlfn.XLOOKUP(C576&amp;D576&amp;F576,Expense!$C$2:$C$601&amp;Expense!$D$2:$D$601&amp;Expense!$E$2:$E$601,Expense!$G$2:$G$601,"")</f>
        <v>333.33333333333331</v>
      </c>
      <c r="K576" s="11" cm="1">
        <f t="array" ref="K576">_xlfn.XLOOKUP(C576&amp;D576&amp;F576,Expense!$C$2:$C$601&amp;Expense!$D$2:$D$601&amp;Expense!$E$2:$E$601,Expense!$H$2:$H$601,"")</f>
        <v>233.33333333333331</v>
      </c>
      <c r="L576" s="14">
        <f t="shared" si="82"/>
        <v>9642</v>
      </c>
      <c r="M576" s="14">
        <f>Master_Table[[#This Row],[Expense Budget]]-Master_Table[[#This Row],[Actual Expense]]</f>
        <v>100</v>
      </c>
      <c r="N576" s="16">
        <f t="shared" si="83"/>
        <v>10408.666666666666</v>
      </c>
      <c r="O576" s="29">
        <f t="shared" si="80"/>
        <v>666.66666666666674</v>
      </c>
      <c r="P576" s="16">
        <f t="shared" si="81"/>
        <v>9742</v>
      </c>
      <c r="Q576" s="28">
        <f>Master_Table[[#This Row],[△Sales Variance]]/Master_Table[[#This Row],[Sales Budget]]</f>
        <v>9.6419999999999995</v>
      </c>
      <c r="R576" s="28">
        <f>Master_Table[[#This Row],[△Expense  Variance]]/Master_Table[[#This Row],[Expense Budget]]</f>
        <v>0.30000000000000004</v>
      </c>
      <c r="S576" s="28">
        <f>Master_Table[[#This Row],[Net Profit Variance]]/Master_Table[[#This Row],[Budget Net Profit]]</f>
        <v>14.612999999999998</v>
      </c>
      <c r="T576" s="28">
        <f>Master_Table[[#This Row],[Actual Net Profit]]/Master_Table[[#This Row],[Actual Sales]]</f>
        <v>0.97807429681137625</v>
      </c>
      <c r="U576" s="28" t="str">
        <f>_xlfn.TEXTJOIN(" - ", TRUE, Master_Table[[#This Row],[Product]], Master_Table[[#This Row],[Branch]])</f>
        <v>Pawpaw - Warri</v>
      </c>
    </row>
    <row r="577" spans="1:21" ht="14.4" x14ac:dyDescent="0.3">
      <c r="A577" s="2">
        <v>576</v>
      </c>
      <c r="B577" s="2">
        <f t="shared" si="87"/>
        <v>109</v>
      </c>
      <c r="C577" s="1" t="str">
        <f>VLOOKUP(B577,Products!A:C,2,FALSE)</f>
        <v>Pawpaw</v>
      </c>
      <c r="D577" s="1" t="str">
        <f t="shared" si="88"/>
        <v>Warri</v>
      </c>
      <c r="E577" s="4" t="str">
        <f>_xlfn.XLOOKUP(D577,'Sales Manager'!$A$2:$A$6,'Sales Manager'!$B$2:$B$6,"")</f>
        <v>Gbenga Adesanya</v>
      </c>
      <c r="F577" s="3">
        <f t="shared" si="89"/>
        <v>12</v>
      </c>
      <c r="G577" s="1" t="str">
        <f t="shared" si="89"/>
        <v>Dec</v>
      </c>
      <c r="H577" s="11">
        <v>3000</v>
      </c>
      <c r="I577" s="11">
        <v>4615</v>
      </c>
      <c r="J577" s="11" cm="1">
        <f t="array" ref="J577">_xlfn.XLOOKUP(C577&amp;D577&amp;F577,Expense!$C$2:$C$601&amp;Expense!$D$2:$D$601&amp;Expense!$E$2:$E$601,Expense!$G$2:$G$601,"")</f>
        <v>750</v>
      </c>
      <c r="K577" s="11" cm="1">
        <f t="array" ref="K577">_xlfn.XLOOKUP(C577&amp;D577&amp;F577,Expense!$C$2:$C$601&amp;Expense!$D$2:$D$601&amp;Expense!$E$2:$E$601,Expense!$H$2:$H$601,"")</f>
        <v>750</v>
      </c>
      <c r="L577" s="14">
        <f t="shared" si="82"/>
        <v>1615</v>
      </c>
      <c r="M577" s="14">
        <f>Master_Table[[#This Row],[Expense Budget]]-Master_Table[[#This Row],[Actual Expense]]</f>
        <v>0</v>
      </c>
      <c r="N577" s="16">
        <f t="shared" si="83"/>
        <v>3865</v>
      </c>
      <c r="O577" s="29">
        <f t="shared" si="80"/>
        <v>2250</v>
      </c>
      <c r="P577" s="16">
        <f t="shared" si="81"/>
        <v>1615</v>
      </c>
      <c r="Q577" s="28">
        <f>Master_Table[[#This Row],[△Sales Variance]]/Master_Table[[#This Row],[Sales Budget]]</f>
        <v>0.53833333333333333</v>
      </c>
      <c r="R577" s="28">
        <f>Master_Table[[#This Row],[△Expense  Variance]]/Master_Table[[#This Row],[Expense Budget]]</f>
        <v>0</v>
      </c>
      <c r="S577" s="28">
        <f>Master_Table[[#This Row],[Net Profit Variance]]/Master_Table[[#This Row],[Budget Net Profit]]</f>
        <v>0.71777777777777774</v>
      </c>
      <c r="T577" s="28">
        <f>Master_Table[[#This Row],[Actual Net Profit]]/Master_Table[[#This Row],[Actual Sales]]</f>
        <v>0.83748645720476711</v>
      </c>
      <c r="U577" s="28" t="str">
        <f>_xlfn.TEXTJOIN(" - ", TRUE, Master_Table[[#This Row],[Product]], Master_Table[[#This Row],[Branch]])</f>
        <v>Pawpaw - Warri</v>
      </c>
    </row>
    <row r="578" spans="1:21" ht="14.4" x14ac:dyDescent="0.3">
      <c r="A578" s="2">
        <v>577</v>
      </c>
      <c r="B578" s="2">
        <f t="shared" si="87"/>
        <v>109</v>
      </c>
      <c r="C578" s="1" t="str">
        <f>VLOOKUP(B578,Products!A:C,2,FALSE)</f>
        <v>Pawpaw</v>
      </c>
      <c r="D578" s="1" t="str">
        <f t="shared" si="88"/>
        <v>Kaduna</v>
      </c>
      <c r="E578" s="4" t="str">
        <f>_xlfn.XLOOKUP(D578,'Sales Manager'!$A$2:$A$6,'Sales Manager'!$B$2:$B$6,"")</f>
        <v>Musa Garba</v>
      </c>
      <c r="F578" s="3">
        <f t="shared" si="89"/>
        <v>1</v>
      </c>
      <c r="G578" s="1" t="str">
        <f t="shared" si="89"/>
        <v>Jan</v>
      </c>
      <c r="H578" s="11">
        <v>4000</v>
      </c>
      <c r="I578" s="11">
        <v>7291</v>
      </c>
      <c r="J578" s="11" cm="1">
        <f t="array" ref="J578">_xlfn.XLOOKUP(C578&amp;D578&amp;F578,Expense!$C$2:$C$601&amp;Expense!$D$2:$D$601&amp;Expense!$E$2:$E$601,Expense!$G$2:$G$601,"")</f>
        <v>2000</v>
      </c>
      <c r="K578" s="11" cm="1">
        <f t="array" ref="K578">_xlfn.XLOOKUP(C578&amp;D578&amp;F578,Expense!$C$2:$C$601&amp;Expense!$D$2:$D$601&amp;Expense!$E$2:$E$601,Expense!$H$2:$H$601,"")</f>
        <v>1600</v>
      </c>
      <c r="L578" s="14">
        <f t="shared" si="82"/>
        <v>3291</v>
      </c>
      <c r="M578" s="14">
        <f>Master_Table[[#This Row],[Expense Budget]]-Master_Table[[#This Row],[Actual Expense]]</f>
        <v>400</v>
      </c>
      <c r="N578" s="16">
        <f t="shared" si="83"/>
        <v>5691</v>
      </c>
      <c r="O578" s="29">
        <f t="shared" ref="O578:O601" si="90">H578-J578</f>
        <v>2000</v>
      </c>
      <c r="P578" s="16">
        <f t="shared" ref="P578:P601" si="91">N578-O578</f>
        <v>3691</v>
      </c>
      <c r="Q578" s="28">
        <f>Master_Table[[#This Row],[△Sales Variance]]/Master_Table[[#This Row],[Sales Budget]]</f>
        <v>0.82274999999999998</v>
      </c>
      <c r="R578" s="28">
        <f>Master_Table[[#This Row],[△Expense  Variance]]/Master_Table[[#This Row],[Expense Budget]]</f>
        <v>0.2</v>
      </c>
      <c r="S578" s="28">
        <f>Master_Table[[#This Row],[Net Profit Variance]]/Master_Table[[#This Row],[Budget Net Profit]]</f>
        <v>1.8454999999999999</v>
      </c>
      <c r="T578" s="28">
        <f>Master_Table[[#This Row],[Actual Net Profit]]/Master_Table[[#This Row],[Actual Sales]]</f>
        <v>0.78055136469620079</v>
      </c>
      <c r="U578" s="28" t="str">
        <f>_xlfn.TEXTJOIN(" - ", TRUE, Master_Table[[#This Row],[Product]], Master_Table[[#This Row],[Branch]])</f>
        <v>Pawpaw - Kaduna</v>
      </c>
    </row>
    <row r="579" spans="1:21" ht="14.4" x14ac:dyDescent="0.3">
      <c r="A579" s="2">
        <v>578</v>
      </c>
      <c r="B579" s="2">
        <f t="shared" si="87"/>
        <v>109</v>
      </c>
      <c r="C579" s="1" t="str">
        <f>VLOOKUP(B579,Products!A:C,2,FALSE)</f>
        <v>Pawpaw</v>
      </c>
      <c r="D579" s="1" t="str">
        <f t="shared" si="88"/>
        <v>Kaduna</v>
      </c>
      <c r="E579" s="4" t="str">
        <f>_xlfn.XLOOKUP(D579,'Sales Manager'!$A$2:$A$6,'Sales Manager'!$B$2:$B$6,"")</f>
        <v>Musa Garba</v>
      </c>
      <c r="F579" s="3">
        <f t="shared" si="89"/>
        <v>2</v>
      </c>
      <c r="G579" s="1" t="str">
        <f t="shared" si="89"/>
        <v>Feb</v>
      </c>
      <c r="H579" s="11">
        <v>6000</v>
      </c>
      <c r="I579" s="11">
        <v>2313</v>
      </c>
      <c r="J579" s="11" cm="1">
        <f t="array" ref="J579">_xlfn.XLOOKUP(C579&amp;D579&amp;F579,Expense!$C$2:$C$601&amp;Expense!$D$2:$D$601&amp;Expense!$E$2:$E$601,Expense!$G$2:$G$601,"")</f>
        <v>1500</v>
      </c>
      <c r="K579" s="11" cm="1">
        <f t="array" ref="K579">_xlfn.XLOOKUP(C579&amp;D579&amp;F579,Expense!$C$2:$C$601&amp;Expense!$D$2:$D$601&amp;Expense!$E$2:$E$601,Expense!$H$2:$H$601,"")</f>
        <v>1400</v>
      </c>
      <c r="L579" s="14">
        <f t="shared" ref="L579:L601" si="92">I579-H579</f>
        <v>-3687</v>
      </c>
      <c r="M579" s="14">
        <f>Master_Table[[#This Row],[Expense Budget]]-Master_Table[[#This Row],[Actual Expense]]</f>
        <v>100</v>
      </c>
      <c r="N579" s="16">
        <f t="shared" ref="N579:N601" si="93">I579-K579</f>
        <v>913</v>
      </c>
      <c r="O579" s="29">
        <f t="shared" si="90"/>
        <v>4500</v>
      </c>
      <c r="P579" s="16">
        <f t="shared" si="91"/>
        <v>-3587</v>
      </c>
      <c r="Q579" s="28">
        <f>Master_Table[[#This Row],[△Sales Variance]]/Master_Table[[#This Row],[Sales Budget]]</f>
        <v>-0.61450000000000005</v>
      </c>
      <c r="R579" s="28">
        <f>Master_Table[[#This Row],[△Expense  Variance]]/Master_Table[[#This Row],[Expense Budget]]</f>
        <v>6.6666666666666666E-2</v>
      </c>
      <c r="S579" s="28">
        <f>Master_Table[[#This Row],[Net Profit Variance]]/Master_Table[[#This Row],[Budget Net Profit]]</f>
        <v>-0.7971111111111111</v>
      </c>
      <c r="T579" s="28">
        <f>Master_Table[[#This Row],[Actual Net Profit]]/Master_Table[[#This Row],[Actual Sales]]</f>
        <v>0.39472546476437526</v>
      </c>
      <c r="U579" s="28" t="str">
        <f>_xlfn.TEXTJOIN(" - ", TRUE, Master_Table[[#This Row],[Product]], Master_Table[[#This Row],[Branch]])</f>
        <v>Pawpaw - Kaduna</v>
      </c>
    </row>
    <row r="580" spans="1:21" ht="14.4" x14ac:dyDescent="0.3">
      <c r="A580" s="2">
        <v>579</v>
      </c>
      <c r="B580" s="2">
        <f t="shared" si="87"/>
        <v>109</v>
      </c>
      <c r="C580" s="1" t="str">
        <f>VLOOKUP(B580,Products!A:C,2,FALSE)</f>
        <v>Pawpaw</v>
      </c>
      <c r="D580" s="1" t="str">
        <f t="shared" si="88"/>
        <v>Kaduna</v>
      </c>
      <c r="E580" s="4" t="str">
        <f>_xlfn.XLOOKUP(D580,'Sales Manager'!$A$2:$A$6,'Sales Manager'!$B$2:$B$6,"")</f>
        <v>Musa Garba</v>
      </c>
      <c r="F580" s="3">
        <f t="shared" si="89"/>
        <v>3</v>
      </c>
      <c r="G580" s="1" t="str">
        <f t="shared" si="89"/>
        <v>Mar</v>
      </c>
      <c r="H580" s="11">
        <v>5000</v>
      </c>
      <c r="I580" s="11">
        <v>7384</v>
      </c>
      <c r="J580" s="11" cm="1">
        <f t="array" ref="J580">_xlfn.XLOOKUP(C580&amp;D580&amp;F580,Expense!$C$2:$C$601&amp;Expense!$D$2:$D$601&amp;Expense!$E$2:$E$601,Expense!$G$2:$G$601,"")</f>
        <v>1250</v>
      </c>
      <c r="K580" s="11" cm="1">
        <f t="array" ref="K580">_xlfn.XLOOKUP(C580&amp;D580&amp;F580,Expense!$C$2:$C$601&amp;Expense!$D$2:$D$601&amp;Expense!$E$2:$E$601,Expense!$H$2:$H$601,"")</f>
        <v>450</v>
      </c>
      <c r="L580" s="14">
        <f t="shared" si="92"/>
        <v>2384</v>
      </c>
      <c r="M580" s="14">
        <f>Master_Table[[#This Row],[Expense Budget]]-Master_Table[[#This Row],[Actual Expense]]</f>
        <v>800</v>
      </c>
      <c r="N580" s="16">
        <f t="shared" si="93"/>
        <v>6934</v>
      </c>
      <c r="O580" s="29">
        <f t="shared" si="90"/>
        <v>3750</v>
      </c>
      <c r="P580" s="16">
        <f t="shared" si="91"/>
        <v>3184</v>
      </c>
      <c r="Q580" s="28">
        <f>Master_Table[[#This Row],[△Sales Variance]]/Master_Table[[#This Row],[Sales Budget]]</f>
        <v>0.4768</v>
      </c>
      <c r="R580" s="28">
        <f>Master_Table[[#This Row],[△Expense  Variance]]/Master_Table[[#This Row],[Expense Budget]]</f>
        <v>0.64</v>
      </c>
      <c r="S580" s="28">
        <f>Master_Table[[#This Row],[Net Profit Variance]]/Master_Table[[#This Row],[Budget Net Profit]]</f>
        <v>0.84906666666666664</v>
      </c>
      <c r="T580" s="28">
        <f>Master_Table[[#This Row],[Actual Net Profit]]/Master_Table[[#This Row],[Actual Sales]]</f>
        <v>0.93905742145178761</v>
      </c>
      <c r="U580" s="28" t="str">
        <f>_xlfn.TEXTJOIN(" - ", TRUE, Master_Table[[#This Row],[Product]], Master_Table[[#This Row],[Branch]])</f>
        <v>Pawpaw - Kaduna</v>
      </c>
    </row>
    <row r="581" spans="1:21" ht="14.4" x14ac:dyDescent="0.3">
      <c r="A581" s="2">
        <v>580</v>
      </c>
      <c r="B581" s="2">
        <f t="shared" si="87"/>
        <v>109</v>
      </c>
      <c r="C581" s="1" t="str">
        <f>VLOOKUP(B581,Products!A:C,2,FALSE)</f>
        <v>Pawpaw</v>
      </c>
      <c r="D581" s="1" t="str">
        <f t="shared" si="88"/>
        <v>Kaduna</v>
      </c>
      <c r="E581" s="4" t="str">
        <f>_xlfn.XLOOKUP(D581,'Sales Manager'!$A$2:$A$6,'Sales Manager'!$B$2:$B$6,"")</f>
        <v>Musa Garba</v>
      </c>
      <c r="F581" s="3">
        <f t="shared" si="89"/>
        <v>4</v>
      </c>
      <c r="G581" s="1" t="str">
        <f t="shared" si="89"/>
        <v>Apr</v>
      </c>
      <c r="H581" s="11">
        <v>2000</v>
      </c>
      <c r="I581" s="11">
        <v>2662</v>
      </c>
      <c r="J581" s="11" cm="1">
        <f t="array" ref="J581">_xlfn.XLOOKUP(C581&amp;D581&amp;F581,Expense!$C$2:$C$601&amp;Expense!$D$2:$D$601&amp;Expense!$E$2:$E$601,Expense!$G$2:$G$601,"")</f>
        <v>400</v>
      </c>
      <c r="K581" s="11" cm="1">
        <f t="array" ref="K581">_xlfn.XLOOKUP(C581&amp;D581&amp;F581,Expense!$C$2:$C$601&amp;Expense!$D$2:$D$601&amp;Expense!$E$2:$E$601,Expense!$H$2:$H$601,"")</f>
        <v>400</v>
      </c>
      <c r="L581" s="14">
        <f t="shared" si="92"/>
        <v>662</v>
      </c>
      <c r="M581" s="14">
        <f>Master_Table[[#This Row],[Expense Budget]]-Master_Table[[#This Row],[Actual Expense]]</f>
        <v>0</v>
      </c>
      <c r="N581" s="16">
        <f t="shared" si="93"/>
        <v>2262</v>
      </c>
      <c r="O581" s="29">
        <f t="shared" si="90"/>
        <v>1600</v>
      </c>
      <c r="P581" s="16">
        <f t="shared" si="91"/>
        <v>662</v>
      </c>
      <c r="Q581" s="28">
        <f>Master_Table[[#This Row],[△Sales Variance]]/Master_Table[[#This Row],[Sales Budget]]</f>
        <v>0.33100000000000002</v>
      </c>
      <c r="R581" s="28">
        <f>Master_Table[[#This Row],[△Expense  Variance]]/Master_Table[[#This Row],[Expense Budget]]</f>
        <v>0</v>
      </c>
      <c r="S581" s="28">
        <f>Master_Table[[#This Row],[Net Profit Variance]]/Master_Table[[#This Row],[Budget Net Profit]]</f>
        <v>0.41375000000000001</v>
      </c>
      <c r="T581" s="28">
        <f>Master_Table[[#This Row],[Actual Net Profit]]/Master_Table[[#This Row],[Actual Sales]]</f>
        <v>0.8497370398196844</v>
      </c>
      <c r="U581" s="28" t="str">
        <f>_xlfn.TEXTJOIN(" - ", TRUE, Master_Table[[#This Row],[Product]], Master_Table[[#This Row],[Branch]])</f>
        <v>Pawpaw - Kaduna</v>
      </c>
    </row>
    <row r="582" spans="1:21" ht="14.4" x14ac:dyDescent="0.3">
      <c r="A582" s="2">
        <v>581</v>
      </c>
      <c r="B582" s="2">
        <f t="shared" si="87"/>
        <v>109</v>
      </c>
      <c r="C582" s="1" t="str">
        <f>VLOOKUP(B582,Products!A:C,2,FALSE)</f>
        <v>Pawpaw</v>
      </c>
      <c r="D582" s="1" t="str">
        <f t="shared" si="88"/>
        <v>Kaduna</v>
      </c>
      <c r="E582" s="4" t="str">
        <f>_xlfn.XLOOKUP(D582,'Sales Manager'!$A$2:$A$6,'Sales Manager'!$B$2:$B$6,"")</f>
        <v>Musa Garba</v>
      </c>
      <c r="F582" s="3">
        <f t="shared" si="89"/>
        <v>5</v>
      </c>
      <c r="G582" s="1" t="str">
        <f t="shared" si="89"/>
        <v>May</v>
      </c>
      <c r="H582" s="11">
        <v>5000</v>
      </c>
      <c r="I582" s="11">
        <v>2273</v>
      </c>
      <c r="J582" s="11" cm="1">
        <f t="array" ref="J582">_xlfn.XLOOKUP(C582&amp;D582&amp;F582,Expense!$C$2:$C$601&amp;Expense!$D$2:$D$601&amp;Expense!$E$2:$E$601,Expense!$G$2:$G$601,"")</f>
        <v>1250</v>
      </c>
      <c r="K582" s="11" cm="1">
        <f t="array" ref="K582">_xlfn.XLOOKUP(C582&amp;D582&amp;F582,Expense!$C$2:$C$601&amp;Expense!$D$2:$D$601&amp;Expense!$E$2:$E$601,Expense!$H$2:$H$601,"")</f>
        <v>750</v>
      </c>
      <c r="L582" s="14">
        <f t="shared" si="92"/>
        <v>-2727</v>
      </c>
      <c r="M582" s="14">
        <f>Master_Table[[#This Row],[Expense Budget]]-Master_Table[[#This Row],[Actual Expense]]</f>
        <v>500</v>
      </c>
      <c r="N582" s="16">
        <f t="shared" si="93"/>
        <v>1523</v>
      </c>
      <c r="O582" s="29">
        <f t="shared" si="90"/>
        <v>3750</v>
      </c>
      <c r="P582" s="16">
        <f t="shared" si="91"/>
        <v>-2227</v>
      </c>
      <c r="Q582" s="28">
        <f>Master_Table[[#This Row],[△Sales Variance]]/Master_Table[[#This Row],[Sales Budget]]</f>
        <v>-0.5454</v>
      </c>
      <c r="R582" s="28">
        <f>Master_Table[[#This Row],[△Expense  Variance]]/Master_Table[[#This Row],[Expense Budget]]</f>
        <v>0.4</v>
      </c>
      <c r="S582" s="28">
        <f>Master_Table[[#This Row],[Net Profit Variance]]/Master_Table[[#This Row],[Budget Net Profit]]</f>
        <v>-0.59386666666666665</v>
      </c>
      <c r="T582" s="28">
        <f>Master_Table[[#This Row],[Actual Net Profit]]/Master_Table[[#This Row],[Actual Sales]]</f>
        <v>0.67003959524857015</v>
      </c>
      <c r="U582" s="28" t="str">
        <f>_xlfn.TEXTJOIN(" - ", TRUE, Master_Table[[#This Row],[Product]], Master_Table[[#This Row],[Branch]])</f>
        <v>Pawpaw - Kaduna</v>
      </c>
    </row>
    <row r="583" spans="1:21" ht="14.4" x14ac:dyDescent="0.3">
      <c r="A583" s="2">
        <v>582</v>
      </c>
      <c r="B583" s="2">
        <f t="shared" si="87"/>
        <v>109</v>
      </c>
      <c r="C583" s="1" t="str">
        <f>VLOOKUP(B583,Products!A:C,2,FALSE)</f>
        <v>Pawpaw</v>
      </c>
      <c r="D583" s="1" t="str">
        <f t="shared" si="88"/>
        <v>Kaduna</v>
      </c>
      <c r="E583" s="4" t="str">
        <f>_xlfn.XLOOKUP(D583,'Sales Manager'!$A$2:$A$6,'Sales Manager'!$B$2:$B$6,"")</f>
        <v>Musa Garba</v>
      </c>
      <c r="F583" s="3">
        <f t="shared" si="89"/>
        <v>6</v>
      </c>
      <c r="G583" s="1" t="str">
        <f t="shared" si="89"/>
        <v>Jun</v>
      </c>
      <c r="H583" s="11">
        <v>3000</v>
      </c>
      <c r="I583" s="11">
        <v>5315</v>
      </c>
      <c r="J583" s="11" cm="1">
        <f t="array" ref="J583">_xlfn.XLOOKUP(C583&amp;D583&amp;F583,Expense!$C$2:$C$601&amp;Expense!$D$2:$D$601&amp;Expense!$E$2:$E$601,Expense!$G$2:$G$601,"")</f>
        <v>1000</v>
      </c>
      <c r="K583" s="11" cm="1">
        <f t="array" ref="K583">_xlfn.XLOOKUP(C583&amp;D583&amp;F583,Expense!$C$2:$C$601&amp;Expense!$D$2:$D$601&amp;Expense!$E$2:$E$601,Expense!$H$2:$H$601,"")</f>
        <v>1000</v>
      </c>
      <c r="L583" s="14">
        <f t="shared" si="92"/>
        <v>2315</v>
      </c>
      <c r="M583" s="14">
        <f>Master_Table[[#This Row],[Expense Budget]]-Master_Table[[#This Row],[Actual Expense]]</f>
        <v>0</v>
      </c>
      <c r="N583" s="16">
        <f t="shared" si="93"/>
        <v>4315</v>
      </c>
      <c r="O583" s="29">
        <f t="shared" si="90"/>
        <v>2000</v>
      </c>
      <c r="P583" s="16">
        <f t="shared" si="91"/>
        <v>2315</v>
      </c>
      <c r="Q583" s="28">
        <f>Master_Table[[#This Row],[△Sales Variance]]/Master_Table[[#This Row],[Sales Budget]]</f>
        <v>0.77166666666666661</v>
      </c>
      <c r="R583" s="28">
        <f>Master_Table[[#This Row],[△Expense  Variance]]/Master_Table[[#This Row],[Expense Budget]]</f>
        <v>0</v>
      </c>
      <c r="S583" s="28">
        <f>Master_Table[[#This Row],[Net Profit Variance]]/Master_Table[[#This Row],[Budget Net Profit]]</f>
        <v>1.1575</v>
      </c>
      <c r="T583" s="28">
        <f>Master_Table[[#This Row],[Actual Net Profit]]/Master_Table[[#This Row],[Actual Sales]]</f>
        <v>0.81185324553151461</v>
      </c>
      <c r="U583" s="28" t="str">
        <f>_xlfn.TEXTJOIN(" - ", TRUE, Master_Table[[#This Row],[Product]], Master_Table[[#This Row],[Branch]])</f>
        <v>Pawpaw - Kaduna</v>
      </c>
    </row>
    <row r="584" spans="1:21" ht="14.4" x14ac:dyDescent="0.3">
      <c r="A584" s="2">
        <v>583</v>
      </c>
      <c r="B584" s="2">
        <f t="shared" si="87"/>
        <v>109</v>
      </c>
      <c r="C584" s="1" t="str">
        <f>VLOOKUP(B584,Products!A:C,2,FALSE)</f>
        <v>Pawpaw</v>
      </c>
      <c r="D584" s="1" t="str">
        <f t="shared" si="88"/>
        <v>Kaduna</v>
      </c>
      <c r="E584" s="4" t="str">
        <f>_xlfn.XLOOKUP(D584,'Sales Manager'!$A$2:$A$6,'Sales Manager'!$B$2:$B$6,"")</f>
        <v>Musa Garba</v>
      </c>
      <c r="F584" s="3">
        <f t="shared" si="89"/>
        <v>7</v>
      </c>
      <c r="G584" s="1" t="str">
        <f t="shared" si="89"/>
        <v>Jul</v>
      </c>
      <c r="H584" s="11">
        <v>3000</v>
      </c>
      <c r="I584" s="11">
        <v>2665</v>
      </c>
      <c r="J584" s="11" cm="1">
        <f t="array" ref="J584">_xlfn.XLOOKUP(C584&amp;D584&amp;F584,Expense!$C$2:$C$601&amp;Expense!$D$2:$D$601&amp;Expense!$E$2:$E$601,Expense!$G$2:$G$601,"")</f>
        <v>750</v>
      </c>
      <c r="K584" s="11" cm="1">
        <f t="array" ref="K584">_xlfn.XLOOKUP(C584&amp;D584&amp;F584,Expense!$C$2:$C$601&amp;Expense!$D$2:$D$601&amp;Expense!$E$2:$E$601,Expense!$H$2:$H$601,"")</f>
        <v>450</v>
      </c>
      <c r="L584" s="14">
        <f t="shared" si="92"/>
        <v>-335</v>
      </c>
      <c r="M584" s="14">
        <f>Master_Table[[#This Row],[Expense Budget]]-Master_Table[[#This Row],[Actual Expense]]</f>
        <v>300</v>
      </c>
      <c r="N584" s="16">
        <f t="shared" si="93"/>
        <v>2215</v>
      </c>
      <c r="O584" s="29">
        <f t="shared" si="90"/>
        <v>2250</v>
      </c>
      <c r="P584" s="16">
        <f t="shared" si="91"/>
        <v>-35</v>
      </c>
      <c r="Q584" s="28">
        <f>Master_Table[[#This Row],[△Sales Variance]]/Master_Table[[#This Row],[Sales Budget]]</f>
        <v>-0.11166666666666666</v>
      </c>
      <c r="R584" s="28">
        <f>Master_Table[[#This Row],[△Expense  Variance]]/Master_Table[[#This Row],[Expense Budget]]</f>
        <v>0.4</v>
      </c>
      <c r="S584" s="28">
        <f>Master_Table[[#This Row],[Net Profit Variance]]/Master_Table[[#This Row],[Budget Net Profit]]</f>
        <v>-1.5555555555555555E-2</v>
      </c>
      <c r="T584" s="28">
        <f>Master_Table[[#This Row],[Actual Net Profit]]/Master_Table[[#This Row],[Actual Sales]]</f>
        <v>0.83114446529080677</v>
      </c>
      <c r="U584" s="28" t="str">
        <f>_xlfn.TEXTJOIN(" - ", TRUE, Master_Table[[#This Row],[Product]], Master_Table[[#This Row],[Branch]])</f>
        <v>Pawpaw - Kaduna</v>
      </c>
    </row>
    <row r="585" spans="1:21" ht="14.4" x14ac:dyDescent="0.3">
      <c r="A585" s="2">
        <v>584</v>
      </c>
      <c r="B585" s="2">
        <f t="shared" si="87"/>
        <v>109</v>
      </c>
      <c r="C585" s="1" t="str">
        <f>VLOOKUP(B585,Products!A:C,2,FALSE)</f>
        <v>Pawpaw</v>
      </c>
      <c r="D585" s="1" t="str">
        <f t="shared" si="88"/>
        <v>Kaduna</v>
      </c>
      <c r="E585" s="4" t="str">
        <f>_xlfn.XLOOKUP(D585,'Sales Manager'!$A$2:$A$6,'Sales Manager'!$B$2:$B$6,"")</f>
        <v>Musa Garba</v>
      </c>
      <c r="F585" s="3">
        <f t="shared" si="89"/>
        <v>8</v>
      </c>
      <c r="G585" s="1" t="str">
        <f t="shared" si="89"/>
        <v>Aug</v>
      </c>
      <c r="H585" s="11">
        <v>4000</v>
      </c>
      <c r="I585" s="11">
        <v>7457</v>
      </c>
      <c r="J585" s="11" cm="1">
        <f t="array" ref="J585">_xlfn.XLOOKUP(C585&amp;D585&amp;F585,Expense!$C$2:$C$601&amp;Expense!$D$2:$D$601&amp;Expense!$E$2:$E$601,Expense!$G$2:$G$601,"")</f>
        <v>1333.3333333333333</v>
      </c>
      <c r="K585" s="11" cm="1">
        <f t="array" ref="K585">_xlfn.XLOOKUP(C585&amp;D585&amp;F585,Expense!$C$2:$C$601&amp;Expense!$D$2:$D$601&amp;Expense!$E$2:$E$601,Expense!$H$2:$H$601,"")</f>
        <v>1333.3333333333333</v>
      </c>
      <c r="L585" s="14">
        <f t="shared" si="92"/>
        <v>3457</v>
      </c>
      <c r="M585" s="14">
        <f>Master_Table[[#This Row],[Expense Budget]]-Master_Table[[#This Row],[Actual Expense]]</f>
        <v>0</v>
      </c>
      <c r="N585" s="16">
        <f t="shared" si="93"/>
        <v>6123.666666666667</v>
      </c>
      <c r="O585" s="29">
        <f t="shared" si="90"/>
        <v>2666.666666666667</v>
      </c>
      <c r="P585" s="16">
        <f t="shared" si="91"/>
        <v>3457</v>
      </c>
      <c r="Q585" s="28">
        <f>Master_Table[[#This Row],[△Sales Variance]]/Master_Table[[#This Row],[Sales Budget]]</f>
        <v>0.86424999999999996</v>
      </c>
      <c r="R585" s="28">
        <f>Master_Table[[#This Row],[△Expense  Variance]]/Master_Table[[#This Row],[Expense Budget]]</f>
        <v>0</v>
      </c>
      <c r="S585" s="28">
        <f>Master_Table[[#This Row],[Net Profit Variance]]/Master_Table[[#This Row],[Budget Net Profit]]</f>
        <v>1.2963749999999998</v>
      </c>
      <c r="T585" s="28">
        <f>Master_Table[[#This Row],[Actual Net Profit]]/Master_Table[[#This Row],[Actual Sales]]</f>
        <v>0.82119708551249393</v>
      </c>
      <c r="U585" s="28" t="str">
        <f>_xlfn.TEXTJOIN(" - ", TRUE, Master_Table[[#This Row],[Product]], Master_Table[[#This Row],[Branch]])</f>
        <v>Pawpaw - Kaduna</v>
      </c>
    </row>
    <row r="586" spans="1:21" ht="14.4" x14ac:dyDescent="0.3">
      <c r="A586" s="2">
        <v>585</v>
      </c>
      <c r="B586" s="2">
        <f t="shared" si="87"/>
        <v>109</v>
      </c>
      <c r="C586" s="1" t="str">
        <f>VLOOKUP(B586,Products!A:C,2,FALSE)</f>
        <v>Pawpaw</v>
      </c>
      <c r="D586" s="1" t="str">
        <f t="shared" si="88"/>
        <v>Kaduna</v>
      </c>
      <c r="E586" s="4" t="str">
        <f>_xlfn.XLOOKUP(D586,'Sales Manager'!$A$2:$A$6,'Sales Manager'!$B$2:$B$6,"")</f>
        <v>Musa Garba</v>
      </c>
      <c r="F586" s="3">
        <f t="shared" si="89"/>
        <v>9</v>
      </c>
      <c r="G586" s="1" t="str">
        <f t="shared" si="89"/>
        <v>Sept</v>
      </c>
      <c r="H586" s="11">
        <v>9000</v>
      </c>
      <c r="I586" s="11">
        <v>3348</v>
      </c>
      <c r="J586" s="11" cm="1">
        <f t="array" ref="J586">_xlfn.XLOOKUP(C586&amp;D586&amp;F586,Expense!$C$2:$C$601&amp;Expense!$D$2:$D$601&amp;Expense!$E$2:$E$601,Expense!$G$2:$G$601,"")</f>
        <v>4500</v>
      </c>
      <c r="K586" s="11" cm="1">
        <f t="array" ref="K586">_xlfn.XLOOKUP(C586&amp;D586&amp;F586,Expense!$C$2:$C$601&amp;Expense!$D$2:$D$601&amp;Expense!$E$2:$E$601,Expense!$H$2:$H$601,"")</f>
        <v>4200</v>
      </c>
      <c r="L586" s="14">
        <f t="shared" si="92"/>
        <v>-5652</v>
      </c>
      <c r="M586" s="14">
        <f>Master_Table[[#This Row],[Expense Budget]]-Master_Table[[#This Row],[Actual Expense]]</f>
        <v>300</v>
      </c>
      <c r="N586" s="16">
        <f t="shared" si="93"/>
        <v>-852</v>
      </c>
      <c r="O586" s="29">
        <f t="shared" si="90"/>
        <v>4500</v>
      </c>
      <c r="P586" s="16">
        <f t="shared" si="91"/>
        <v>-5352</v>
      </c>
      <c r="Q586" s="28">
        <f>Master_Table[[#This Row],[△Sales Variance]]/Master_Table[[#This Row],[Sales Budget]]</f>
        <v>-0.628</v>
      </c>
      <c r="R586" s="28">
        <f>Master_Table[[#This Row],[△Expense  Variance]]/Master_Table[[#This Row],[Expense Budget]]</f>
        <v>6.6666666666666666E-2</v>
      </c>
      <c r="S586" s="28">
        <f>Master_Table[[#This Row],[Net Profit Variance]]/Master_Table[[#This Row],[Budget Net Profit]]</f>
        <v>-1.1893333333333334</v>
      </c>
      <c r="T586" s="28">
        <f>Master_Table[[#This Row],[Actual Net Profit]]/Master_Table[[#This Row],[Actual Sales]]</f>
        <v>-0.25448028673835127</v>
      </c>
      <c r="U586" s="28" t="str">
        <f>_xlfn.TEXTJOIN(" - ", TRUE, Master_Table[[#This Row],[Product]], Master_Table[[#This Row],[Branch]])</f>
        <v>Pawpaw - Kaduna</v>
      </c>
    </row>
    <row r="587" spans="1:21" ht="14.4" x14ac:dyDescent="0.3">
      <c r="A587" s="2">
        <v>586</v>
      </c>
      <c r="B587" s="2">
        <f t="shared" si="87"/>
        <v>109</v>
      </c>
      <c r="C587" s="1" t="str">
        <f>VLOOKUP(B587,Products!A:C,2,FALSE)</f>
        <v>Pawpaw</v>
      </c>
      <c r="D587" s="1" t="str">
        <f t="shared" si="88"/>
        <v>Kaduna</v>
      </c>
      <c r="E587" s="4" t="str">
        <f>_xlfn.XLOOKUP(D587,'Sales Manager'!$A$2:$A$6,'Sales Manager'!$B$2:$B$6,"")</f>
        <v>Musa Garba</v>
      </c>
      <c r="F587" s="3">
        <f t="shared" si="89"/>
        <v>10</v>
      </c>
      <c r="G587" s="1" t="str">
        <f t="shared" si="89"/>
        <v>Oct</v>
      </c>
      <c r="H587" s="11">
        <v>4000</v>
      </c>
      <c r="I587" s="11">
        <v>7972</v>
      </c>
      <c r="J587" s="11" cm="1">
        <f t="array" ref="J587">_xlfn.XLOOKUP(C587&amp;D587&amp;F587,Expense!$C$2:$C$601&amp;Expense!$D$2:$D$601&amp;Expense!$E$2:$E$601,Expense!$G$2:$G$601,"")</f>
        <v>2000</v>
      </c>
      <c r="K587" s="11" cm="1">
        <f t="array" ref="K587">_xlfn.XLOOKUP(C587&amp;D587&amp;F587,Expense!$C$2:$C$601&amp;Expense!$D$2:$D$601&amp;Expense!$E$2:$E$601,Expense!$H$2:$H$601,"")</f>
        <v>1400</v>
      </c>
      <c r="L587" s="14">
        <f t="shared" si="92"/>
        <v>3972</v>
      </c>
      <c r="M587" s="14">
        <f>Master_Table[[#This Row],[Expense Budget]]-Master_Table[[#This Row],[Actual Expense]]</f>
        <v>600</v>
      </c>
      <c r="N587" s="16">
        <f t="shared" si="93"/>
        <v>6572</v>
      </c>
      <c r="O587" s="29">
        <f t="shared" si="90"/>
        <v>2000</v>
      </c>
      <c r="P587" s="16">
        <f t="shared" si="91"/>
        <v>4572</v>
      </c>
      <c r="Q587" s="28">
        <f>Master_Table[[#This Row],[△Sales Variance]]/Master_Table[[#This Row],[Sales Budget]]</f>
        <v>0.99299999999999999</v>
      </c>
      <c r="R587" s="28">
        <f>Master_Table[[#This Row],[△Expense  Variance]]/Master_Table[[#This Row],[Expense Budget]]</f>
        <v>0.3</v>
      </c>
      <c r="S587" s="28">
        <f>Master_Table[[#This Row],[Net Profit Variance]]/Master_Table[[#This Row],[Budget Net Profit]]</f>
        <v>2.286</v>
      </c>
      <c r="T587" s="28">
        <f>Master_Table[[#This Row],[Actual Net Profit]]/Master_Table[[#This Row],[Actual Sales]]</f>
        <v>0.82438534872052183</v>
      </c>
      <c r="U587" s="28" t="str">
        <f>_xlfn.TEXTJOIN(" - ", TRUE, Master_Table[[#This Row],[Product]], Master_Table[[#This Row],[Branch]])</f>
        <v>Pawpaw - Kaduna</v>
      </c>
    </row>
    <row r="588" spans="1:21" ht="14.4" x14ac:dyDescent="0.3">
      <c r="A588" s="2">
        <v>587</v>
      </c>
      <c r="B588" s="2">
        <f t="shared" si="87"/>
        <v>109</v>
      </c>
      <c r="C588" s="1" t="str">
        <f>VLOOKUP(B588,Products!A:C,2,FALSE)</f>
        <v>Pawpaw</v>
      </c>
      <c r="D588" s="1" t="str">
        <f t="shared" si="88"/>
        <v>Kaduna</v>
      </c>
      <c r="E588" s="4" t="str">
        <f>_xlfn.XLOOKUP(D588,'Sales Manager'!$A$2:$A$6,'Sales Manager'!$B$2:$B$6,"")</f>
        <v>Musa Garba</v>
      </c>
      <c r="F588" s="3">
        <f t="shared" si="89"/>
        <v>11</v>
      </c>
      <c r="G588" s="1" t="str">
        <f t="shared" si="89"/>
        <v>Nov</v>
      </c>
      <c r="H588" s="11">
        <v>1000</v>
      </c>
      <c r="I588" s="11">
        <v>6563</v>
      </c>
      <c r="J588" s="11" cm="1">
        <f t="array" ref="J588">_xlfn.XLOOKUP(C588&amp;D588&amp;F588,Expense!$C$2:$C$601&amp;Expense!$D$2:$D$601&amp;Expense!$E$2:$E$601,Expense!$G$2:$G$601,"")</f>
        <v>500</v>
      </c>
      <c r="K588" s="11" cm="1">
        <f t="array" ref="K588">_xlfn.XLOOKUP(C588&amp;D588&amp;F588,Expense!$C$2:$C$601&amp;Expense!$D$2:$D$601&amp;Expense!$E$2:$E$601,Expense!$H$2:$H$601,"")</f>
        <v>200</v>
      </c>
      <c r="L588" s="14">
        <f t="shared" si="92"/>
        <v>5563</v>
      </c>
      <c r="M588" s="14">
        <f>Master_Table[[#This Row],[Expense Budget]]-Master_Table[[#This Row],[Actual Expense]]</f>
        <v>300</v>
      </c>
      <c r="N588" s="16">
        <f t="shared" si="93"/>
        <v>6363</v>
      </c>
      <c r="O588" s="29">
        <f t="shared" si="90"/>
        <v>500</v>
      </c>
      <c r="P588" s="16">
        <f t="shared" si="91"/>
        <v>5863</v>
      </c>
      <c r="Q588" s="28">
        <f>Master_Table[[#This Row],[△Sales Variance]]/Master_Table[[#This Row],[Sales Budget]]</f>
        <v>5.5629999999999997</v>
      </c>
      <c r="R588" s="28">
        <f>Master_Table[[#This Row],[△Expense  Variance]]/Master_Table[[#This Row],[Expense Budget]]</f>
        <v>0.6</v>
      </c>
      <c r="S588" s="28">
        <f>Master_Table[[#This Row],[Net Profit Variance]]/Master_Table[[#This Row],[Budget Net Profit]]</f>
        <v>11.726000000000001</v>
      </c>
      <c r="T588" s="28">
        <f>Master_Table[[#This Row],[Actual Net Profit]]/Master_Table[[#This Row],[Actual Sales]]</f>
        <v>0.96952613134237386</v>
      </c>
      <c r="U588" s="28" t="str">
        <f>_xlfn.TEXTJOIN(" - ", TRUE, Master_Table[[#This Row],[Product]], Master_Table[[#This Row],[Branch]])</f>
        <v>Pawpaw - Kaduna</v>
      </c>
    </row>
    <row r="589" spans="1:21" ht="14.4" x14ac:dyDescent="0.3">
      <c r="A589" s="2">
        <v>588</v>
      </c>
      <c r="B589" s="2">
        <f t="shared" si="87"/>
        <v>109</v>
      </c>
      <c r="C589" s="1" t="str">
        <f>VLOOKUP(B589,Products!A:C,2,FALSE)</f>
        <v>Pawpaw</v>
      </c>
      <c r="D589" s="1" t="str">
        <f t="shared" si="88"/>
        <v>Kaduna</v>
      </c>
      <c r="E589" s="4" t="str">
        <f>_xlfn.XLOOKUP(D589,'Sales Manager'!$A$2:$A$6,'Sales Manager'!$B$2:$B$6,"")</f>
        <v>Musa Garba</v>
      </c>
      <c r="F589" s="3">
        <f t="shared" si="89"/>
        <v>12</v>
      </c>
      <c r="G589" s="1" t="str">
        <f t="shared" si="89"/>
        <v>Dec</v>
      </c>
      <c r="H589" s="11">
        <v>5000</v>
      </c>
      <c r="I589" s="11">
        <v>4261</v>
      </c>
      <c r="J589" s="11" cm="1">
        <f t="array" ref="J589">_xlfn.XLOOKUP(C589&amp;D589&amp;F589,Expense!$C$2:$C$601&amp;Expense!$D$2:$D$601&amp;Expense!$E$2:$E$601,Expense!$G$2:$G$601,"")</f>
        <v>1250</v>
      </c>
      <c r="K589" s="11" cm="1">
        <f t="array" ref="K589">_xlfn.XLOOKUP(C589&amp;D589&amp;F589,Expense!$C$2:$C$601&amp;Expense!$D$2:$D$601&amp;Expense!$E$2:$E$601,Expense!$H$2:$H$601,"")</f>
        <v>1250</v>
      </c>
      <c r="L589" s="14">
        <f t="shared" si="92"/>
        <v>-739</v>
      </c>
      <c r="M589" s="14">
        <f>Master_Table[[#This Row],[Expense Budget]]-Master_Table[[#This Row],[Actual Expense]]</f>
        <v>0</v>
      </c>
      <c r="N589" s="16">
        <f t="shared" si="93"/>
        <v>3011</v>
      </c>
      <c r="O589" s="29">
        <f t="shared" si="90"/>
        <v>3750</v>
      </c>
      <c r="P589" s="16">
        <f t="shared" si="91"/>
        <v>-739</v>
      </c>
      <c r="Q589" s="28">
        <f>Master_Table[[#This Row],[△Sales Variance]]/Master_Table[[#This Row],[Sales Budget]]</f>
        <v>-0.14779999999999999</v>
      </c>
      <c r="R589" s="28">
        <f>Master_Table[[#This Row],[△Expense  Variance]]/Master_Table[[#This Row],[Expense Budget]]</f>
        <v>0</v>
      </c>
      <c r="S589" s="28">
        <f>Master_Table[[#This Row],[Net Profit Variance]]/Master_Table[[#This Row],[Budget Net Profit]]</f>
        <v>-0.19706666666666667</v>
      </c>
      <c r="T589" s="28">
        <f>Master_Table[[#This Row],[Actual Net Profit]]/Master_Table[[#This Row],[Actual Sales]]</f>
        <v>0.70664163341938513</v>
      </c>
      <c r="U589" s="28" t="str">
        <f>_xlfn.TEXTJOIN(" - ", TRUE, Master_Table[[#This Row],[Product]], Master_Table[[#This Row],[Branch]])</f>
        <v>Pawpaw - Kaduna</v>
      </c>
    </row>
    <row r="590" spans="1:21" ht="14.4" x14ac:dyDescent="0.3">
      <c r="A590" s="2">
        <v>589</v>
      </c>
      <c r="B590" s="2">
        <f t="shared" si="87"/>
        <v>109</v>
      </c>
      <c r="C590" s="1" t="str">
        <f>VLOOKUP(B590,Products!A:C,2,FALSE)</f>
        <v>Pawpaw</v>
      </c>
      <c r="D590" s="1" t="str">
        <f t="shared" si="88"/>
        <v>Ibadan</v>
      </c>
      <c r="E590" s="4" t="str">
        <f>_xlfn.XLOOKUP(D590,'Sales Manager'!$A$2:$A$6,'Sales Manager'!$B$2:$B$6,"")</f>
        <v>Funmi Adeyemi</v>
      </c>
      <c r="F590" s="3">
        <f t="shared" si="89"/>
        <v>1</v>
      </c>
      <c r="G590" s="1" t="str">
        <f t="shared" si="89"/>
        <v>Jan</v>
      </c>
      <c r="H590" s="11">
        <v>3000</v>
      </c>
      <c r="I590" s="11">
        <v>2334</v>
      </c>
      <c r="J590" s="11" cm="1">
        <f t="array" ref="J590">_xlfn.XLOOKUP(C590&amp;D590&amp;F590,Expense!$C$2:$C$601&amp;Expense!$D$2:$D$601&amp;Expense!$E$2:$E$601,Expense!$G$2:$G$601,"")</f>
        <v>600</v>
      </c>
      <c r="K590" s="11" cm="1">
        <f t="array" ref="K590">_xlfn.XLOOKUP(C590&amp;D590&amp;F590,Expense!$C$2:$C$601&amp;Expense!$D$2:$D$601&amp;Expense!$E$2:$E$601,Expense!$H$2:$H$601,"")</f>
        <v>500</v>
      </c>
      <c r="L590" s="14">
        <f t="shared" si="92"/>
        <v>-666</v>
      </c>
      <c r="M590" s="14">
        <f>Master_Table[[#This Row],[Expense Budget]]-Master_Table[[#This Row],[Actual Expense]]</f>
        <v>100</v>
      </c>
      <c r="N590" s="16">
        <f t="shared" si="93"/>
        <v>1834</v>
      </c>
      <c r="O590" s="29">
        <f t="shared" si="90"/>
        <v>2400</v>
      </c>
      <c r="P590" s="16">
        <f t="shared" si="91"/>
        <v>-566</v>
      </c>
      <c r="Q590" s="28">
        <f>Master_Table[[#This Row],[△Sales Variance]]/Master_Table[[#This Row],[Sales Budget]]</f>
        <v>-0.222</v>
      </c>
      <c r="R590" s="28">
        <f>Master_Table[[#This Row],[△Expense  Variance]]/Master_Table[[#This Row],[Expense Budget]]</f>
        <v>0.16666666666666666</v>
      </c>
      <c r="S590" s="28">
        <f>Master_Table[[#This Row],[Net Profit Variance]]/Master_Table[[#This Row],[Budget Net Profit]]</f>
        <v>-0.23583333333333334</v>
      </c>
      <c r="T590" s="28">
        <f>Master_Table[[#This Row],[Actual Net Profit]]/Master_Table[[#This Row],[Actual Sales]]</f>
        <v>0.78577549271636671</v>
      </c>
      <c r="U590" s="28" t="str">
        <f>_xlfn.TEXTJOIN(" - ", TRUE, Master_Table[[#This Row],[Product]], Master_Table[[#This Row],[Branch]])</f>
        <v>Pawpaw - Ibadan</v>
      </c>
    </row>
    <row r="591" spans="1:21" ht="14.4" x14ac:dyDescent="0.3">
      <c r="A591" s="2">
        <v>590</v>
      </c>
      <c r="B591" s="2">
        <f t="shared" si="87"/>
        <v>109</v>
      </c>
      <c r="C591" s="1" t="str">
        <f>VLOOKUP(B591,Products!A:C,2,FALSE)</f>
        <v>Pawpaw</v>
      </c>
      <c r="D591" s="1" t="str">
        <f t="shared" si="88"/>
        <v>Ibadan</v>
      </c>
      <c r="E591" s="4" t="str">
        <f>_xlfn.XLOOKUP(D591,'Sales Manager'!$A$2:$A$6,'Sales Manager'!$B$2:$B$6,"")</f>
        <v>Funmi Adeyemi</v>
      </c>
      <c r="F591" s="3">
        <f t="shared" ref="F591:G601" si="94">F579</f>
        <v>2</v>
      </c>
      <c r="G591" s="1" t="str">
        <f t="shared" si="94"/>
        <v>Feb</v>
      </c>
      <c r="H591" s="11">
        <v>4000</v>
      </c>
      <c r="I591" s="11">
        <v>5191</v>
      </c>
      <c r="J591" s="11" cm="1">
        <f t="array" ref="J591">_xlfn.XLOOKUP(C591&amp;D591&amp;F591,Expense!$C$2:$C$601&amp;Expense!$D$2:$D$601&amp;Expense!$E$2:$E$601,Expense!$G$2:$G$601,"")</f>
        <v>2000</v>
      </c>
      <c r="K591" s="11" cm="1">
        <f t="array" ref="K591">_xlfn.XLOOKUP(C591&amp;D591&amp;F591,Expense!$C$2:$C$601&amp;Expense!$D$2:$D$601&amp;Expense!$E$2:$E$601,Expense!$H$2:$H$601,"")</f>
        <v>1300</v>
      </c>
      <c r="L591" s="14">
        <f t="shared" si="92"/>
        <v>1191</v>
      </c>
      <c r="M591" s="14">
        <f>Master_Table[[#This Row],[Expense Budget]]-Master_Table[[#This Row],[Actual Expense]]</f>
        <v>700</v>
      </c>
      <c r="N591" s="16">
        <f t="shared" si="93"/>
        <v>3891</v>
      </c>
      <c r="O591" s="29">
        <f t="shared" si="90"/>
        <v>2000</v>
      </c>
      <c r="P591" s="16">
        <f t="shared" si="91"/>
        <v>1891</v>
      </c>
      <c r="Q591" s="28">
        <f>Master_Table[[#This Row],[△Sales Variance]]/Master_Table[[#This Row],[Sales Budget]]</f>
        <v>0.29775000000000001</v>
      </c>
      <c r="R591" s="28">
        <f>Master_Table[[#This Row],[△Expense  Variance]]/Master_Table[[#This Row],[Expense Budget]]</f>
        <v>0.35</v>
      </c>
      <c r="S591" s="28">
        <f>Master_Table[[#This Row],[Net Profit Variance]]/Master_Table[[#This Row],[Budget Net Profit]]</f>
        <v>0.94550000000000001</v>
      </c>
      <c r="T591" s="28">
        <f>Master_Table[[#This Row],[Actual Net Profit]]/Master_Table[[#This Row],[Actual Sales]]</f>
        <v>0.7495665575033712</v>
      </c>
      <c r="U591" s="28" t="str">
        <f>_xlfn.TEXTJOIN(" - ", TRUE, Master_Table[[#This Row],[Product]], Master_Table[[#This Row],[Branch]])</f>
        <v>Pawpaw - Ibadan</v>
      </c>
    </row>
    <row r="592" spans="1:21" ht="14.4" x14ac:dyDescent="0.3">
      <c r="A592" s="2">
        <v>591</v>
      </c>
      <c r="B592" s="2">
        <f t="shared" si="87"/>
        <v>109</v>
      </c>
      <c r="C592" s="1" t="str">
        <f>VLOOKUP(B592,Products!A:C,2,FALSE)</f>
        <v>Pawpaw</v>
      </c>
      <c r="D592" s="1" t="str">
        <f t="shared" si="88"/>
        <v>Ibadan</v>
      </c>
      <c r="E592" s="4" t="str">
        <f>_xlfn.XLOOKUP(D592,'Sales Manager'!$A$2:$A$6,'Sales Manager'!$B$2:$B$6,"")</f>
        <v>Funmi Adeyemi</v>
      </c>
      <c r="F592" s="3">
        <f t="shared" si="94"/>
        <v>3</v>
      </c>
      <c r="G592" s="1" t="str">
        <f t="shared" si="94"/>
        <v>Mar</v>
      </c>
      <c r="H592" s="11">
        <v>3000</v>
      </c>
      <c r="I592" s="11">
        <v>5574</v>
      </c>
      <c r="J592" s="11" cm="1">
        <f t="array" ref="J592">_xlfn.XLOOKUP(C592&amp;D592&amp;F592,Expense!$C$2:$C$601&amp;Expense!$D$2:$D$601&amp;Expense!$E$2:$E$601,Expense!$G$2:$G$601,"")</f>
        <v>1000</v>
      </c>
      <c r="K592" s="11" cm="1">
        <f t="array" ref="K592">_xlfn.XLOOKUP(C592&amp;D592&amp;F592,Expense!$C$2:$C$601&amp;Expense!$D$2:$D$601&amp;Expense!$E$2:$E$601,Expense!$H$2:$H$601,"")</f>
        <v>200</v>
      </c>
      <c r="L592" s="14">
        <f t="shared" si="92"/>
        <v>2574</v>
      </c>
      <c r="M592" s="14">
        <f>Master_Table[[#This Row],[Expense Budget]]-Master_Table[[#This Row],[Actual Expense]]</f>
        <v>800</v>
      </c>
      <c r="N592" s="16">
        <f t="shared" si="93"/>
        <v>5374</v>
      </c>
      <c r="O592" s="29">
        <f t="shared" si="90"/>
        <v>2000</v>
      </c>
      <c r="P592" s="16">
        <f t="shared" si="91"/>
        <v>3374</v>
      </c>
      <c r="Q592" s="28">
        <f>Master_Table[[#This Row],[△Sales Variance]]/Master_Table[[#This Row],[Sales Budget]]</f>
        <v>0.85799999999999998</v>
      </c>
      <c r="R592" s="28">
        <f>Master_Table[[#This Row],[△Expense  Variance]]/Master_Table[[#This Row],[Expense Budget]]</f>
        <v>0.8</v>
      </c>
      <c r="S592" s="28">
        <f>Master_Table[[#This Row],[Net Profit Variance]]/Master_Table[[#This Row],[Budget Net Profit]]</f>
        <v>1.6870000000000001</v>
      </c>
      <c r="T592" s="28">
        <f>Master_Table[[#This Row],[Actual Net Profit]]/Master_Table[[#This Row],[Actual Sales]]</f>
        <v>0.96411912450663795</v>
      </c>
      <c r="U592" s="28" t="str">
        <f>_xlfn.TEXTJOIN(" - ", TRUE, Master_Table[[#This Row],[Product]], Master_Table[[#This Row],[Branch]])</f>
        <v>Pawpaw - Ibadan</v>
      </c>
    </row>
    <row r="593" spans="1:21" ht="14.4" x14ac:dyDescent="0.3">
      <c r="A593" s="2">
        <v>592</v>
      </c>
      <c r="B593" s="2">
        <f t="shared" si="87"/>
        <v>109</v>
      </c>
      <c r="C593" s="1" t="str">
        <f>VLOOKUP(B593,Products!A:C,2,FALSE)</f>
        <v>Pawpaw</v>
      </c>
      <c r="D593" s="1" t="str">
        <f t="shared" si="88"/>
        <v>Ibadan</v>
      </c>
      <c r="E593" s="4" t="str">
        <f>_xlfn.XLOOKUP(D593,'Sales Manager'!$A$2:$A$6,'Sales Manager'!$B$2:$B$6,"")</f>
        <v>Funmi Adeyemi</v>
      </c>
      <c r="F593" s="3">
        <f t="shared" si="94"/>
        <v>4</v>
      </c>
      <c r="G593" s="1" t="str">
        <f t="shared" si="94"/>
        <v>Apr</v>
      </c>
      <c r="H593" s="11">
        <v>5000</v>
      </c>
      <c r="I593" s="11">
        <v>9714</v>
      </c>
      <c r="J593" s="11" cm="1">
        <f t="array" ref="J593">_xlfn.XLOOKUP(C593&amp;D593&amp;F593,Expense!$C$2:$C$601&amp;Expense!$D$2:$D$601&amp;Expense!$E$2:$E$601,Expense!$G$2:$G$601,"")</f>
        <v>1666.6666666666667</v>
      </c>
      <c r="K593" s="11" cm="1">
        <f t="array" ref="K593">_xlfn.XLOOKUP(C593&amp;D593&amp;F593,Expense!$C$2:$C$601&amp;Expense!$D$2:$D$601&amp;Expense!$E$2:$E$601,Expense!$H$2:$H$601,"")</f>
        <v>866.66666666666674</v>
      </c>
      <c r="L593" s="14">
        <f t="shared" si="92"/>
        <v>4714</v>
      </c>
      <c r="M593" s="14">
        <f>Master_Table[[#This Row],[Expense Budget]]-Master_Table[[#This Row],[Actual Expense]]</f>
        <v>800</v>
      </c>
      <c r="N593" s="16">
        <f t="shared" si="93"/>
        <v>8847.3333333333339</v>
      </c>
      <c r="O593" s="29">
        <f t="shared" si="90"/>
        <v>3333.333333333333</v>
      </c>
      <c r="P593" s="16">
        <f t="shared" si="91"/>
        <v>5514.0000000000009</v>
      </c>
      <c r="Q593" s="28">
        <f>Master_Table[[#This Row],[△Sales Variance]]/Master_Table[[#This Row],[Sales Budget]]</f>
        <v>0.94279999999999997</v>
      </c>
      <c r="R593" s="28">
        <f>Master_Table[[#This Row],[△Expense  Variance]]/Master_Table[[#This Row],[Expense Budget]]</f>
        <v>0.48</v>
      </c>
      <c r="S593" s="28">
        <f>Master_Table[[#This Row],[Net Profit Variance]]/Master_Table[[#This Row],[Budget Net Profit]]</f>
        <v>1.6542000000000003</v>
      </c>
      <c r="T593" s="28">
        <f>Master_Table[[#This Row],[Actual Net Profit]]/Master_Table[[#This Row],[Actual Sales]]</f>
        <v>0.91078168965753903</v>
      </c>
      <c r="U593" s="28" t="str">
        <f>_xlfn.TEXTJOIN(" - ", TRUE, Master_Table[[#This Row],[Product]], Master_Table[[#This Row],[Branch]])</f>
        <v>Pawpaw - Ibadan</v>
      </c>
    </row>
    <row r="594" spans="1:21" ht="14.4" x14ac:dyDescent="0.3">
      <c r="A594" s="2">
        <v>593</v>
      </c>
      <c r="B594" s="2">
        <f t="shared" si="87"/>
        <v>109</v>
      </c>
      <c r="C594" s="1" t="str">
        <f>VLOOKUP(B594,Products!A:C,2,FALSE)</f>
        <v>Pawpaw</v>
      </c>
      <c r="D594" s="1" t="str">
        <f t="shared" si="88"/>
        <v>Ibadan</v>
      </c>
      <c r="E594" s="4" t="str">
        <f>_xlfn.XLOOKUP(D594,'Sales Manager'!$A$2:$A$6,'Sales Manager'!$B$2:$B$6,"")</f>
        <v>Funmi Adeyemi</v>
      </c>
      <c r="F594" s="3">
        <f t="shared" si="94"/>
        <v>5</v>
      </c>
      <c r="G594" s="1" t="str">
        <f t="shared" si="94"/>
        <v>May</v>
      </c>
      <c r="H594" s="11">
        <v>6000</v>
      </c>
      <c r="I594" s="11">
        <v>3213</v>
      </c>
      <c r="J594" s="11" cm="1">
        <f t="array" ref="J594">_xlfn.XLOOKUP(C594&amp;D594&amp;F594,Expense!$C$2:$C$601&amp;Expense!$D$2:$D$601&amp;Expense!$E$2:$E$601,Expense!$G$2:$G$601,"")</f>
        <v>1200</v>
      </c>
      <c r="K594" s="11" cm="1">
        <f t="array" ref="K594">_xlfn.XLOOKUP(C594&amp;D594&amp;F594,Expense!$C$2:$C$601&amp;Expense!$D$2:$D$601&amp;Expense!$E$2:$E$601,Expense!$H$2:$H$601,"")</f>
        <v>900</v>
      </c>
      <c r="L594" s="14">
        <f t="shared" si="92"/>
        <v>-2787</v>
      </c>
      <c r="M594" s="14">
        <f>Master_Table[[#This Row],[Expense Budget]]-Master_Table[[#This Row],[Actual Expense]]</f>
        <v>300</v>
      </c>
      <c r="N594" s="16">
        <f t="shared" si="93"/>
        <v>2313</v>
      </c>
      <c r="O594" s="29">
        <f t="shared" si="90"/>
        <v>4800</v>
      </c>
      <c r="P594" s="16">
        <f t="shared" si="91"/>
        <v>-2487</v>
      </c>
      <c r="Q594" s="28">
        <f>Master_Table[[#This Row],[△Sales Variance]]/Master_Table[[#This Row],[Sales Budget]]</f>
        <v>-0.46450000000000002</v>
      </c>
      <c r="R594" s="28">
        <f>Master_Table[[#This Row],[△Expense  Variance]]/Master_Table[[#This Row],[Expense Budget]]</f>
        <v>0.25</v>
      </c>
      <c r="S594" s="28">
        <f>Master_Table[[#This Row],[Net Profit Variance]]/Master_Table[[#This Row],[Budget Net Profit]]</f>
        <v>-0.51812499999999995</v>
      </c>
      <c r="T594" s="28">
        <f>Master_Table[[#This Row],[Actual Net Profit]]/Master_Table[[#This Row],[Actual Sales]]</f>
        <v>0.71988795518207283</v>
      </c>
      <c r="U594" s="28" t="str">
        <f>_xlfn.TEXTJOIN(" - ", TRUE, Master_Table[[#This Row],[Product]], Master_Table[[#This Row],[Branch]])</f>
        <v>Pawpaw - Ibadan</v>
      </c>
    </row>
    <row r="595" spans="1:21" ht="14.4" x14ac:dyDescent="0.3">
      <c r="A595" s="2">
        <v>594</v>
      </c>
      <c r="B595" s="2">
        <f t="shared" si="87"/>
        <v>109</v>
      </c>
      <c r="C595" s="1" t="str">
        <f>VLOOKUP(B595,Products!A:C,2,FALSE)</f>
        <v>Pawpaw</v>
      </c>
      <c r="D595" s="1" t="str">
        <f t="shared" si="88"/>
        <v>Ibadan</v>
      </c>
      <c r="E595" s="4" t="str">
        <f>_xlfn.XLOOKUP(D595,'Sales Manager'!$A$2:$A$6,'Sales Manager'!$B$2:$B$6,"")</f>
        <v>Funmi Adeyemi</v>
      </c>
      <c r="F595" s="3">
        <f t="shared" si="94"/>
        <v>6</v>
      </c>
      <c r="G595" s="1" t="str">
        <f t="shared" si="94"/>
        <v>Jun</v>
      </c>
      <c r="H595" s="11">
        <v>8000</v>
      </c>
      <c r="I595" s="11">
        <v>2769</v>
      </c>
      <c r="J595" s="11" cm="1">
        <f t="array" ref="J595">_xlfn.XLOOKUP(C595&amp;D595&amp;F595,Expense!$C$2:$C$601&amp;Expense!$D$2:$D$601&amp;Expense!$E$2:$E$601,Expense!$G$2:$G$601,"")</f>
        <v>1600</v>
      </c>
      <c r="K595" s="11" cm="1">
        <f t="array" ref="K595">_xlfn.XLOOKUP(C595&amp;D595&amp;F595,Expense!$C$2:$C$601&amp;Expense!$D$2:$D$601&amp;Expense!$E$2:$E$601,Expense!$H$2:$H$601,"")</f>
        <v>1300</v>
      </c>
      <c r="L595" s="14">
        <f t="shared" si="92"/>
        <v>-5231</v>
      </c>
      <c r="M595" s="14">
        <f>Master_Table[[#This Row],[Expense Budget]]-Master_Table[[#This Row],[Actual Expense]]</f>
        <v>300</v>
      </c>
      <c r="N595" s="16">
        <f t="shared" si="93"/>
        <v>1469</v>
      </c>
      <c r="O595" s="29">
        <f t="shared" si="90"/>
        <v>6400</v>
      </c>
      <c r="P595" s="16">
        <f t="shared" si="91"/>
        <v>-4931</v>
      </c>
      <c r="Q595" s="28">
        <f>Master_Table[[#This Row],[△Sales Variance]]/Master_Table[[#This Row],[Sales Budget]]</f>
        <v>-0.65387499999999998</v>
      </c>
      <c r="R595" s="28">
        <f>Master_Table[[#This Row],[△Expense  Variance]]/Master_Table[[#This Row],[Expense Budget]]</f>
        <v>0.1875</v>
      </c>
      <c r="S595" s="28">
        <f>Master_Table[[#This Row],[Net Profit Variance]]/Master_Table[[#This Row],[Budget Net Profit]]</f>
        <v>-0.77046875000000004</v>
      </c>
      <c r="T595" s="28">
        <f>Master_Table[[#This Row],[Actual Net Profit]]/Master_Table[[#This Row],[Actual Sales]]</f>
        <v>0.53051643192488263</v>
      </c>
      <c r="U595" s="28" t="str">
        <f>_xlfn.TEXTJOIN(" - ", TRUE, Master_Table[[#This Row],[Product]], Master_Table[[#This Row],[Branch]])</f>
        <v>Pawpaw - Ibadan</v>
      </c>
    </row>
    <row r="596" spans="1:21" ht="14.4" x14ac:dyDescent="0.3">
      <c r="A596" s="2">
        <v>595</v>
      </c>
      <c r="B596" s="2">
        <f t="shared" si="87"/>
        <v>109</v>
      </c>
      <c r="C596" s="1" t="str">
        <f>VLOOKUP(B596,Products!A:C,2,FALSE)</f>
        <v>Pawpaw</v>
      </c>
      <c r="D596" s="1" t="str">
        <f t="shared" si="88"/>
        <v>Ibadan</v>
      </c>
      <c r="E596" s="4" t="str">
        <f>_xlfn.XLOOKUP(D596,'Sales Manager'!$A$2:$A$6,'Sales Manager'!$B$2:$B$6,"")</f>
        <v>Funmi Adeyemi</v>
      </c>
      <c r="F596" s="3">
        <f t="shared" si="94"/>
        <v>7</v>
      </c>
      <c r="G596" s="1" t="str">
        <f t="shared" si="94"/>
        <v>Jul</v>
      </c>
      <c r="H596" s="11">
        <v>5000</v>
      </c>
      <c r="I596" s="11">
        <v>4523</v>
      </c>
      <c r="J596" s="11" cm="1">
        <f t="array" ref="J596">_xlfn.XLOOKUP(C596&amp;D596&amp;F596,Expense!$C$2:$C$601&amp;Expense!$D$2:$D$601&amp;Expense!$E$2:$E$601,Expense!$G$2:$G$601,"")</f>
        <v>1250</v>
      </c>
      <c r="K596" s="11" cm="1">
        <f t="array" ref="K596">_xlfn.XLOOKUP(C596&amp;D596&amp;F596,Expense!$C$2:$C$601&amp;Expense!$D$2:$D$601&amp;Expense!$E$2:$E$601,Expense!$H$2:$H$601,"")</f>
        <v>1050</v>
      </c>
      <c r="L596" s="14">
        <f t="shared" si="92"/>
        <v>-477</v>
      </c>
      <c r="M596" s="14">
        <f>Master_Table[[#This Row],[Expense Budget]]-Master_Table[[#This Row],[Actual Expense]]</f>
        <v>200</v>
      </c>
      <c r="N596" s="16">
        <f t="shared" si="93"/>
        <v>3473</v>
      </c>
      <c r="O596" s="29">
        <f t="shared" si="90"/>
        <v>3750</v>
      </c>
      <c r="P596" s="16">
        <f t="shared" si="91"/>
        <v>-277</v>
      </c>
      <c r="Q596" s="28">
        <f>Master_Table[[#This Row],[△Sales Variance]]/Master_Table[[#This Row],[Sales Budget]]</f>
        <v>-9.5399999999999999E-2</v>
      </c>
      <c r="R596" s="28">
        <f>Master_Table[[#This Row],[△Expense  Variance]]/Master_Table[[#This Row],[Expense Budget]]</f>
        <v>0.16</v>
      </c>
      <c r="S596" s="28">
        <f>Master_Table[[#This Row],[Net Profit Variance]]/Master_Table[[#This Row],[Budget Net Profit]]</f>
        <v>-7.3866666666666664E-2</v>
      </c>
      <c r="T596" s="28">
        <f>Master_Table[[#This Row],[Actual Net Profit]]/Master_Table[[#This Row],[Actual Sales]]</f>
        <v>0.76785319478222414</v>
      </c>
      <c r="U596" s="28" t="str">
        <f>_xlfn.TEXTJOIN(" - ", TRUE, Master_Table[[#This Row],[Product]], Master_Table[[#This Row],[Branch]])</f>
        <v>Pawpaw - Ibadan</v>
      </c>
    </row>
    <row r="597" spans="1:21" ht="14.4" x14ac:dyDescent="0.3">
      <c r="A597" s="2">
        <v>596</v>
      </c>
      <c r="B597" s="2">
        <f t="shared" si="87"/>
        <v>109</v>
      </c>
      <c r="C597" s="1" t="str">
        <f>VLOOKUP(B597,Products!A:C,2,FALSE)</f>
        <v>Pawpaw</v>
      </c>
      <c r="D597" s="1" t="str">
        <f t="shared" si="88"/>
        <v>Ibadan</v>
      </c>
      <c r="E597" s="4" t="str">
        <f>_xlfn.XLOOKUP(D597,'Sales Manager'!$A$2:$A$6,'Sales Manager'!$B$2:$B$6,"")</f>
        <v>Funmi Adeyemi</v>
      </c>
      <c r="F597" s="3">
        <f t="shared" si="94"/>
        <v>8</v>
      </c>
      <c r="G597" s="1" t="str">
        <f t="shared" si="94"/>
        <v>Aug</v>
      </c>
      <c r="H597" s="11">
        <v>6000</v>
      </c>
      <c r="I597" s="11">
        <v>2771</v>
      </c>
      <c r="J597" s="11" cm="1">
        <f t="array" ref="J597">_xlfn.XLOOKUP(C597&amp;D597&amp;F597,Expense!$C$2:$C$601&amp;Expense!$D$2:$D$601&amp;Expense!$E$2:$E$601,Expense!$G$2:$G$601,"")</f>
        <v>3000</v>
      </c>
      <c r="K597" s="11" cm="1">
        <f t="array" ref="K597">_xlfn.XLOOKUP(C597&amp;D597&amp;F597,Expense!$C$2:$C$601&amp;Expense!$D$2:$D$601&amp;Expense!$E$2:$E$601,Expense!$H$2:$H$601,"")</f>
        <v>2600</v>
      </c>
      <c r="L597" s="14">
        <f t="shared" si="92"/>
        <v>-3229</v>
      </c>
      <c r="M597" s="14">
        <f>Master_Table[[#This Row],[Expense Budget]]-Master_Table[[#This Row],[Actual Expense]]</f>
        <v>400</v>
      </c>
      <c r="N597" s="16">
        <f t="shared" si="93"/>
        <v>171</v>
      </c>
      <c r="O597" s="29">
        <f t="shared" si="90"/>
        <v>3000</v>
      </c>
      <c r="P597" s="16">
        <f t="shared" si="91"/>
        <v>-2829</v>
      </c>
      <c r="Q597" s="28">
        <f>Master_Table[[#This Row],[△Sales Variance]]/Master_Table[[#This Row],[Sales Budget]]</f>
        <v>-0.53816666666666668</v>
      </c>
      <c r="R597" s="28">
        <f>Master_Table[[#This Row],[△Expense  Variance]]/Master_Table[[#This Row],[Expense Budget]]</f>
        <v>0.13333333333333333</v>
      </c>
      <c r="S597" s="28">
        <f>Master_Table[[#This Row],[Net Profit Variance]]/Master_Table[[#This Row],[Budget Net Profit]]</f>
        <v>-0.94299999999999995</v>
      </c>
      <c r="T597" s="28">
        <f>Master_Table[[#This Row],[Actual Net Profit]]/Master_Table[[#This Row],[Actual Sales]]</f>
        <v>6.1710573800072173E-2</v>
      </c>
      <c r="U597" s="28" t="str">
        <f>_xlfn.TEXTJOIN(" - ", TRUE, Master_Table[[#This Row],[Product]], Master_Table[[#This Row],[Branch]])</f>
        <v>Pawpaw - Ibadan</v>
      </c>
    </row>
    <row r="598" spans="1:21" ht="14.4" x14ac:dyDescent="0.3">
      <c r="A598" s="2">
        <v>597</v>
      </c>
      <c r="B598" s="2">
        <f t="shared" si="87"/>
        <v>109</v>
      </c>
      <c r="C598" s="1" t="str">
        <f>VLOOKUP(B598,Products!A:C,2,FALSE)</f>
        <v>Pawpaw</v>
      </c>
      <c r="D598" s="1" t="str">
        <f t="shared" si="88"/>
        <v>Ibadan</v>
      </c>
      <c r="E598" s="4" t="str">
        <f>_xlfn.XLOOKUP(D598,'Sales Manager'!$A$2:$A$6,'Sales Manager'!$B$2:$B$6,"")</f>
        <v>Funmi Adeyemi</v>
      </c>
      <c r="F598" s="3">
        <f t="shared" si="94"/>
        <v>9</v>
      </c>
      <c r="G598" s="1" t="str">
        <f t="shared" si="94"/>
        <v>Sept</v>
      </c>
      <c r="H598" s="11">
        <v>6000</v>
      </c>
      <c r="I598" s="11">
        <v>2533</v>
      </c>
      <c r="J598" s="11" cm="1">
        <f t="array" ref="J598">_xlfn.XLOOKUP(C598&amp;D598&amp;F598,Expense!$C$2:$C$601&amp;Expense!$D$2:$D$601&amp;Expense!$E$2:$E$601,Expense!$G$2:$G$601,"")</f>
        <v>1500</v>
      </c>
      <c r="K598" s="11" cm="1">
        <f t="array" ref="K598">_xlfn.XLOOKUP(C598&amp;D598&amp;F598,Expense!$C$2:$C$601&amp;Expense!$D$2:$D$601&amp;Expense!$E$2:$E$601,Expense!$H$2:$H$601,"")</f>
        <v>1400</v>
      </c>
      <c r="L598" s="14">
        <f t="shared" si="92"/>
        <v>-3467</v>
      </c>
      <c r="M598" s="14">
        <f>Master_Table[[#This Row],[Expense Budget]]-Master_Table[[#This Row],[Actual Expense]]</f>
        <v>100</v>
      </c>
      <c r="N598" s="16">
        <f t="shared" si="93"/>
        <v>1133</v>
      </c>
      <c r="O598" s="29">
        <f t="shared" si="90"/>
        <v>4500</v>
      </c>
      <c r="P598" s="16">
        <f t="shared" si="91"/>
        <v>-3367</v>
      </c>
      <c r="Q598" s="28">
        <f>Master_Table[[#This Row],[△Sales Variance]]/Master_Table[[#This Row],[Sales Budget]]</f>
        <v>-0.57783333333333331</v>
      </c>
      <c r="R598" s="28">
        <f>Master_Table[[#This Row],[△Expense  Variance]]/Master_Table[[#This Row],[Expense Budget]]</f>
        <v>6.6666666666666666E-2</v>
      </c>
      <c r="S598" s="28">
        <f>Master_Table[[#This Row],[Net Profit Variance]]/Master_Table[[#This Row],[Budget Net Profit]]</f>
        <v>-0.74822222222222223</v>
      </c>
      <c r="T598" s="28">
        <f>Master_Table[[#This Row],[Actual Net Profit]]/Master_Table[[#This Row],[Actual Sales]]</f>
        <v>0.44729569680221082</v>
      </c>
      <c r="U598" s="28" t="str">
        <f>_xlfn.TEXTJOIN(" - ", TRUE, Master_Table[[#This Row],[Product]], Master_Table[[#This Row],[Branch]])</f>
        <v>Pawpaw - Ibadan</v>
      </c>
    </row>
    <row r="599" spans="1:21" ht="14.4" x14ac:dyDescent="0.3">
      <c r="A599" s="2">
        <v>598</v>
      </c>
      <c r="B599" s="2">
        <f t="shared" si="87"/>
        <v>109</v>
      </c>
      <c r="C599" s="1" t="str">
        <f>VLOOKUP(B599,Products!A:C,2,FALSE)</f>
        <v>Pawpaw</v>
      </c>
      <c r="D599" s="1" t="str">
        <f t="shared" si="88"/>
        <v>Ibadan</v>
      </c>
      <c r="E599" s="4" t="str">
        <f>_xlfn.XLOOKUP(D599,'Sales Manager'!$A$2:$A$6,'Sales Manager'!$B$2:$B$6,"")</f>
        <v>Funmi Adeyemi</v>
      </c>
      <c r="F599" s="3">
        <f t="shared" si="94"/>
        <v>10</v>
      </c>
      <c r="G599" s="1" t="str">
        <f t="shared" si="94"/>
        <v>Oct</v>
      </c>
      <c r="H599" s="11">
        <v>6000</v>
      </c>
      <c r="I599" s="11">
        <v>5433</v>
      </c>
      <c r="J599" s="11" cm="1">
        <f t="array" ref="J599">_xlfn.XLOOKUP(C599&amp;D599&amp;F599,Expense!$C$2:$C$601&amp;Expense!$D$2:$D$601&amp;Expense!$E$2:$E$601,Expense!$G$2:$G$601,"")</f>
        <v>1500</v>
      </c>
      <c r="K599" s="11" cm="1">
        <f t="array" ref="K599">_xlfn.XLOOKUP(C599&amp;D599&amp;F599,Expense!$C$2:$C$601&amp;Expense!$D$2:$D$601&amp;Expense!$E$2:$E$601,Expense!$H$2:$H$601,"")</f>
        <v>1200</v>
      </c>
      <c r="L599" s="14">
        <f t="shared" si="92"/>
        <v>-567</v>
      </c>
      <c r="M599" s="14">
        <f>Master_Table[[#This Row],[Expense Budget]]-Master_Table[[#This Row],[Actual Expense]]</f>
        <v>300</v>
      </c>
      <c r="N599" s="16">
        <f t="shared" si="93"/>
        <v>4233</v>
      </c>
      <c r="O599" s="29">
        <f t="shared" si="90"/>
        <v>4500</v>
      </c>
      <c r="P599" s="16">
        <f t="shared" si="91"/>
        <v>-267</v>
      </c>
      <c r="Q599" s="28">
        <f>Master_Table[[#This Row],[△Sales Variance]]/Master_Table[[#This Row],[Sales Budget]]</f>
        <v>-9.4500000000000001E-2</v>
      </c>
      <c r="R599" s="28">
        <f>Master_Table[[#This Row],[△Expense  Variance]]/Master_Table[[#This Row],[Expense Budget]]</f>
        <v>0.2</v>
      </c>
      <c r="S599" s="28">
        <f>Master_Table[[#This Row],[Net Profit Variance]]/Master_Table[[#This Row],[Budget Net Profit]]</f>
        <v>-5.9333333333333335E-2</v>
      </c>
      <c r="T599" s="28">
        <f>Master_Table[[#This Row],[Actual Net Profit]]/Master_Table[[#This Row],[Actual Sales]]</f>
        <v>0.77912755383765875</v>
      </c>
      <c r="U599" s="28" t="str">
        <f>_xlfn.TEXTJOIN(" - ", TRUE, Master_Table[[#This Row],[Product]], Master_Table[[#This Row],[Branch]])</f>
        <v>Pawpaw - Ibadan</v>
      </c>
    </row>
    <row r="600" spans="1:21" ht="14.4" x14ac:dyDescent="0.3">
      <c r="A600" s="2">
        <v>599</v>
      </c>
      <c r="B600" s="2">
        <f t="shared" si="87"/>
        <v>109</v>
      </c>
      <c r="C600" s="1" t="str">
        <f>VLOOKUP(B600,Products!A:C,2,FALSE)</f>
        <v>Pawpaw</v>
      </c>
      <c r="D600" s="1" t="str">
        <f t="shared" si="88"/>
        <v>Ibadan</v>
      </c>
      <c r="E600" s="4" t="str">
        <f>_xlfn.XLOOKUP(D600,'Sales Manager'!$A$2:$A$6,'Sales Manager'!$B$2:$B$6,"")</f>
        <v>Funmi Adeyemi</v>
      </c>
      <c r="F600" s="3">
        <f t="shared" si="94"/>
        <v>11</v>
      </c>
      <c r="G600" s="1" t="str">
        <f t="shared" si="94"/>
        <v>Nov</v>
      </c>
      <c r="H600" s="11">
        <v>4000</v>
      </c>
      <c r="I600" s="11">
        <v>2465</v>
      </c>
      <c r="J600" s="11" cm="1">
        <f t="array" ref="J600">_xlfn.XLOOKUP(C600&amp;D600&amp;F600,Expense!$C$2:$C$601&amp;Expense!$D$2:$D$601&amp;Expense!$E$2:$E$601,Expense!$G$2:$G$601,"")</f>
        <v>800</v>
      </c>
      <c r="K600" s="11" cm="1">
        <f t="array" ref="K600">_xlfn.XLOOKUP(C600&amp;D600&amp;F600,Expense!$C$2:$C$601&amp;Expense!$D$2:$D$601&amp;Expense!$E$2:$E$601,Expense!$H$2:$H$601,"")</f>
        <v>300</v>
      </c>
      <c r="L600" s="14">
        <f t="shared" si="92"/>
        <v>-1535</v>
      </c>
      <c r="M600" s="14">
        <f>Master_Table[[#This Row],[Expense Budget]]-Master_Table[[#This Row],[Actual Expense]]</f>
        <v>500</v>
      </c>
      <c r="N600" s="16">
        <f t="shared" si="93"/>
        <v>2165</v>
      </c>
      <c r="O600" s="29">
        <f t="shared" si="90"/>
        <v>3200</v>
      </c>
      <c r="P600" s="16">
        <f t="shared" si="91"/>
        <v>-1035</v>
      </c>
      <c r="Q600" s="28">
        <f>Master_Table[[#This Row],[△Sales Variance]]/Master_Table[[#This Row],[Sales Budget]]</f>
        <v>-0.38374999999999998</v>
      </c>
      <c r="R600" s="28">
        <f>Master_Table[[#This Row],[△Expense  Variance]]/Master_Table[[#This Row],[Expense Budget]]</f>
        <v>0.625</v>
      </c>
      <c r="S600" s="28">
        <f>Master_Table[[#This Row],[Net Profit Variance]]/Master_Table[[#This Row],[Budget Net Profit]]</f>
        <v>-0.32343749999999999</v>
      </c>
      <c r="T600" s="28">
        <f>Master_Table[[#This Row],[Actual Net Profit]]/Master_Table[[#This Row],[Actual Sales]]</f>
        <v>0.87829614604462469</v>
      </c>
      <c r="U600" s="28" t="str">
        <f>_xlfn.TEXTJOIN(" - ", TRUE, Master_Table[[#This Row],[Product]], Master_Table[[#This Row],[Branch]])</f>
        <v>Pawpaw - Ibadan</v>
      </c>
    </row>
    <row r="601" spans="1:21" ht="14.4" x14ac:dyDescent="0.3">
      <c r="A601" s="2">
        <v>600</v>
      </c>
      <c r="B601" s="2">
        <f t="shared" si="87"/>
        <v>109</v>
      </c>
      <c r="C601" s="1" t="str">
        <f>VLOOKUP(B601,Products!A:C,2,FALSE)</f>
        <v>Pawpaw</v>
      </c>
      <c r="D601" s="1" t="str">
        <f t="shared" si="88"/>
        <v>Ibadan</v>
      </c>
      <c r="E601" s="4" t="str">
        <f>_xlfn.XLOOKUP(D601,'Sales Manager'!$A$2:$A$6,'Sales Manager'!$B$2:$B$6,"")</f>
        <v>Funmi Adeyemi</v>
      </c>
      <c r="F601" s="3">
        <f t="shared" si="94"/>
        <v>12</v>
      </c>
      <c r="G601" s="1" t="str">
        <f t="shared" si="94"/>
        <v>Dec</v>
      </c>
      <c r="H601" s="11">
        <v>6000</v>
      </c>
      <c r="I601" s="11">
        <v>4561</v>
      </c>
      <c r="J601" s="11" cm="1">
        <f t="array" ref="J601">_xlfn.XLOOKUP(C601&amp;D601&amp;F601,Expense!$C$2:$C$601&amp;Expense!$D$2:$D$601&amp;Expense!$E$2:$E$601,Expense!$G$2:$G$601,"")</f>
        <v>2000</v>
      </c>
      <c r="K601" s="11" cm="1">
        <f t="array" ref="K601">_xlfn.XLOOKUP(C601&amp;D601&amp;F601,Expense!$C$2:$C$601&amp;Expense!$D$2:$D$601&amp;Expense!$E$2:$E$601,Expense!$H$2:$H$601,"")</f>
        <v>1800</v>
      </c>
      <c r="L601" s="14">
        <f t="shared" si="92"/>
        <v>-1439</v>
      </c>
      <c r="M601" s="14">
        <f>Master_Table[[#This Row],[Expense Budget]]-Master_Table[[#This Row],[Actual Expense]]</f>
        <v>200</v>
      </c>
      <c r="N601" s="16">
        <f t="shared" si="93"/>
        <v>2761</v>
      </c>
      <c r="O601" s="29">
        <f t="shared" si="90"/>
        <v>4000</v>
      </c>
      <c r="P601" s="16">
        <f t="shared" si="91"/>
        <v>-1239</v>
      </c>
      <c r="Q601" s="28">
        <f>Master_Table[[#This Row],[△Sales Variance]]/Master_Table[[#This Row],[Sales Budget]]</f>
        <v>-0.23983333333333334</v>
      </c>
      <c r="R601" s="28">
        <f>Master_Table[[#This Row],[△Expense  Variance]]/Master_Table[[#This Row],[Expense Budget]]</f>
        <v>0.1</v>
      </c>
      <c r="S601" s="28">
        <f>Master_Table[[#This Row],[Net Profit Variance]]/Master_Table[[#This Row],[Budget Net Profit]]</f>
        <v>-0.30975000000000003</v>
      </c>
      <c r="T601" s="28">
        <f>Master_Table[[#This Row],[Actual Net Profit]]/Master_Table[[#This Row],[Actual Sales]]</f>
        <v>0.60534970401227806</v>
      </c>
      <c r="U601" s="28" t="str">
        <f>_xlfn.TEXTJOIN(" - ", TRUE, Master_Table[[#This Row],[Product]], Master_Table[[#This Row],[Branch]])</f>
        <v>Pawpaw - Ibadan</v>
      </c>
    </row>
  </sheetData>
  <phoneticPr fontId="3"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03B06-179B-4D5C-89C7-47DC4BDB6FEF}">
  <dimension ref="A1:K601"/>
  <sheetViews>
    <sheetView workbookViewId="0">
      <pane ySplit="1" topLeftCell="A2" activePane="bottomLeft" state="frozen"/>
      <selection pane="bottomLeft" activeCell="C12" sqref="C12"/>
    </sheetView>
  </sheetViews>
  <sheetFormatPr defaultColWidth="9" defaultRowHeight="12" x14ac:dyDescent="0.3"/>
  <cols>
    <col min="1" max="1" width="6.109375" style="2" customWidth="1"/>
    <col min="2" max="2" width="11" style="2" customWidth="1"/>
    <col min="3" max="3" width="12.6640625" style="1" customWidth="1"/>
    <col min="4" max="4" width="7.33203125" style="1" customWidth="1"/>
    <col min="5" max="5" width="12.5546875" style="3" customWidth="1"/>
    <col min="6" max="6" width="7.44140625" style="1" customWidth="1"/>
    <col min="7" max="7" width="16.6640625" style="11" customWidth="1"/>
    <col min="8" max="8" width="17.33203125" style="11" customWidth="1"/>
    <col min="9" max="9" width="16.44140625" style="4" customWidth="1"/>
    <col min="10" max="11" width="9" style="12"/>
    <col min="12" max="16384" width="9" style="1"/>
  </cols>
  <sheetData>
    <row r="1" spans="1:11" ht="18.45" customHeight="1" x14ac:dyDescent="0.3">
      <c r="A1" s="7" t="s">
        <v>0</v>
      </c>
      <c r="B1" s="7" t="s">
        <v>1</v>
      </c>
      <c r="C1" s="8" t="s">
        <v>2</v>
      </c>
      <c r="D1" s="8" t="s">
        <v>3</v>
      </c>
      <c r="E1" s="9" t="s">
        <v>4</v>
      </c>
      <c r="F1" s="8" t="s">
        <v>5</v>
      </c>
      <c r="G1" s="10" t="s">
        <v>25</v>
      </c>
      <c r="H1" s="10" t="s">
        <v>26</v>
      </c>
      <c r="I1" s="10" t="s">
        <v>42</v>
      </c>
    </row>
    <row r="2" spans="1:11" x14ac:dyDescent="0.3">
      <c r="A2" s="2">
        <v>1</v>
      </c>
      <c r="B2" s="2">
        <v>100</v>
      </c>
      <c r="C2" s="1" t="str">
        <f>VLOOKUP(B2,Products!A:C,2,FALSE)</f>
        <v>Mango</v>
      </c>
      <c r="D2" s="1" t="s">
        <v>8</v>
      </c>
      <c r="E2" s="3">
        <v>1</v>
      </c>
      <c r="F2" s="1" t="s">
        <v>9</v>
      </c>
      <c r="G2" s="11">
        <v>500</v>
      </c>
      <c r="H2" s="11">
        <v>500</v>
      </c>
      <c r="I2" s="4" t="str">
        <f>_xlfn.XLOOKUP(D2,'Sales Manager'!$A$2:$A$6,'Sales Manager'!$B$2:$B$6,"")</f>
        <v>Adaora Okafor</v>
      </c>
      <c r="J2" s="12">
        <v>9</v>
      </c>
      <c r="K2" s="12">
        <v>9</v>
      </c>
    </row>
    <row r="3" spans="1:11" x14ac:dyDescent="0.3">
      <c r="A3" s="2">
        <v>2</v>
      </c>
      <c r="B3" s="2">
        <v>100</v>
      </c>
      <c r="C3" s="1" t="str">
        <f>VLOOKUP(B3,Products!A:C,2,FALSE)</f>
        <v>Mango</v>
      </c>
      <c r="D3" s="1" t="s">
        <v>8</v>
      </c>
      <c r="E3" s="3">
        <v>2</v>
      </c>
      <c r="F3" s="1" t="s">
        <v>10</v>
      </c>
      <c r="G3" s="11">
        <v>600</v>
      </c>
      <c r="H3" s="11">
        <v>500</v>
      </c>
      <c r="I3" s="4" t="str">
        <f>_xlfn.XLOOKUP(D3,'Sales Manager'!$A$2:$A$6,'Sales Manager'!$B$2:$B$6,"")</f>
        <v>Adaora Okafor</v>
      </c>
      <c r="J3" s="12">
        <v>10</v>
      </c>
      <c r="K3" s="12">
        <v>9</v>
      </c>
    </row>
    <row r="4" spans="1:11" x14ac:dyDescent="0.3">
      <c r="A4" s="2">
        <v>3</v>
      </c>
      <c r="B4" s="2">
        <v>100</v>
      </c>
      <c r="C4" s="1" t="str">
        <f>VLOOKUP(B4,Products!A:C,2,FALSE)</f>
        <v>Mango</v>
      </c>
      <c r="D4" s="1" t="s">
        <v>8</v>
      </c>
      <c r="E4" s="3">
        <v>3</v>
      </c>
      <c r="F4" s="1" t="s">
        <v>11</v>
      </c>
      <c r="G4" s="11">
        <v>2500</v>
      </c>
      <c r="H4" s="11">
        <v>2200</v>
      </c>
      <c r="I4" s="4" t="str">
        <f>_xlfn.XLOOKUP(D4,'Sales Manager'!$A$2:$A$6,'Sales Manager'!$B$2:$B$6,"")</f>
        <v>Adaora Okafor</v>
      </c>
      <c r="J4" s="12">
        <v>5</v>
      </c>
      <c r="K4" s="12">
        <v>5</v>
      </c>
    </row>
    <row r="5" spans="1:11" x14ac:dyDescent="0.3">
      <c r="A5" s="2">
        <v>4</v>
      </c>
      <c r="B5" s="2">
        <v>100</v>
      </c>
      <c r="C5" s="1" t="str">
        <f>VLOOKUP(B5,Products!A:C,2,FALSE)</f>
        <v>Mango</v>
      </c>
      <c r="D5" s="1" t="s">
        <v>8</v>
      </c>
      <c r="E5" s="3">
        <v>4</v>
      </c>
      <c r="F5" s="1" t="s">
        <v>12</v>
      </c>
      <c r="G5" s="11">
        <v>1750</v>
      </c>
      <c r="H5" s="11">
        <v>1350</v>
      </c>
      <c r="I5" s="4" t="str">
        <f>_xlfn.XLOOKUP(D5,'Sales Manager'!$A$2:$A$6,'Sales Manager'!$B$2:$B$6,"")</f>
        <v>Adaora Okafor</v>
      </c>
      <c r="J5" s="12">
        <v>9</v>
      </c>
      <c r="K5" s="12">
        <v>7</v>
      </c>
    </row>
    <row r="6" spans="1:11" x14ac:dyDescent="0.3">
      <c r="A6" s="2">
        <v>5</v>
      </c>
      <c r="B6" s="2">
        <v>100</v>
      </c>
      <c r="C6" s="1" t="str">
        <f>VLOOKUP(B6,Products!A:C,2,FALSE)</f>
        <v>Mango</v>
      </c>
      <c r="D6" s="1" t="s">
        <v>8</v>
      </c>
      <c r="E6" s="3">
        <v>5</v>
      </c>
      <c r="F6" s="1" t="s">
        <v>13</v>
      </c>
      <c r="G6" s="11">
        <v>1000</v>
      </c>
      <c r="H6" s="11">
        <v>600</v>
      </c>
      <c r="I6" s="4" t="str">
        <f>_xlfn.XLOOKUP(D6,'Sales Manager'!$A$2:$A$6,'Sales Manager'!$B$2:$B$6,"")</f>
        <v>Adaora Okafor</v>
      </c>
      <c r="J6" s="12">
        <v>9</v>
      </c>
      <c r="K6" s="12">
        <v>10</v>
      </c>
    </row>
    <row r="7" spans="1:11" x14ac:dyDescent="0.3">
      <c r="A7" s="2">
        <v>6</v>
      </c>
      <c r="B7" s="2">
        <v>100</v>
      </c>
      <c r="C7" s="1" t="str">
        <f>VLOOKUP(B7,Products!A:C,2,FALSE)</f>
        <v>Mango</v>
      </c>
      <c r="D7" s="1" t="s">
        <v>8</v>
      </c>
      <c r="E7" s="3">
        <v>6</v>
      </c>
      <c r="F7" s="1" t="s">
        <v>14</v>
      </c>
      <c r="G7" s="11">
        <v>1400</v>
      </c>
      <c r="H7" s="11">
        <v>1300</v>
      </c>
      <c r="I7" s="4" t="str">
        <f>_xlfn.XLOOKUP(D7,'Sales Manager'!$A$2:$A$6,'Sales Manager'!$B$2:$B$6,"")</f>
        <v>Adaora Okafor</v>
      </c>
      <c r="J7" s="12">
        <v>9</v>
      </c>
      <c r="K7" s="12">
        <v>10</v>
      </c>
    </row>
    <row r="8" spans="1:11" x14ac:dyDescent="0.3">
      <c r="A8" s="2">
        <v>7</v>
      </c>
      <c r="B8" s="2">
        <v>100</v>
      </c>
      <c r="C8" s="1" t="str">
        <f>VLOOKUP(B8,Products!A:C,2,FALSE)</f>
        <v>Mango</v>
      </c>
      <c r="D8" s="1" t="s">
        <v>8</v>
      </c>
      <c r="E8" s="3">
        <v>7</v>
      </c>
      <c r="F8" s="1" t="s">
        <v>15</v>
      </c>
      <c r="G8" s="11">
        <v>2500</v>
      </c>
      <c r="H8" s="11">
        <v>2400</v>
      </c>
      <c r="I8" s="4" t="str">
        <f>_xlfn.XLOOKUP(D8,'Sales Manager'!$A$2:$A$6,'Sales Manager'!$B$2:$B$6,"")</f>
        <v>Adaora Okafor</v>
      </c>
      <c r="J8" s="12">
        <v>10</v>
      </c>
      <c r="K8" s="12">
        <v>5</v>
      </c>
    </row>
    <row r="9" spans="1:11" x14ac:dyDescent="0.3">
      <c r="A9" s="2">
        <v>8</v>
      </c>
      <c r="B9" s="2">
        <v>100</v>
      </c>
      <c r="C9" s="1" t="str">
        <f>VLOOKUP(B9,Products!A:C,2,FALSE)</f>
        <v>Mango</v>
      </c>
      <c r="D9" s="1" t="s">
        <v>8</v>
      </c>
      <c r="E9" s="3">
        <v>8</v>
      </c>
      <c r="F9" s="1" t="s">
        <v>16</v>
      </c>
      <c r="G9" s="11">
        <v>333.33333333333331</v>
      </c>
      <c r="H9" s="11">
        <v>266.66666666666669</v>
      </c>
      <c r="I9" s="4" t="str">
        <f>_xlfn.XLOOKUP(D9,'Sales Manager'!$A$2:$A$6,'Sales Manager'!$B$2:$B$6,"")</f>
        <v>Adaora Okafor</v>
      </c>
      <c r="J9" s="12">
        <v>8</v>
      </c>
      <c r="K9" s="12">
        <v>5</v>
      </c>
    </row>
    <row r="10" spans="1:11" x14ac:dyDescent="0.3">
      <c r="A10" s="2">
        <v>9</v>
      </c>
      <c r="B10" s="2">
        <v>100</v>
      </c>
      <c r="C10" s="1" t="str">
        <f>VLOOKUP(B10,Products!A:C,2,FALSE)</f>
        <v>Mango</v>
      </c>
      <c r="D10" s="1" t="s">
        <v>8</v>
      </c>
      <c r="E10" s="3">
        <v>9</v>
      </c>
      <c r="F10" s="1" t="s">
        <v>17</v>
      </c>
      <c r="G10" s="11">
        <v>1600</v>
      </c>
      <c r="H10" s="11">
        <v>1400</v>
      </c>
      <c r="I10" s="4" t="str">
        <f>_xlfn.XLOOKUP(D10,'Sales Manager'!$A$2:$A$6,'Sales Manager'!$B$2:$B$6,"")</f>
        <v>Adaora Okafor</v>
      </c>
      <c r="J10" s="12">
        <v>5</v>
      </c>
      <c r="K10" s="12">
        <v>5</v>
      </c>
    </row>
    <row r="11" spans="1:11" x14ac:dyDescent="0.3">
      <c r="A11" s="2">
        <v>10</v>
      </c>
      <c r="B11" s="2">
        <v>100</v>
      </c>
      <c r="C11" s="1" t="str">
        <f>VLOOKUP(B11,Products!A:C,2,FALSE)</f>
        <v>Mango</v>
      </c>
      <c r="D11" s="1" t="s">
        <v>8</v>
      </c>
      <c r="E11" s="3">
        <v>10</v>
      </c>
      <c r="F11" s="1" t="s">
        <v>18</v>
      </c>
      <c r="G11" s="11">
        <v>1400</v>
      </c>
      <c r="H11" s="11">
        <v>1000</v>
      </c>
      <c r="I11" s="4" t="str">
        <f>_xlfn.XLOOKUP(D11,'Sales Manager'!$A$2:$A$6,'Sales Manager'!$B$2:$B$6,"")</f>
        <v>Adaora Okafor</v>
      </c>
      <c r="J11" s="12">
        <v>8</v>
      </c>
      <c r="K11" s="12">
        <v>6</v>
      </c>
    </row>
    <row r="12" spans="1:11" x14ac:dyDescent="0.3">
      <c r="A12" s="2">
        <v>11</v>
      </c>
      <c r="B12" s="2">
        <v>100</v>
      </c>
      <c r="C12" s="1" t="str">
        <f>VLOOKUP(B12,Products!A:C,2,FALSE)</f>
        <v>Mango</v>
      </c>
      <c r="D12" s="1" t="s">
        <v>8</v>
      </c>
      <c r="E12" s="3">
        <v>11</v>
      </c>
      <c r="F12" s="1" t="s">
        <v>19</v>
      </c>
      <c r="G12" s="11">
        <v>666.66666666666663</v>
      </c>
      <c r="H12" s="11">
        <v>333.33333333333337</v>
      </c>
      <c r="I12" s="4" t="str">
        <f>_xlfn.XLOOKUP(D12,'Sales Manager'!$A$2:$A$6,'Sales Manager'!$B$2:$B$6,"")</f>
        <v>Adaora Okafor</v>
      </c>
      <c r="J12" s="12">
        <v>9</v>
      </c>
      <c r="K12" s="12">
        <v>9</v>
      </c>
    </row>
    <row r="13" spans="1:11" x14ac:dyDescent="0.3">
      <c r="A13" s="2">
        <v>12</v>
      </c>
      <c r="B13" s="2">
        <v>100</v>
      </c>
      <c r="C13" s="1" t="str">
        <f>VLOOKUP(B13,Products!A:C,2,FALSE)</f>
        <v>Mango</v>
      </c>
      <c r="D13" s="1" t="s">
        <v>8</v>
      </c>
      <c r="E13" s="3">
        <v>12</v>
      </c>
      <c r="F13" s="1" t="s">
        <v>20</v>
      </c>
      <c r="G13" s="11">
        <v>400</v>
      </c>
      <c r="H13" s="11">
        <v>400</v>
      </c>
      <c r="I13" s="4" t="str">
        <f>_xlfn.XLOOKUP(D13,'Sales Manager'!$A$2:$A$6,'Sales Manager'!$B$2:$B$6,"")</f>
        <v>Adaora Okafor</v>
      </c>
      <c r="J13" s="12">
        <v>9</v>
      </c>
      <c r="K13" s="12">
        <v>7</v>
      </c>
    </row>
    <row r="14" spans="1:11" x14ac:dyDescent="0.3">
      <c r="A14" s="2">
        <v>13</v>
      </c>
      <c r="B14" s="2">
        <v>100</v>
      </c>
      <c r="C14" s="1" t="str">
        <f>VLOOKUP(B14,Products!A:C,2,FALSE)</f>
        <v>Mango</v>
      </c>
      <c r="D14" s="1" t="s">
        <v>21</v>
      </c>
      <c r="E14" s="3">
        <f>E2</f>
        <v>1</v>
      </c>
      <c r="F14" s="1" t="str">
        <f>F2</f>
        <v>Jan</v>
      </c>
      <c r="G14" s="11">
        <v>2500</v>
      </c>
      <c r="H14" s="11">
        <v>2400</v>
      </c>
      <c r="I14" s="4" t="str">
        <f>_xlfn.XLOOKUP(D14,'Sales Manager'!$A$2:$A$6,'Sales Manager'!$B$2:$B$6,"")</f>
        <v>Emeka Nwosu</v>
      </c>
      <c r="J14" s="12">
        <v>9</v>
      </c>
      <c r="K14" s="12">
        <v>5</v>
      </c>
    </row>
    <row r="15" spans="1:11" x14ac:dyDescent="0.3">
      <c r="A15" s="2">
        <v>14</v>
      </c>
      <c r="B15" s="2">
        <v>100</v>
      </c>
      <c r="C15" s="1" t="str">
        <f>VLOOKUP(B15,Products!A:C,2,FALSE)</f>
        <v>Mango</v>
      </c>
      <c r="D15" s="1" t="s">
        <v>21</v>
      </c>
      <c r="E15" s="3">
        <f t="shared" ref="E15:F30" si="0">E3</f>
        <v>2</v>
      </c>
      <c r="F15" s="1" t="str">
        <f t="shared" si="0"/>
        <v>Feb</v>
      </c>
      <c r="G15" s="11">
        <v>400</v>
      </c>
      <c r="H15" s="11">
        <v>500</v>
      </c>
      <c r="I15" s="4" t="str">
        <f>_xlfn.XLOOKUP(D15,'Sales Manager'!$A$2:$A$6,'Sales Manager'!$B$2:$B$6,"")</f>
        <v>Emeka Nwosu</v>
      </c>
      <c r="J15" s="12">
        <v>9</v>
      </c>
      <c r="K15" s="12">
        <v>8</v>
      </c>
    </row>
    <row r="16" spans="1:11" x14ac:dyDescent="0.3">
      <c r="A16" s="2">
        <v>15</v>
      </c>
      <c r="B16" s="2">
        <v>100</v>
      </c>
      <c r="C16" s="1" t="str">
        <f>VLOOKUP(B16,Products!A:C,2,FALSE)</f>
        <v>Mango</v>
      </c>
      <c r="D16" s="1" t="s">
        <v>21</v>
      </c>
      <c r="E16" s="3">
        <f t="shared" si="0"/>
        <v>3</v>
      </c>
      <c r="F16" s="1" t="str">
        <f t="shared" si="0"/>
        <v>Mar</v>
      </c>
      <c r="G16" s="11">
        <v>250</v>
      </c>
      <c r="H16" s="11">
        <v>250</v>
      </c>
      <c r="I16" s="4" t="str">
        <f>_xlfn.XLOOKUP(D16,'Sales Manager'!$A$2:$A$6,'Sales Manager'!$B$2:$B$6,"")</f>
        <v>Emeka Nwosu</v>
      </c>
      <c r="J16" s="12">
        <v>7</v>
      </c>
      <c r="K16" s="12">
        <v>9</v>
      </c>
    </row>
    <row r="17" spans="1:11" x14ac:dyDescent="0.3">
      <c r="A17" s="2">
        <v>16</v>
      </c>
      <c r="B17" s="2">
        <v>100</v>
      </c>
      <c r="C17" s="1" t="str">
        <f>VLOOKUP(B17,Products!A:C,2,FALSE)</f>
        <v>Mango</v>
      </c>
      <c r="D17" s="1" t="s">
        <v>21</v>
      </c>
      <c r="E17" s="3">
        <f t="shared" si="0"/>
        <v>4</v>
      </c>
      <c r="F17" s="1" t="str">
        <f t="shared" si="0"/>
        <v>Apr</v>
      </c>
      <c r="G17" s="11">
        <v>600</v>
      </c>
      <c r="H17" s="11">
        <v>600</v>
      </c>
      <c r="I17" s="4" t="str">
        <f>_xlfn.XLOOKUP(D17,'Sales Manager'!$A$2:$A$6,'Sales Manager'!$B$2:$B$6,"")</f>
        <v>Emeka Nwosu</v>
      </c>
      <c r="J17" s="12">
        <v>5</v>
      </c>
      <c r="K17" s="12">
        <v>6</v>
      </c>
    </row>
    <row r="18" spans="1:11" x14ac:dyDescent="0.3">
      <c r="A18" s="2">
        <v>17</v>
      </c>
      <c r="B18" s="2">
        <v>100</v>
      </c>
      <c r="C18" s="1" t="str">
        <f>VLOOKUP(B18,Products!A:C,2,FALSE)</f>
        <v>Mango</v>
      </c>
      <c r="D18" s="1" t="s">
        <v>21</v>
      </c>
      <c r="E18" s="3">
        <f t="shared" si="0"/>
        <v>5</v>
      </c>
      <c r="F18" s="1" t="str">
        <f t="shared" si="0"/>
        <v>May</v>
      </c>
      <c r="G18" s="11">
        <v>2000</v>
      </c>
      <c r="H18" s="11">
        <v>1800</v>
      </c>
      <c r="I18" s="4" t="str">
        <f>_xlfn.XLOOKUP(D18,'Sales Manager'!$A$2:$A$6,'Sales Manager'!$B$2:$B$6,"")</f>
        <v>Emeka Nwosu</v>
      </c>
      <c r="J18" s="12">
        <v>10</v>
      </c>
      <c r="K18" s="12">
        <v>7</v>
      </c>
    </row>
    <row r="19" spans="1:11" x14ac:dyDescent="0.3">
      <c r="A19" s="2">
        <v>18</v>
      </c>
      <c r="B19" s="2">
        <v>100</v>
      </c>
      <c r="C19" s="1" t="str">
        <f>VLOOKUP(B19,Products!A:C,2,FALSE)</f>
        <v>Mango</v>
      </c>
      <c r="D19" s="1" t="s">
        <v>21</v>
      </c>
      <c r="E19" s="3">
        <f t="shared" si="0"/>
        <v>6</v>
      </c>
      <c r="F19" s="1" t="str">
        <f t="shared" si="0"/>
        <v>Jun</v>
      </c>
      <c r="G19" s="11">
        <v>3500</v>
      </c>
      <c r="H19" s="11">
        <v>3100</v>
      </c>
      <c r="I19" s="4" t="str">
        <f>_xlfn.XLOOKUP(D19,'Sales Manager'!$A$2:$A$6,'Sales Manager'!$B$2:$B$6,"")</f>
        <v>Emeka Nwosu</v>
      </c>
      <c r="J19" s="12">
        <v>6</v>
      </c>
      <c r="K19" s="12">
        <v>10</v>
      </c>
    </row>
    <row r="20" spans="1:11" x14ac:dyDescent="0.3">
      <c r="A20" s="2">
        <v>19</v>
      </c>
      <c r="B20" s="2">
        <v>100</v>
      </c>
      <c r="C20" s="1" t="str">
        <f>VLOOKUP(B20,Products!A:C,2,FALSE)</f>
        <v>Mango</v>
      </c>
      <c r="D20" s="1" t="s">
        <v>21</v>
      </c>
      <c r="E20" s="3">
        <f t="shared" si="0"/>
        <v>7</v>
      </c>
      <c r="F20" s="1" t="str">
        <f t="shared" si="0"/>
        <v>Jul</v>
      </c>
      <c r="G20" s="11">
        <v>666.66666666666663</v>
      </c>
      <c r="H20" s="11">
        <v>333.33333333333337</v>
      </c>
      <c r="I20" s="4" t="str">
        <f>_xlfn.XLOOKUP(D20,'Sales Manager'!$A$2:$A$6,'Sales Manager'!$B$2:$B$6,"")</f>
        <v>Emeka Nwosu</v>
      </c>
      <c r="J20" s="12">
        <v>8</v>
      </c>
      <c r="K20" s="12">
        <v>10</v>
      </c>
    </row>
    <row r="21" spans="1:11" x14ac:dyDescent="0.3">
      <c r="A21" s="2">
        <v>20</v>
      </c>
      <c r="B21" s="2">
        <v>100</v>
      </c>
      <c r="C21" s="1" t="str">
        <f>VLOOKUP(B21,Products!A:C,2,FALSE)</f>
        <v>Mango</v>
      </c>
      <c r="D21" s="1" t="s">
        <v>21</v>
      </c>
      <c r="E21" s="3">
        <f t="shared" si="0"/>
        <v>8</v>
      </c>
      <c r="F21" s="1" t="str">
        <f t="shared" si="0"/>
        <v>Aug</v>
      </c>
      <c r="G21" s="11">
        <v>2500</v>
      </c>
      <c r="H21" s="11">
        <v>1900</v>
      </c>
      <c r="I21" s="4" t="str">
        <f>_xlfn.XLOOKUP(D21,'Sales Manager'!$A$2:$A$6,'Sales Manager'!$B$2:$B$6,"")</f>
        <v>Emeka Nwosu</v>
      </c>
      <c r="J21" s="12">
        <v>6</v>
      </c>
      <c r="K21" s="12">
        <v>9</v>
      </c>
    </row>
    <row r="22" spans="1:11" x14ac:dyDescent="0.3">
      <c r="A22" s="2">
        <v>21</v>
      </c>
      <c r="B22" s="2">
        <v>100</v>
      </c>
      <c r="C22" s="1" t="str">
        <f>VLOOKUP(B22,Products!A:C,2,FALSE)</f>
        <v>Mango</v>
      </c>
      <c r="D22" s="1" t="s">
        <v>21</v>
      </c>
      <c r="E22" s="3">
        <f t="shared" si="0"/>
        <v>9</v>
      </c>
      <c r="F22" s="1" t="str">
        <f t="shared" si="0"/>
        <v>Sept</v>
      </c>
      <c r="G22" s="11">
        <v>600</v>
      </c>
      <c r="H22" s="11">
        <v>200</v>
      </c>
      <c r="I22" s="4" t="str">
        <f>_xlfn.XLOOKUP(D22,'Sales Manager'!$A$2:$A$6,'Sales Manager'!$B$2:$B$6,"")</f>
        <v>Emeka Nwosu</v>
      </c>
      <c r="J22" s="12">
        <v>8</v>
      </c>
      <c r="K22" s="12">
        <v>7</v>
      </c>
    </row>
    <row r="23" spans="1:11" x14ac:dyDescent="0.3">
      <c r="A23" s="2">
        <v>22</v>
      </c>
      <c r="B23" s="2">
        <v>100</v>
      </c>
      <c r="C23" s="1" t="str">
        <f>VLOOKUP(B23,Products!A:C,2,FALSE)</f>
        <v>Mango</v>
      </c>
      <c r="D23" s="1" t="s">
        <v>21</v>
      </c>
      <c r="E23" s="3">
        <f t="shared" si="0"/>
        <v>10</v>
      </c>
      <c r="F23" s="1" t="str">
        <f t="shared" si="0"/>
        <v>Oct</v>
      </c>
      <c r="G23" s="11">
        <v>3333.3333333333335</v>
      </c>
      <c r="H23" s="11">
        <v>2933.3333333333335</v>
      </c>
      <c r="I23" s="4" t="str">
        <f>_xlfn.XLOOKUP(D23,'Sales Manager'!$A$2:$A$6,'Sales Manager'!$B$2:$B$6,"")</f>
        <v>Emeka Nwosu</v>
      </c>
      <c r="J23" s="12">
        <v>8</v>
      </c>
      <c r="K23" s="12">
        <v>5</v>
      </c>
    </row>
    <row r="24" spans="1:11" x14ac:dyDescent="0.3">
      <c r="A24" s="2">
        <v>23</v>
      </c>
      <c r="B24" s="2">
        <v>100</v>
      </c>
      <c r="C24" s="1" t="str">
        <f>VLOOKUP(B24,Products!A:C,2,FALSE)</f>
        <v>Mango</v>
      </c>
      <c r="D24" s="1" t="s">
        <v>21</v>
      </c>
      <c r="E24" s="3">
        <f t="shared" si="0"/>
        <v>11</v>
      </c>
      <c r="F24" s="1" t="str">
        <f t="shared" si="0"/>
        <v>Nov</v>
      </c>
      <c r="G24" s="11">
        <v>1000</v>
      </c>
      <c r="H24" s="11">
        <v>500</v>
      </c>
      <c r="I24" s="4" t="str">
        <f>_xlfn.XLOOKUP(D24,'Sales Manager'!$A$2:$A$6,'Sales Manager'!$B$2:$B$6,"")</f>
        <v>Emeka Nwosu</v>
      </c>
      <c r="J24" s="12">
        <v>6</v>
      </c>
      <c r="K24" s="12">
        <v>8</v>
      </c>
    </row>
    <row r="25" spans="1:11" x14ac:dyDescent="0.3">
      <c r="A25" s="2">
        <v>24</v>
      </c>
      <c r="B25" s="2">
        <v>100</v>
      </c>
      <c r="C25" s="1" t="str">
        <f>VLOOKUP(B25,Products!A:C,2,FALSE)</f>
        <v>Mango</v>
      </c>
      <c r="D25" s="1" t="s">
        <v>21</v>
      </c>
      <c r="E25" s="3">
        <f t="shared" si="0"/>
        <v>12</v>
      </c>
      <c r="F25" s="1" t="str">
        <f t="shared" si="0"/>
        <v>Dec</v>
      </c>
      <c r="G25" s="11">
        <v>1500</v>
      </c>
      <c r="H25" s="11">
        <v>900</v>
      </c>
      <c r="I25" s="4" t="str">
        <f>_xlfn.XLOOKUP(D25,'Sales Manager'!$A$2:$A$6,'Sales Manager'!$B$2:$B$6,"")</f>
        <v>Emeka Nwosu</v>
      </c>
      <c r="J25" s="12">
        <v>8</v>
      </c>
      <c r="K25" s="12">
        <v>8</v>
      </c>
    </row>
    <row r="26" spans="1:11" x14ac:dyDescent="0.3">
      <c r="A26" s="2">
        <v>25</v>
      </c>
      <c r="B26" s="2">
        <v>100</v>
      </c>
      <c r="C26" s="1" t="str">
        <f>VLOOKUP(B26,Products!A:C,2,FALSE)</f>
        <v>Mango</v>
      </c>
      <c r="D26" s="1" t="s">
        <v>22</v>
      </c>
      <c r="E26" s="3">
        <f t="shared" si="0"/>
        <v>1</v>
      </c>
      <c r="F26" s="1" t="str">
        <f t="shared" si="0"/>
        <v>Jan</v>
      </c>
      <c r="G26" s="11">
        <v>500</v>
      </c>
      <c r="H26" s="11">
        <v>200</v>
      </c>
      <c r="I26" s="4" t="str">
        <f>_xlfn.XLOOKUP(D26,'Sales Manager'!$A$2:$A$6,'Sales Manager'!$B$2:$B$6,"")</f>
        <v>Gbenga Adesanya</v>
      </c>
      <c r="J26" s="12">
        <v>8</v>
      </c>
      <c r="K26" s="12">
        <v>6</v>
      </c>
    </row>
    <row r="27" spans="1:11" x14ac:dyDescent="0.3">
      <c r="A27" s="2">
        <v>26</v>
      </c>
      <c r="B27" s="2">
        <v>100</v>
      </c>
      <c r="C27" s="1" t="str">
        <f>VLOOKUP(B27,Products!A:C,2,FALSE)</f>
        <v>Mango</v>
      </c>
      <c r="D27" s="1" t="s">
        <v>22</v>
      </c>
      <c r="E27" s="3">
        <f t="shared" si="0"/>
        <v>2</v>
      </c>
      <c r="F27" s="1" t="str">
        <f t="shared" si="0"/>
        <v>Feb</v>
      </c>
      <c r="G27" s="11">
        <v>800</v>
      </c>
      <c r="H27" s="11">
        <v>200</v>
      </c>
      <c r="I27" s="4" t="str">
        <f>_xlfn.XLOOKUP(D27,'Sales Manager'!$A$2:$A$6,'Sales Manager'!$B$2:$B$6,"")</f>
        <v>Gbenga Adesanya</v>
      </c>
      <c r="J27" s="12">
        <v>8</v>
      </c>
      <c r="K27" s="12">
        <v>9</v>
      </c>
    </row>
    <row r="28" spans="1:11" x14ac:dyDescent="0.3">
      <c r="A28" s="2">
        <v>27</v>
      </c>
      <c r="B28" s="2">
        <v>100</v>
      </c>
      <c r="C28" s="1" t="str">
        <f>VLOOKUP(B28,Products!A:C,2,FALSE)</f>
        <v>Mango</v>
      </c>
      <c r="D28" s="1" t="s">
        <v>22</v>
      </c>
      <c r="E28" s="3">
        <f t="shared" si="0"/>
        <v>3</v>
      </c>
      <c r="F28" s="1" t="str">
        <f t="shared" si="0"/>
        <v>Mar</v>
      </c>
      <c r="G28" s="11">
        <v>250</v>
      </c>
      <c r="H28" s="11">
        <v>250</v>
      </c>
      <c r="I28" s="4" t="str">
        <f>_xlfn.XLOOKUP(D28,'Sales Manager'!$A$2:$A$6,'Sales Manager'!$B$2:$B$6,"")</f>
        <v>Gbenga Adesanya</v>
      </c>
      <c r="J28" s="12">
        <v>5</v>
      </c>
      <c r="K28" s="12">
        <v>6</v>
      </c>
    </row>
    <row r="29" spans="1:11" x14ac:dyDescent="0.3">
      <c r="A29" s="2">
        <v>28</v>
      </c>
      <c r="B29" s="2">
        <v>100</v>
      </c>
      <c r="C29" s="1" t="str">
        <f>VLOOKUP(B29,Products!A:C,2,FALSE)</f>
        <v>Mango</v>
      </c>
      <c r="D29" s="1" t="s">
        <v>22</v>
      </c>
      <c r="E29" s="3">
        <f t="shared" si="0"/>
        <v>4</v>
      </c>
      <c r="F29" s="1" t="str">
        <f t="shared" si="0"/>
        <v>Apr</v>
      </c>
      <c r="G29" s="11">
        <v>3500</v>
      </c>
      <c r="H29" s="11">
        <v>3200</v>
      </c>
      <c r="I29" s="4" t="str">
        <f>_xlfn.XLOOKUP(D29,'Sales Manager'!$A$2:$A$6,'Sales Manager'!$B$2:$B$6,"")</f>
        <v>Gbenga Adesanya</v>
      </c>
      <c r="J29" s="12">
        <v>8</v>
      </c>
      <c r="K29" s="12">
        <v>8</v>
      </c>
    </row>
    <row r="30" spans="1:11" x14ac:dyDescent="0.3">
      <c r="A30" s="2">
        <v>29</v>
      </c>
      <c r="B30" s="2">
        <v>100</v>
      </c>
      <c r="C30" s="1" t="str">
        <f>VLOOKUP(B30,Products!A:C,2,FALSE)</f>
        <v>Mango</v>
      </c>
      <c r="D30" s="1" t="s">
        <v>22</v>
      </c>
      <c r="E30" s="3">
        <f t="shared" si="0"/>
        <v>5</v>
      </c>
      <c r="F30" s="1" t="str">
        <f t="shared" si="0"/>
        <v>May</v>
      </c>
      <c r="G30" s="11">
        <v>1500</v>
      </c>
      <c r="H30" s="11">
        <v>1500</v>
      </c>
      <c r="I30" s="4" t="str">
        <f>_xlfn.XLOOKUP(D30,'Sales Manager'!$A$2:$A$6,'Sales Manager'!$B$2:$B$6,"")</f>
        <v>Gbenga Adesanya</v>
      </c>
      <c r="J30" s="12">
        <v>8</v>
      </c>
      <c r="K30" s="12">
        <v>5</v>
      </c>
    </row>
    <row r="31" spans="1:11" x14ac:dyDescent="0.3">
      <c r="A31" s="2">
        <v>30</v>
      </c>
      <c r="B31" s="2">
        <v>100</v>
      </c>
      <c r="C31" s="1" t="str">
        <f>VLOOKUP(B31,Products!A:C,2,FALSE)</f>
        <v>Mango</v>
      </c>
      <c r="D31" s="1" t="s">
        <v>22</v>
      </c>
      <c r="E31" s="3">
        <f t="shared" ref="E31:F46" si="1">E19</f>
        <v>6</v>
      </c>
      <c r="F31" s="1" t="str">
        <f t="shared" si="1"/>
        <v>Jun</v>
      </c>
      <c r="G31" s="11">
        <v>200</v>
      </c>
      <c r="H31" s="11">
        <v>400</v>
      </c>
      <c r="I31" s="4" t="str">
        <f>_xlfn.XLOOKUP(D31,'Sales Manager'!$A$2:$A$6,'Sales Manager'!$B$2:$B$6,"")</f>
        <v>Gbenga Adesanya</v>
      </c>
      <c r="J31" s="12">
        <v>7</v>
      </c>
      <c r="K31" s="12">
        <v>6</v>
      </c>
    </row>
    <row r="32" spans="1:11" x14ac:dyDescent="0.3">
      <c r="A32" s="2">
        <v>31</v>
      </c>
      <c r="B32" s="2">
        <v>100</v>
      </c>
      <c r="C32" s="1" t="str">
        <f>VLOOKUP(B32,Products!A:C,2,FALSE)</f>
        <v>Mango</v>
      </c>
      <c r="D32" s="1" t="s">
        <v>22</v>
      </c>
      <c r="E32" s="3">
        <f t="shared" si="1"/>
        <v>7</v>
      </c>
      <c r="F32" s="1" t="str">
        <f t="shared" si="1"/>
        <v>Jul</v>
      </c>
      <c r="G32" s="11">
        <v>3000</v>
      </c>
      <c r="H32" s="11">
        <v>2700</v>
      </c>
      <c r="I32" s="4" t="str">
        <f>_xlfn.XLOOKUP(D32,'Sales Manager'!$A$2:$A$6,'Sales Manager'!$B$2:$B$6,"")</f>
        <v>Gbenga Adesanya</v>
      </c>
      <c r="J32" s="12">
        <v>6</v>
      </c>
      <c r="K32" s="12">
        <v>7</v>
      </c>
    </row>
    <row r="33" spans="1:11" x14ac:dyDescent="0.3">
      <c r="A33" s="2">
        <v>32</v>
      </c>
      <c r="B33" s="2">
        <v>100</v>
      </c>
      <c r="C33" s="1" t="str">
        <f>VLOOKUP(B33,Products!A:C,2,FALSE)</f>
        <v>Mango</v>
      </c>
      <c r="D33" s="1" t="s">
        <v>22</v>
      </c>
      <c r="E33" s="3">
        <f t="shared" si="1"/>
        <v>8</v>
      </c>
      <c r="F33" s="1" t="str">
        <f t="shared" si="1"/>
        <v>Aug</v>
      </c>
      <c r="G33" s="11">
        <v>2333.3333333333335</v>
      </c>
      <c r="H33" s="11">
        <v>1833.3333333333335</v>
      </c>
      <c r="I33" s="4" t="str">
        <f>_xlfn.XLOOKUP(D33,'Sales Manager'!$A$2:$A$6,'Sales Manager'!$B$2:$B$6,"")</f>
        <v>Gbenga Adesanya</v>
      </c>
      <c r="J33" s="12">
        <v>8</v>
      </c>
      <c r="K33" s="12">
        <v>9</v>
      </c>
    </row>
    <row r="34" spans="1:11" x14ac:dyDescent="0.3">
      <c r="A34" s="2">
        <v>33</v>
      </c>
      <c r="B34" s="2">
        <v>100</v>
      </c>
      <c r="C34" s="1" t="str">
        <f>VLOOKUP(B34,Products!A:C,2,FALSE)</f>
        <v>Mango</v>
      </c>
      <c r="D34" s="1" t="s">
        <v>22</v>
      </c>
      <c r="E34" s="3">
        <f t="shared" si="1"/>
        <v>9</v>
      </c>
      <c r="F34" s="1" t="str">
        <f t="shared" si="1"/>
        <v>Sept</v>
      </c>
      <c r="G34" s="11">
        <v>800</v>
      </c>
      <c r="H34" s="11">
        <v>600</v>
      </c>
      <c r="I34" s="4" t="str">
        <f>_xlfn.XLOOKUP(D34,'Sales Manager'!$A$2:$A$6,'Sales Manager'!$B$2:$B$6,"")</f>
        <v>Gbenga Adesanya</v>
      </c>
      <c r="J34" s="12">
        <v>8</v>
      </c>
      <c r="K34" s="12">
        <v>10</v>
      </c>
    </row>
    <row r="35" spans="1:11" x14ac:dyDescent="0.3">
      <c r="A35" s="2">
        <v>34</v>
      </c>
      <c r="B35" s="2">
        <v>100</v>
      </c>
      <c r="C35" s="1" t="str">
        <f>VLOOKUP(B35,Products!A:C,2,FALSE)</f>
        <v>Mango</v>
      </c>
      <c r="D35" s="1" t="s">
        <v>22</v>
      </c>
      <c r="E35" s="3">
        <f t="shared" si="1"/>
        <v>10</v>
      </c>
      <c r="F35" s="1" t="str">
        <f t="shared" si="1"/>
        <v>Oct</v>
      </c>
      <c r="G35" s="11">
        <v>250</v>
      </c>
      <c r="H35" s="11">
        <v>150</v>
      </c>
      <c r="I35" s="4" t="str">
        <f>_xlfn.XLOOKUP(D35,'Sales Manager'!$A$2:$A$6,'Sales Manager'!$B$2:$B$6,"")</f>
        <v>Gbenga Adesanya</v>
      </c>
      <c r="J35" s="12">
        <v>9</v>
      </c>
      <c r="K35" s="12">
        <v>6</v>
      </c>
    </row>
    <row r="36" spans="1:11" x14ac:dyDescent="0.3">
      <c r="A36" s="2">
        <v>35</v>
      </c>
      <c r="B36" s="2">
        <v>100</v>
      </c>
      <c r="C36" s="1" t="str">
        <f>VLOOKUP(B36,Products!A:C,2,FALSE)</f>
        <v>Mango</v>
      </c>
      <c r="D36" s="1" t="s">
        <v>22</v>
      </c>
      <c r="E36" s="3">
        <f t="shared" si="1"/>
        <v>11</v>
      </c>
      <c r="F36" s="1" t="str">
        <f t="shared" si="1"/>
        <v>Nov</v>
      </c>
      <c r="G36" s="11">
        <v>400</v>
      </c>
      <c r="H36" s="11">
        <v>300</v>
      </c>
      <c r="I36" s="4" t="str">
        <f>_xlfn.XLOOKUP(D36,'Sales Manager'!$A$2:$A$6,'Sales Manager'!$B$2:$B$6,"")</f>
        <v>Gbenga Adesanya</v>
      </c>
      <c r="J36" s="12">
        <v>7</v>
      </c>
      <c r="K36" s="12">
        <v>9</v>
      </c>
    </row>
    <row r="37" spans="1:11" x14ac:dyDescent="0.3">
      <c r="A37" s="2">
        <v>36</v>
      </c>
      <c r="B37" s="2">
        <v>100</v>
      </c>
      <c r="C37" s="1" t="str">
        <f>VLOOKUP(B37,Products!A:C,2,FALSE)</f>
        <v>Mango</v>
      </c>
      <c r="D37" s="1" t="s">
        <v>22</v>
      </c>
      <c r="E37" s="3">
        <f t="shared" si="1"/>
        <v>12</v>
      </c>
      <c r="F37" s="1" t="str">
        <f t="shared" si="1"/>
        <v>Dec</v>
      </c>
      <c r="G37" s="11">
        <v>200</v>
      </c>
      <c r="H37" s="11">
        <v>500</v>
      </c>
      <c r="I37" s="4" t="str">
        <f>_xlfn.XLOOKUP(D37,'Sales Manager'!$A$2:$A$6,'Sales Manager'!$B$2:$B$6,"")</f>
        <v>Gbenga Adesanya</v>
      </c>
      <c r="J37" s="12">
        <v>8</v>
      </c>
      <c r="K37" s="12">
        <v>8</v>
      </c>
    </row>
    <row r="38" spans="1:11" x14ac:dyDescent="0.3">
      <c r="A38" s="2">
        <v>37</v>
      </c>
      <c r="B38" s="2">
        <v>100</v>
      </c>
      <c r="C38" s="1" t="str">
        <f>VLOOKUP(B38,Products!A:C,2,FALSE)</f>
        <v>Mango</v>
      </c>
      <c r="D38" s="1" t="s">
        <v>23</v>
      </c>
      <c r="E38" s="3">
        <f t="shared" si="1"/>
        <v>1</v>
      </c>
      <c r="F38" s="1" t="str">
        <f t="shared" si="1"/>
        <v>Jan</v>
      </c>
      <c r="G38" s="11">
        <v>2000</v>
      </c>
      <c r="H38" s="11">
        <v>1700</v>
      </c>
      <c r="I38" s="4" t="str">
        <f>_xlfn.XLOOKUP(D38,'Sales Manager'!$A$2:$A$6,'Sales Manager'!$B$2:$B$6,"")</f>
        <v>Musa Garba</v>
      </c>
      <c r="J38" s="12">
        <v>7</v>
      </c>
      <c r="K38" s="12">
        <v>5</v>
      </c>
    </row>
    <row r="39" spans="1:11" x14ac:dyDescent="0.3">
      <c r="A39" s="2">
        <v>38</v>
      </c>
      <c r="B39" s="2">
        <v>100</v>
      </c>
      <c r="C39" s="1" t="str">
        <f>VLOOKUP(B39,Products!A:C,2,FALSE)</f>
        <v>Mango</v>
      </c>
      <c r="D39" s="1" t="s">
        <v>23</v>
      </c>
      <c r="E39" s="3">
        <f t="shared" si="1"/>
        <v>2</v>
      </c>
      <c r="F39" s="1" t="str">
        <f t="shared" si="1"/>
        <v>Feb</v>
      </c>
      <c r="G39" s="11">
        <v>2000</v>
      </c>
      <c r="H39" s="11">
        <v>1900</v>
      </c>
      <c r="I39" s="4" t="str">
        <f>_xlfn.XLOOKUP(D39,'Sales Manager'!$A$2:$A$6,'Sales Manager'!$B$2:$B$6,"")</f>
        <v>Musa Garba</v>
      </c>
      <c r="J39" s="12">
        <v>5</v>
      </c>
      <c r="K39" s="12">
        <v>10</v>
      </c>
    </row>
    <row r="40" spans="1:11" x14ac:dyDescent="0.3">
      <c r="A40" s="2">
        <v>39</v>
      </c>
      <c r="B40" s="2">
        <v>100</v>
      </c>
      <c r="C40" s="1" t="str">
        <f>VLOOKUP(B40,Products!A:C,2,FALSE)</f>
        <v>Mango</v>
      </c>
      <c r="D40" s="1" t="s">
        <v>23</v>
      </c>
      <c r="E40" s="3">
        <f t="shared" si="1"/>
        <v>3</v>
      </c>
      <c r="F40" s="1" t="str">
        <f t="shared" si="1"/>
        <v>Mar</v>
      </c>
      <c r="G40" s="11">
        <v>1666.6666666666667</v>
      </c>
      <c r="H40" s="11">
        <v>1566.6666666666667</v>
      </c>
      <c r="I40" s="4" t="str">
        <f>_xlfn.XLOOKUP(D40,'Sales Manager'!$A$2:$A$6,'Sales Manager'!$B$2:$B$6,"")</f>
        <v>Musa Garba</v>
      </c>
      <c r="J40" s="12">
        <v>10</v>
      </c>
      <c r="K40" s="12">
        <v>6</v>
      </c>
    </row>
    <row r="41" spans="1:11" x14ac:dyDescent="0.3">
      <c r="A41" s="2">
        <v>40</v>
      </c>
      <c r="B41" s="2">
        <v>100</v>
      </c>
      <c r="C41" s="1" t="str">
        <f>VLOOKUP(B41,Products!A:C,2,FALSE)</f>
        <v>Mango</v>
      </c>
      <c r="D41" s="1" t="s">
        <v>23</v>
      </c>
      <c r="E41" s="3">
        <f t="shared" si="1"/>
        <v>4</v>
      </c>
      <c r="F41" s="1" t="str">
        <f t="shared" si="1"/>
        <v>Apr</v>
      </c>
      <c r="G41" s="11">
        <v>1333.3333333333333</v>
      </c>
      <c r="H41" s="11">
        <v>533.33333333333326</v>
      </c>
      <c r="I41" s="4" t="str">
        <f>_xlfn.XLOOKUP(D41,'Sales Manager'!$A$2:$A$6,'Sales Manager'!$B$2:$B$6,"")</f>
        <v>Musa Garba</v>
      </c>
      <c r="J41" s="12">
        <v>10</v>
      </c>
      <c r="K41" s="12">
        <v>10</v>
      </c>
    </row>
    <row r="42" spans="1:11" x14ac:dyDescent="0.3">
      <c r="A42" s="2">
        <v>41</v>
      </c>
      <c r="B42" s="2">
        <v>100</v>
      </c>
      <c r="C42" s="1" t="str">
        <f>VLOOKUP(B42,Products!A:C,2,FALSE)</f>
        <v>Mango</v>
      </c>
      <c r="D42" s="1" t="s">
        <v>23</v>
      </c>
      <c r="E42" s="3">
        <f t="shared" si="1"/>
        <v>5</v>
      </c>
      <c r="F42" s="1" t="str">
        <f t="shared" si="1"/>
        <v>May</v>
      </c>
      <c r="G42" s="11">
        <v>666.66666666666663</v>
      </c>
      <c r="H42" s="11">
        <v>133.33333333333337</v>
      </c>
      <c r="I42" s="4" t="str">
        <f>_xlfn.XLOOKUP(D42,'Sales Manager'!$A$2:$A$6,'Sales Manager'!$B$2:$B$6,"")</f>
        <v>Musa Garba</v>
      </c>
      <c r="J42" s="12">
        <v>10</v>
      </c>
      <c r="K42" s="12">
        <v>8</v>
      </c>
    </row>
    <row r="43" spans="1:11" x14ac:dyDescent="0.3">
      <c r="A43" s="2">
        <v>42</v>
      </c>
      <c r="B43" s="2">
        <v>100</v>
      </c>
      <c r="C43" s="1" t="str">
        <f>VLOOKUP(B43,Products!A:C,2,FALSE)</f>
        <v>Mango</v>
      </c>
      <c r="D43" s="1" t="s">
        <v>23</v>
      </c>
      <c r="E43" s="3">
        <f t="shared" si="1"/>
        <v>6</v>
      </c>
      <c r="F43" s="1" t="str">
        <f t="shared" si="1"/>
        <v>Jun</v>
      </c>
      <c r="G43" s="11">
        <v>333.33333333333331</v>
      </c>
      <c r="H43" s="11">
        <v>566.66666666666674</v>
      </c>
      <c r="I43" s="4" t="str">
        <f>_xlfn.XLOOKUP(D43,'Sales Manager'!$A$2:$A$6,'Sales Manager'!$B$2:$B$6,"")</f>
        <v>Musa Garba</v>
      </c>
      <c r="J43" s="12">
        <v>5</v>
      </c>
      <c r="K43" s="12">
        <v>10</v>
      </c>
    </row>
    <row r="44" spans="1:11" x14ac:dyDescent="0.3">
      <c r="A44" s="2">
        <v>43</v>
      </c>
      <c r="B44" s="2">
        <v>100</v>
      </c>
      <c r="C44" s="1" t="str">
        <f>VLOOKUP(B44,Products!A:C,2,FALSE)</f>
        <v>Mango</v>
      </c>
      <c r="D44" s="1" t="s">
        <v>23</v>
      </c>
      <c r="E44" s="3">
        <f t="shared" si="1"/>
        <v>7</v>
      </c>
      <c r="F44" s="1" t="str">
        <f t="shared" si="1"/>
        <v>Jul</v>
      </c>
      <c r="G44" s="11">
        <v>1800</v>
      </c>
      <c r="H44" s="11">
        <v>1400</v>
      </c>
      <c r="I44" s="4" t="str">
        <f>_xlfn.XLOOKUP(D44,'Sales Manager'!$A$2:$A$6,'Sales Manager'!$B$2:$B$6,"")</f>
        <v>Musa Garba</v>
      </c>
      <c r="J44" s="12">
        <v>8</v>
      </c>
      <c r="K44" s="12">
        <v>5</v>
      </c>
    </row>
    <row r="45" spans="1:11" x14ac:dyDescent="0.3">
      <c r="A45" s="2">
        <v>44</v>
      </c>
      <c r="B45" s="2">
        <v>100</v>
      </c>
      <c r="C45" s="1" t="str">
        <f>VLOOKUP(B45,Products!A:C,2,FALSE)</f>
        <v>Mango</v>
      </c>
      <c r="D45" s="1" t="s">
        <v>23</v>
      </c>
      <c r="E45" s="3">
        <f t="shared" si="1"/>
        <v>8</v>
      </c>
      <c r="F45" s="1" t="str">
        <f t="shared" si="1"/>
        <v>Aug</v>
      </c>
      <c r="G45" s="11">
        <v>3500</v>
      </c>
      <c r="H45" s="11">
        <v>3400</v>
      </c>
      <c r="I45" s="4" t="str">
        <f>_xlfn.XLOOKUP(D45,'Sales Manager'!$A$2:$A$6,'Sales Manager'!$B$2:$B$6,"")</f>
        <v>Musa Garba</v>
      </c>
      <c r="J45" s="12">
        <v>5</v>
      </c>
      <c r="K45" s="12">
        <v>6</v>
      </c>
    </row>
    <row r="46" spans="1:11" x14ac:dyDescent="0.3">
      <c r="A46" s="2">
        <v>45</v>
      </c>
      <c r="B46" s="2">
        <v>100</v>
      </c>
      <c r="C46" s="1" t="str">
        <f>VLOOKUP(B46,Products!A:C,2,FALSE)</f>
        <v>Mango</v>
      </c>
      <c r="D46" s="1" t="s">
        <v>23</v>
      </c>
      <c r="E46" s="3">
        <f t="shared" si="1"/>
        <v>9</v>
      </c>
      <c r="F46" s="1" t="str">
        <f t="shared" si="1"/>
        <v>Sept</v>
      </c>
      <c r="G46" s="11">
        <v>2666.6666666666665</v>
      </c>
      <c r="H46" s="11">
        <v>2266.6666666666665</v>
      </c>
      <c r="I46" s="4" t="str">
        <f>_xlfn.XLOOKUP(D46,'Sales Manager'!$A$2:$A$6,'Sales Manager'!$B$2:$B$6,"")</f>
        <v>Musa Garba</v>
      </c>
      <c r="J46" s="12">
        <v>5</v>
      </c>
      <c r="K46" s="12">
        <v>6</v>
      </c>
    </row>
    <row r="47" spans="1:11" x14ac:dyDescent="0.3">
      <c r="A47" s="2">
        <v>46</v>
      </c>
      <c r="B47" s="2">
        <v>100</v>
      </c>
      <c r="C47" s="1" t="str">
        <f>VLOOKUP(B47,Products!A:C,2,FALSE)</f>
        <v>Mango</v>
      </c>
      <c r="D47" s="1" t="s">
        <v>23</v>
      </c>
      <c r="E47" s="3">
        <f t="shared" ref="E47:F62" si="2">E35</f>
        <v>10</v>
      </c>
      <c r="F47" s="1" t="str">
        <f t="shared" si="2"/>
        <v>Oct</v>
      </c>
      <c r="G47" s="11">
        <v>1000</v>
      </c>
      <c r="H47" s="11">
        <v>900</v>
      </c>
      <c r="I47" s="4" t="str">
        <f>_xlfn.XLOOKUP(D47,'Sales Manager'!$A$2:$A$6,'Sales Manager'!$B$2:$B$6,"")</f>
        <v>Musa Garba</v>
      </c>
      <c r="J47" s="12">
        <v>8</v>
      </c>
      <c r="K47" s="12">
        <v>5</v>
      </c>
    </row>
    <row r="48" spans="1:11" x14ac:dyDescent="0.3">
      <c r="A48" s="2">
        <v>47</v>
      </c>
      <c r="B48" s="2">
        <v>100</v>
      </c>
      <c r="C48" s="1" t="str">
        <f>VLOOKUP(B48,Products!A:C,2,FALSE)</f>
        <v>Mango</v>
      </c>
      <c r="D48" s="1" t="s">
        <v>23</v>
      </c>
      <c r="E48" s="3">
        <f t="shared" si="2"/>
        <v>11</v>
      </c>
      <c r="F48" s="1" t="str">
        <f t="shared" si="2"/>
        <v>Nov</v>
      </c>
      <c r="G48" s="11">
        <v>2500</v>
      </c>
      <c r="H48" s="11">
        <v>2400</v>
      </c>
      <c r="I48" s="4" t="str">
        <f>_xlfn.XLOOKUP(D48,'Sales Manager'!$A$2:$A$6,'Sales Manager'!$B$2:$B$6,"")</f>
        <v>Musa Garba</v>
      </c>
      <c r="J48" s="12">
        <v>9</v>
      </c>
      <c r="K48" s="12">
        <v>6</v>
      </c>
    </row>
    <row r="49" spans="1:11" x14ac:dyDescent="0.3">
      <c r="A49" s="2">
        <v>48</v>
      </c>
      <c r="B49" s="2">
        <v>100</v>
      </c>
      <c r="C49" s="1" t="str">
        <f>VLOOKUP(B49,Products!A:C,2,FALSE)</f>
        <v>Mango</v>
      </c>
      <c r="D49" s="1" t="s">
        <v>23</v>
      </c>
      <c r="E49" s="3">
        <f t="shared" si="2"/>
        <v>12</v>
      </c>
      <c r="F49" s="1" t="str">
        <f t="shared" si="2"/>
        <v>Dec</v>
      </c>
      <c r="G49" s="11">
        <v>1000</v>
      </c>
      <c r="H49" s="11">
        <v>300</v>
      </c>
      <c r="I49" s="4" t="str">
        <f>_xlfn.XLOOKUP(D49,'Sales Manager'!$A$2:$A$6,'Sales Manager'!$B$2:$B$6,"")</f>
        <v>Musa Garba</v>
      </c>
      <c r="J49" s="12">
        <v>10</v>
      </c>
      <c r="K49" s="12">
        <v>9</v>
      </c>
    </row>
    <row r="50" spans="1:11" x14ac:dyDescent="0.3">
      <c r="A50" s="2">
        <v>49</v>
      </c>
      <c r="B50" s="2">
        <v>100</v>
      </c>
      <c r="C50" s="1" t="str">
        <f>VLOOKUP(B50,Products!A:C,2,FALSE)</f>
        <v>Mango</v>
      </c>
      <c r="D50" s="1" t="s">
        <v>24</v>
      </c>
      <c r="E50" s="3">
        <f t="shared" si="2"/>
        <v>1</v>
      </c>
      <c r="F50" s="1" t="str">
        <f t="shared" si="2"/>
        <v>Jan</v>
      </c>
      <c r="G50" s="11">
        <v>1500</v>
      </c>
      <c r="H50" s="11">
        <v>1500</v>
      </c>
      <c r="I50" s="4" t="str">
        <f>_xlfn.XLOOKUP(D50,'Sales Manager'!$A$2:$A$6,'Sales Manager'!$B$2:$B$6,"")</f>
        <v>Funmi Adeyemi</v>
      </c>
      <c r="J50" s="12">
        <v>5</v>
      </c>
      <c r="K50" s="12">
        <v>10</v>
      </c>
    </row>
    <row r="51" spans="1:11" x14ac:dyDescent="0.3">
      <c r="A51" s="2">
        <v>50</v>
      </c>
      <c r="B51" s="2">
        <v>100</v>
      </c>
      <c r="C51" s="1" t="str">
        <f>VLOOKUP(B51,Products!A:C,2,FALSE)</f>
        <v>Mango</v>
      </c>
      <c r="D51" s="1" t="s">
        <v>24</v>
      </c>
      <c r="E51" s="3">
        <f t="shared" si="2"/>
        <v>2</v>
      </c>
      <c r="F51" s="1" t="str">
        <f t="shared" si="2"/>
        <v>Feb</v>
      </c>
      <c r="G51" s="11">
        <v>200</v>
      </c>
      <c r="H51" s="11">
        <v>600</v>
      </c>
      <c r="I51" s="4" t="str">
        <f>_xlfn.XLOOKUP(D51,'Sales Manager'!$A$2:$A$6,'Sales Manager'!$B$2:$B$6,"")</f>
        <v>Funmi Adeyemi</v>
      </c>
      <c r="J51" s="12">
        <v>8</v>
      </c>
      <c r="K51" s="12">
        <v>9</v>
      </c>
    </row>
    <row r="52" spans="1:11" x14ac:dyDescent="0.3">
      <c r="A52" s="2">
        <v>51</v>
      </c>
      <c r="B52" s="2">
        <v>100</v>
      </c>
      <c r="C52" s="1" t="str">
        <f>VLOOKUP(B52,Products!A:C,2,FALSE)</f>
        <v>Mango</v>
      </c>
      <c r="D52" s="1" t="s">
        <v>24</v>
      </c>
      <c r="E52" s="3">
        <f t="shared" si="2"/>
        <v>3</v>
      </c>
      <c r="F52" s="1" t="str">
        <f t="shared" si="2"/>
        <v>Mar</v>
      </c>
      <c r="G52" s="11">
        <v>2000</v>
      </c>
      <c r="H52" s="11">
        <v>1700</v>
      </c>
      <c r="I52" s="4" t="str">
        <f>_xlfn.XLOOKUP(D52,'Sales Manager'!$A$2:$A$6,'Sales Manager'!$B$2:$B$6,"")</f>
        <v>Funmi Adeyemi</v>
      </c>
      <c r="J52" s="12">
        <v>9</v>
      </c>
      <c r="K52" s="12">
        <v>6</v>
      </c>
    </row>
    <row r="53" spans="1:11" x14ac:dyDescent="0.3">
      <c r="A53" s="2">
        <v>52</v>
      </c>
      <c r="B53" s="2">
        <v>100</v>
      </c>
      <c r="C53" s="1" t="str">
        <f>VLOOKUP(B53,Products!A:C,2,FALSE)</f>
        <v>Mango</v>
      </c>
      <c r="D53" s="1" t="s">
        <v>24</v>
      </c>
      <c r="E53" s="3">
        <f t="shared" si="2"/>
        <v>4</v>
      </c>
      <c r="F53" s="1" t="str">
        <f t="shared" si="2"/>
        <v>Apr</v>
      </c>
      <c r="G53" s="11">
        <v>500</v>
      </c>
      <c r="H53" s="11">
        <v>200</v>
      </c>
      <c r="I53" s="4" t="str">
        <f>_xlfn.XLOOKUP(D53,'Sales Manager'!$A$2:$A$6,'Sales Manager'!$B$2:$B$6,"")</f>
        <v>Funmi Adeyemi</v>
      </c>
      <c r="J53" s="12">
        <v>8</v>
      </c>
      <c r="K53" s="12">
        <v>5</v>
      </c>
    </row>
    <row r="54" spans="1:11" x14ac:dyDescent="0.3">
      <c r="A54" s="2">
        <v>53</v>
      </c>
      <c r="B54" s="2">
        <v>100</v>
      </c>
      <c r="C54" s="1" t="str">
        <f>VLOOKUP(B54,Products!A:C,2,FALSE)</f>
        <v>Mango</v>
      </c>
      <c r="D54" s="1" t="s">
        <v>24</v>
      </c>
      <c r="E54" s="3">
        <f t="shared" si="2"/>
        <v>5</v>
      </c>
      <c r="F54" s="1" t="str">
        <f t="shared" si="2"/>
        <v>May</v>
      </c>
      <c r="G54" s="11">
        <v>600</v>
      </c>
      <c r="H54" s="11">
        <v>600</v>
      </c>
      <c r="I54" s="4" t="str">
        <f>_xlfn.XLOOKUP(D54,'Sales Manager'!$A$2:$A$6,'Sales Manager'!$B$2:$B$6,"")</f>
        <v>Funmi Adeyemi</v>
      </c>
      <c r="J54" s="12">
        <v>5</v>
      </c>
      <c r="K54" s="12">
        <v>5</v>
      </c>
    </row>
    <row r="55" spans="1:11" x14ac:dyDescent="0.3">
      <c r="A55" s="2">
        <v>54</v>
      </c>
      <c r="B55" s="2">
        <v>100</v>
      </c>
      <c r="C55" s="1" t="str">
        <f>VLOOKUP(B55,Products!A:C,2,FALSE)</f>
        <v>Mango</v>
      </c>
      <c r="D55" s="1" t="s">
        <v>24</v>
      </c>
      <c r="E55" s="3">
        <f t="shared" si="2"/>
        <v>6</v>
      </c>
      <c r="F55" s="1" t="str">
        <f t="shared" si="2"/>
        <v>Jun</v>
      </c>
      <c r="G55" s="11">
        <v>666.66666666666663</v>
      </c>
      <c r="H55" s="11">
        <v>266.66666666666663</v>
      </c>
      <c r="I55" s="4" t="str">
        <f>_xlfn.XLOOKUP(D55,'Sales Manager'!$A$2:$A$6,'Sales Manager'!$B$2:$B$6,"")</f>
        <v>Funmi Adeyemi</v>
      </c>
      <c r="J55" s="12">
        <v>5</v>
      </c>
      <c r="K55" s="12">
        <v>5</v>
      </c>
    </row>
    <row r="56" spans="1:11" x14ac:dyDescent="0.3">
      <c r="A56" s="2">
        <v>55</v>
      </c>
      <c r="B56" s="2">
        <v>100</v>
      </c>
      <c r="C56" s="1" t="str">
        <f>VLOOKUP(B56,Products!A:C,2,FALSE)</f>
        <v>Mango</v>
      </c>
      <c r="D56" s="1" t="s">
        <v>24</v>
      </c>
      <c r="E56" s="3">
        <f t="shared" si="2"/>
        <v>7</v>
      </c>
      <c r="F56" s="1" t="str">
        <f t="shared" si="2"/>
        <v>Jul</v>
      </c>
      <c r="G56" s="11">
        <v>1333.3333333333333</v>
      </c>
      <c r="H56" s="11">
        <v>533.33333333333326</v>
      </c>
      <c r="I56" s="4" t="str">
        <f>_xlfn.XLOOKUP(D56,'Sales Manager'!$A$2:$A$6,'Sales Manager'!$B$2:$B$6,"")</f>
        <v>Funmi Adeyemi</v>
      </c>
      <c r="J56" s="12">
        <v>5</v>
      </c>
      <c r="K56" s="12">
        <v>10</v>
      </c>
    </row>
    <row r="57" spans="1:11" x14ac:dyDescent="0.3">
      <c r="A57" s="2">
        <v>56</v>
      </c>
      <c r="B57" s="2">
        <v>100</v>
      </c>
      <c r="C57" s="1" t="str">
        <f>VLOOKUP(B57,Products!A:C,2,FALSE)</f>
        <v>Mango</v>
      </c>
      <c r="D57" s="1" t="s">
        <v>24</v>
      </c>
      <c r="E57" s="3">
        <f t="shared" si="2"/>
        <v>8</v>
      </c>
      <c r="F57" s="1" t="str">
        <f t="shared" si="2"/>
        <v>Aug</v>
      </c>
      <c r="G57" s="11">
        <v>500</v>
      </c>
      <c r="H57" s="11">
        <v>400</v>
      </c>
      <c r="I57" s="4" t="str">
        <f>_xlfn.XLOOKUP(D57,'Sales Manager'!$A$2:$A$6,'Sales Manager'!$B$2:$B$6,"")</f>
        <v>Funmi Adeyemi</v>
      </c>
      <c r="J57" s="12">
        <v>7</v>
      </c>
      <c r="K57" s="12">
        <v>7</v>
      </c>
    </row>
    <row r="58" spans="1:11" x14ac:dyDescent="0.3">
      <c r="A58" s="2">
        <v>57</v>
      </c>
      <c r="B58" s="2">
        <v>100</v>
      </c>
      <c r="C58" s="1" t="str">
        <f>VLOOKUP(B58,Products!A:C,2,FALSE)</f>
        <v>Mango</v>
      </c>
      <c r="D58" s="1" t="s">
        <v>24</v>
      </c>
      <c r="E58" s="3">
        <f t="shared" si="2"/>
        <v>9</v>
      </c>
      <c r="F58" s="1" t="str">
        <f t="shared" si="2"/>
        <v>Sept</v>
      </c>
      <c r="G58" s="11">
        <v>1000</v>
      </c>
      <c r="H58" s="11">
        <v>500</v>
      </c>
      <c r="I58" s="4" t="str">
        <f>_xlfn.XLOOKUP(D58,'Sales Manager'!$A$2:$A$6,'Sales Manager'!$B$2:$B$6,"")</f>
        <v>Funmi Adeyemi</v>
      </c>
      <c r="J58" s="12">
        <v>5</v>
      </c>
      <c r="K58" s="12">
        <v>7</v>
      </c>
    </row>
    <row r="59" spans="1:11" x14ac:dyDescent="0.3">
      <c r="A59" s="2">
        <v>58</v>
      </c>
      <c r="B59" s="2">
        <v>100</v>
      </c>
      <c r="C59" s="1" t="str">
        <f>VLOOKUP(B59,Products!A:C,2,FALSE)</f>
        <v>Mango</v>
      </c>
      <c r="D59" s="1" t="s">
        <v>24</v>
      </c>
      <c r="E59" s="3">
        <f t="shared" si="2"/>
        <v>10</v>
      </c>
      <c r="F59" s="1" t="str">
        <f t="shared" si="2"/>
        <v>Oct</v>
      </c>
      <c r="G59" s="11">
        <v>2000</v>
      </c>
      <c r="H59" s="11">
        <v>1800</v>
      </c>
      <c r="I59" s="4" t="str">
        <f>_xlfn.XLOOKUP(D59,'Sales Manager'!$A$2:$A$6,'Sales Manager'!$B$2:$B$6,"")</f>
        <v>Funmi Adeyemi</v>
      </c>
      <c r="J59" s="12">
        <v>8</v>
      </c>
      <c r="K59" s="12">
        <v>6</v>
      </c>
    </row>
    <row r="60" spans="1:11" x14ac:dyDescent="0.3">
      <c r="A60" s="2">
        <v>59</v>
      </c>
      <c r="B60" s="2">
        <v>100</v>
      </c>
      <c r="C60" s="1" t="str">
        <f>VLOOKUP(B60,Products!A:C,2,FALSE)</f>
        <v>Mango</v>
      </c>
      <c r="D60" s="1" t="s">
        <v>24</v>
      </c>
      <c r="E60" s="3">
        <f t="shared" si="2"/>
        <v>11</v>
      </c>
      <c r="F60" s="1" t="str">
        <f t="shared" si="2"/>
        <v>Nov</v>
      </c>
      <c r="G60" s="11">
        <v>2500</v>
      </c>
      <c r="H60" s="11">
        <v>2000</v>
      </c>
      <c r="I60" s="4" t="str">
        <f>_xlfn.XLOOKUP(D60,'Sales Manager'!$A$2:$A$6,'Sales Manager'!$B$2:$B$6,"")</f>
        <v>Funmi Adeyemi</v>
      </c>
      <c r="J60" s="12">
        <v>10</v>
      </c>
      <c r="K60" s="12">
        <v>6</v>
      </c>
    </row>
    <row r="61" spans="1:11" x14ac:dyDescent="0.3">
      <c r="A61" s="2">
        <v>60</v>
      </c>
      <c r="B61" s="2">
        <v>100</v>
      </c>
      <c r="C61" s="1" t="str">
        <f>VLOOKUP(B61,Products!A:C,2,FALSE)</f>
        <v>Mango</v>
      </c>
      <c r="D61" s="1" t="s">
        <v>24</v>
      </c>
      <c r="E61" s="3">
        <f t="shared" si="2"/>
        <v>12</v>
      </c>
      <c r="F61" s="1" t="str">
        <f t="shared" si="2"/>
        <v>Dec</v>
      </c>
      <c r="G61" s="11">
        <v>1400</v>
      </c>
      <c r="H61" s="11">
        <v>1400</v>
      </c>
      <c r="I61" s="4" t="str">
        <f>_xlfn.XLOOKUP(D61,'Sales Manager'!$A$2:$A$6,'Sales Manager'!$B$2:$B$6,"")</f>
        <v>Funmi Adeyemi</v>
      </c>
      <c r="J61" s="12">
        <v>7</v>
      </c>
      <c r="K61" s="12">
        <v>5</v>
      </c>
    </row>
    <row r="62" spans="1:11" x14ac:dyDescent="0.3">
      <c r="A62" s="2">
        <v>61</v>
      </c>
      <c r="B62" s="2">
        <f>B2+1</f>
        <v>101</v>
      </c>
      <c r="C62" s="1" t="str">
        <f>VLOOKUP(B62,Products!A:C,2,FALSE)</f>
        <v>Orange</v>
      </c>
      <c r="D62" s="1" t="str">
        <f>D2</f>
        <v>Lagos</v>
      </c>
      <c r="E62" s="3">
        <f t="shared" si="2"/>
        <v>1</v>
      </c>
      <c r="F62" s="1" t="str">
        <f t="shared" si="2"/>
        <v>Jan</v>
      </c>
      <c r="G62" s="11">
        <v>1600</v>
      </c>
      <c r="H62" s="11">
        <v>1100</v>
      </c>
      <c r="I62" s="4" t="str">
        <f>_xlfn.XLOOKUP(D62,'Sales Manager'!$A$2:$A$6,'Sales Manager'!$B$2:$B$6,"")</f>
        <v>Adaora Okafor</v>
      </c>
      <c r="J62" s="12">
        <v>5</v>
      </c>
      <c r="K62" s="12">
        <v>9</v>
      </c>
    </row>
    <row r="63" spans="1:11" x14ac:dyDescent="0.3">
      <c r="A63" s="2">
        <v>62</v>
      </c>
      <c r="B63" s="2">
        <f t="shared" ref="B63:B126" si="3">B3+1</f>
        <v>101</v>
      </c>
      <c r="C63" s="1" t="str">
        <f>VLOOKUP(B63,Products!A:C,2,FALSE)</f>
        <v>Orange</v>
      </c>
      <c r="D63" s="1" t="str">
        <f t="shared" ref="D63:D126" si="4">D3</f>
        <v>Lagos</v>
      </c>
      <c r="E63" s="3">
        <f t="shared" ref="E63:F78" si="5">E51</f>
        <v>2</v>
      </c>
      <c r="F63" s="1" t="str">
        <f t="shared" si="5"/>
        <v>Feb</v>
      </c>
      <c r="G63" s="11">
        <v>1000</v>
      </c>
      <c r="H63" s="11">
        <v>800</v>
      </c>
      <c r="I63" s="4" t="str">
        <f>_xlfn.XLOOKUP(D63,'Sales Manager'!$A$2:$A$6,'Sales Manager'!$B$2:$B$6,"")</f>
        <v>Adaora Okafor</v>
      </c>
      <c r="J63" s="12">
        <v>8</v>
      </c>
      <c r="K63" s="12">
        <v>6</v>
      </c>
    </row>
    <row r="64" spans="1:11" x14ac:dyDescent="0.3">
      <c r="A64" s="2">
        <v>63</v>
      </c>
      <c r="B64" s="2">
        <f t="shared" si="3"/>
        <v>101</v>
      </c>
      <c r="C64" s="1" t="str">
        <f>VLOOKUP(B64,Products!A:C,2,FALSE)</f>
        <v>Orange</v>
      </c>
      <c r="D64" s="1" t="str">
        <f t="shared" si="4"/>
        <v>Lagos</v>
      </c>
      <c r="E64" s="3">
        <f t="shared" si="5"/>
        <v>3</v>
      </c>
      <c r="F64" s="1" t="str">
        <f t="shared" si="5"/>
        <v>Mar</v>
      </c>
      <c r="G64" s="11">
        <v>1000</v>
      </c>
      <c r="H64" s="11">
        <v>600</v>
      </c>
      <c r="I64" s="4" t="str">
        <f>_xlfn.XLOOKUP(D64,'Sales Manager'!$A$2:$A$6,'Sales Manager'!$B$2:$B$6,"")</f>
        <v>Adaora Okafor</v>
      </c>
      <c r="J64" s="12">
        <v>8</v>
      </c>
      <c r="K64" s="12">
        <v>8</v>
      </c>
    </row>
    <row r="65" spans="1:11" x14ac:dyDescent="0.3">
      <c r="A65" s="2">
        <v>64</v>
      </c>
      <c r="B65" s="2">
        <f t="shared" si="3"/>
        <v>101</v>
      </c>
      <c r="C65" s="1" t="str">
        <f>VLOOKUP(B65,Products!A:C,2,FALSE)</f>
        <v>Orange</v>
      </c>
      <c r="D65" s="1" t="str">
        <f t="shared" si="4"/>
        <v>Lagos</v>
      </c>
      <c r="E65" s="3">
        <f t="shared" si="5"/>
        <v>4</v>
      </c>
      <c r="F65" s="1" t="str">
        <f t="shared" si="5"/>
        <v>Apr</v>
      </c>
      <c r="G65" s="11">
        <v>1200</v>
      </c>
      <c r="H65" s="11">
        <v>1200</v>
      </c>
      <c r="I65" s="4" t="str">
        <f>_xlfn.XLOOKUP(D65,'Sales Manager'!$A$2:$A$6,'Sales Manager'!$B$2:$B$6,"")</f>
        <v>Adaora Okafor</v>
      </c>
      <c r="J65" s="12">
        <v>8</v>
      </c>
      <c r="K65" s="12">
        <v>5</v>
      </c>
    </row>
    <row r="66" spans="1:11" x14ac:dyDescent="0.3">
      <c r="A66" s="2">
        <v>65</v>
      </c>
      <c r="B66" s="2">
        <f t="shared" si="3"/>
        <v>101</v>
      </c>
      <c r="C66" s="1" t="str">
        <f>VLOOKUP(B66,Products!A:C,2,FALSE)</f>
        <v>Orange</v>
      </c>
      <c r="D66" s="1" t="str">
        <f t="shared" si="4"/>
        <v>Lagos</v>
      </c>
      <c r="E66" s="3">
        <f t="shared" si="5"/>
        <v>5</v>
      </c>
      <c r="F66" s="1" t="str">
        <f t="shared" si="5"/>
        <v>May</v>
      </c>
      <c r="G66" s="11">
        <v>333.33333333333331</v>
      </c>
      <c r="H66" s="11">
        <v>766.66666666666674</v>
      </c>
      <c r="I66" s="4" t="str">
        <f>_xlfn.XLOOKUP(D66,'Sales Manager'!$A$2:$A$6,'Sales Manager'!$B$2:$B$6,"")</f>
        <v>Adaora Okafor</v>
      </c>
      <c r="J66" s="12">
        <v>5</v>
      </c>
      <c r="K66" s="12">
        <v>10</v>
      </c>
    </row>
    <row r="67" spans="1:11" x14ac:dyDescent="0.3">
      <c r="A67" s="2">
        <v>66</v>
      </c>
      <c r="B67" s="2">
        <f t="shared" si="3"/>
        <v>101</v>
      </c>
      <c r="C67" s="1" t="str">
        <f>VLOOKUP(B67,Products!A:C,2,FALSE)</f>
        <v>Orange</v>
      </c>
      <c r="D67" s="1" t="str">
        <f t="shared" si="4"/>
        <v>Lagos</v>
      </c>
      <c r="E67" s="3">
        <f t="shared" si="5"/>
        <v>6</v>
      </c>
      <c r="F67" s="1" t="str">
        <f t="shared" si="5"/>
        <v>Jun</v>
      </c>
      <c r="G67" s="11">
        <v>333.33333333333331</v>
      </c>
      <c r="H67" s="11">
        <v>133.33333333333331</v>
      </c>
      <c r="I67" s="4" t="str">
        <f>_xlfn.XLOOKUP(D67,'Sales Manager'!$A$2:$A$6,'Sales Manager'!$B$2:$B$6,"")</f>
        <v>Adaora Okafor</v>
      </c>
      <c r="J67" s="12">
        <v>5</v>
      </c>
      <c r="K67" s="12">
        <v>10</v>
      </c>
    </row>
    <row r="68" spans="1:11" x14ac:dyDescent="0.3">
      <c r="A68" s="2">
        <v>67</v>
      </c>
      <c r="B68" s="2">
        <f t="shared" si="3"/>
        <v>101</v>
      </c>
      <c r="C68" s="1" t="str">
        <f>VLOOKUP(B68,Products!A:C,2,FALSE)</f>
        <v>Orange</v>
      </c>
      <c r="D68" s="1" t="str">
        <f t="shared" si="4"/>
        <v>Lagos</v>
      </c>
      <c r="E68" s="3">
        <f t="shared" si="5"/>
        <v>7</v>
      </c>
      <c r="F68" s="1" t="str">
        <f t="shared" si="5"/>
        <v>Jul</v>
      </c>
      <c r="G68" s="11">
        <v>750</v>
      </c>
      <c r="H68" s="11">
        <v>450</v>
      </c>
      <c r="I68" s="4" t="str">
        <f>_xlfn.XLOOKUP(D68,'Sales Manager'!$A$2:$A$6,'Sales Manager'!$B$2:$B$6,"")</f>
        <v>Adaora Okafor</v>
      </c>
      <c r="J68" s="12">
        <v>7</v>
      </c>
      <c r="K68" s="12">
        <v>7</v>
      </c>
    </row>
    <row r="69" spans="1:11" x14ac:dyDescent="0.3">
      <c r="A69" s="2">
        <v>68</v>
      </c>
      <c r="B69" s="2">
        <f t="shared" si="3"/>
        <v>101</v>
      </c>
      <c r="C69" s="1" t="str">
        <f>VLOOKUP(B69,Products!A:C,2,FALSE)</f>
        <v>Orange</v>
      </c>
      <c r="D69" s="1" t="str">
        <f t="shared" si="4"/>
        <v>Lagos</v>
      </c>
      <c r="E69" s="3">
        <f t="shared" si="5"/>
        <v>8</v>
      </c>
      <c r="F69" s="1" t="str">
        <f t="shared" si="5"/>
        <v>Aug</v>
      </c>
      <c r="G69" s="11">
        <v>2666.6666666666665</v>
      </c>
      <c r="H69" s="11">
        <v>2566.6666666666665</v>
      </c>
      <c r="I69" s="4" t="str">
        <f>_xlfn.XLOOKUP(D69,'Sales Manager'!$A$2:$A$6,'Sales Manager'!$B$2:$B$6,"")</f>
        <v>Adaora Okafor</v>
      </c>
      <c r="J69" s="12">
        <v>8</v>
      </c>
      <c r="K69" s="12">
        <v>6</v>
      </c>
    </row>
    <row r="70" spans="1:11" x14ac:dyDescent="0.3">
      <c r="A70" s="2">
        <v>69</v>
      </c>
      <c r="B70" s="2">
        <f t="shared" si="3"/>
        <v>101</v>
      </c>
      <c r="C70" s="1" t="str">
        <f>VLOOKUP(B70,Products!A:C,2,FALSE)</f>
        <v>Orange</v>
      </c>
      <c r="D70" s="1" t="str">
        <f t="shared" si="4"/>
        <v>Lagos</v>
      </c>
      <c r="E70" s="3">
        <f t="shared" si="5"/>
        <v>9</v>
      </c>
      <c r="F70" s="1" t="str">
        <f t="shared" si="5"/>
        <v>Sept</v>
      </c>
      <c r="G70" s="11">
        <v>1000</v>
      </c>
      <c r="H70" s="11">
        <v>700</v>
      </c>
      <c r="I70" s="4" t="str">
        <f>_xlfn.XLOOKUP(D70,'Sales Manager'!$A$2:$A$6,'Sales Manager'!$B$2:$B$6,"")</f>
        <v>Adaora Okafor</v>
      </c>
      <c r="J70" s="12">
        <v>10</v>
      </c>
      <c r="K70" s="12">
        <v>10</v>
      </c>
    </row>
    <row r="71" spans="1:11" x14ac:dyDescent="0.3">
      <c r="A71" s="2">
        <v>70</v>
      </c>
      <c r="B71" s="2">
        <f t="shared" si="3"/>
        <v>101</v>
      </c>
      <c r="C71" s="1" t="str">
        <f>VLOOKUP(B71,Products!A:C,2,FALSE)</f>
        <v>Orange</v>
      </c>
      <c r="D71" s="1" t="str">
        <f t="shared" si="4"/>
        <v>Lagos</v>
      </c>
      <c r="E71" s="3">
        <f t="shared" si="5"/>
        <v>10</v>
      </c>
      <c r="F71" s="1" t="str">
        <f t="shared" si="5"/>
        <v>Oct</v>
      </c>
      <c r="G71" s="11">
        <v>1500</v>
      </c>
      <c r="H71" s="11">
        <v>1400</v>
      </c>
      <c r="I71" s="4" t="str">
        <f>_xlfn.XLOOKUP(D71,'Sales Manager'!$A$2:$A$6,'Sales Manager'!$B$2:$B$6,"")</f>
        <v>Adaora Okafor</v>
      </c>
      <c r="J71" s="12">
        <v>8</v>
      </c>
      <c r="K71" s="12">
        <v>5</v>
      </c>
    </row>
    <row r="72" spans="1:11" x14ac:dyDescent="0.3">
      <c r="A72" s="2">
        <v>71</v>
      </c>
      <c r="B72" s="2">
        <f t="shared" si="3"/>
        <v>101</v>
      </c>
      <c r="C72" s="1" t="str">
        <f>VLOOKUP(B72,Products!A:C,2,FALSE)</f>
        <v>Orange</v>
      </c>
      <c r="D72" s="1" t="str">
        <f t="shared" si="4"/>
        <v>Lagos</v>
      </c>
      <c r="E72" s="3">
        <f t="shared" si="5"/>
        <v>11</v>
      </c>
      <c r="F72" s="1" t="str">
        <f t="shared" si="5"/>
        <v>Nov</v>
      </c>
      <c r="G72" s="11">
        <v>1333.3333333333333</v>
      </c>
      <c r="H72" s="11">
        <v>1233.3333333333333</v>
      </c>
      <c r="I72" s="4" t="str">
        <f>_xlfn.XLOOKUP(D72,'Sales Manager'!$A$2:$A$6,'Sales Manager'!$B$2:$B$6,"")</f>
        <v>Adaora Okafor</v>
      </c>
      <c r="J72" s="12">
        <v>5</v>
      </c>
      <c r="K72" s="12">
        <v>5</v>
      </c>
    </row>
    <row r="73" spans="1:11" x14ac:dyDescent="0.3">
      <c r="A73" s="2">
        <v>72</v>
      </c>
      <c r="B73" s="2">
        <f t="shared" si="3"/>
        <v>101</v>
      </c>
      <c r="C73" s="1" t="str">
        <f>VLOOKUP(B73,Products!A:C,2,FALSE)</f>
        <v>Orange</v>
      </c>
      <c r="D73" s="1" t="str">
        <f t="shared" si="4"/>
        <v>Lagos</v>
      </c>
      <c r="E73" s="3">
        <f t="shared" si="5"/>
        <v>12</v>
      </c>
      <c r="F73" s="1" t="str">
        <f t="shared" si="5"/>
        <v>Dec</v>
      </c>
      <c r="G73" s="11">
        <v>800</v>
      </c>
      <c r="H73" s="11">
        <v>600</v>
      </c>
      <c r="I73" s="4" t="str">
        <f>_xlfn.XLOOKUP(D73,'Sales Manager'!$A$2:$A$6,'Sales Manager'!$B$2:$B$6,"")</f>
        <v>Adaora Okafor</v>
      </c>
      <c r="J73" s="12">
        <v>6</v>
      </c>
      <c r="K73" s="12">
        <v>7</v>
      </c>
    </row>
    <row r="74" spans="1:11" x14ac:dyDescent="0.3">
      <c r="A74" s="2">
        <v>73</v>
      </c>
      <c r="B74" s="2">
        <f t="shared" si="3"/>
        <v>101</v>
      </c>
      <c r="C74" s="1" t="str">
        <f>VLOOKUP(B74,Products!A:C,2,FALSE)</f>
        <v>Orange</v>
      </c>
      <c r="D74" s="1" t="str">
        <f t="shared" si="4"/>
        <v>Abuja</v>
      </c>
      <c r="E74" s="3">
        <f t="shared" si="5"/>
        <v>1</v>
      </c>
      <c r="F74" s="1" t="str">
        <f t="shared" si="5"/>
        <v>Jan</v>
      </c>
      <c r="G74" s="11">
        <v>1333.3333333333333</v>
      </c>
      <c r="H74" s="11">
        <v>633.33333333333326</v>
      </c>
      <c r="I74" s="4" t="str">
        <f>_xlfn.XLOOKUP(D74,'Sales Manager'!$A$2:$A$6,'Sales Manager'!$B$2:$B$6,"")</f>
        <v>Emeka Nwosu</v>
      </c>
      <c r="J74" s="12">
        <v>8</v>
      </c>
      <c r="K74" s="12">
        <v>10</v>
      </c>
    </row>
    <row r="75" spans="1:11" x14ac:dyDescent="0.3">
      <c r="A75" s="2">
        <v>74</v>
      </c>
      <c r="B75" s="2">
        <f t="shared" si="3"/>
        <v>101</v>
      </c>
      <c r="C75" s="1" t="str">
        <f>VLOOKUP(B75,Products!A:C,2,FALSE)</f>
        <v>Orange</v>
      </c>
      <c r="D75" s="1" t="str">
        <f t="shared" si="4"/>
        <v>Abuja</v>
      </c>
      <c r="E75" s="3">
        <f t="shared" si="5"/>
        <v>2</v>
      </c>
      <c r="F75" s="1" t="str">
        <f t="shared" si="5"/>
        <v>Feb</v>
      </c>
      <c r="G75" s="11">
        <v>3500</v>
      </c>
      <c r="H75" s="11">
        <v>3000</v>
      </c>
      <c r="I75" s="4" t="str">
        <f>_xlfn.XLOOKUP(D75,'Sales Manager'!$A$2:$A$6,'Sales Manager'!$B$2:$B$6,"")</f>
        <v>Emeka Nwosu</v>
      </c>
      <c r="J75" s="12">
        <v>8</v>
      </c>
      <c r="K75" s="12">
        <v>9</v>
      </c>
    </row>
    <row r="76" spans="1:11" x14ac:dyDescent="0.3">
      <c r="A76" s="2">
        <v>75</v>
      </c>
      <c r="B76" s="2">
        <f t="shared" si="3"/>
        <v>101</v>
      </c>
      <c r="C76" s="1" t="str">
        <f>VLOOKUP(B76,Products!A:C,2,FALSE)</f>
        <v>Orange</v>
      </c>
      <c r="D76" s="1" t="str">
        <f t="shared" si="4"/>
        <v>Abuja</v>
      </c>
      <c r="E76" s="3">
        <f t="shared" si="5"/>
        <v>3</v>
      </c>
      <c r="F76" s="1" t="str">
        <f t="shared" si="5"/>
        <v>Mar</v>
      </c>
      <c r="G76" s="11">
        <v>500</v>
      </c>
      <c r="H76" s="11">
        <v>200</v>
      </c>
      <c r="I76" s="4" t="str">
        <f>_xlfn.XLOOKUP(D76,'Sales Manager'!$A$2:$A$6,'Sales Manager'!$B$2:$B$6,"")</f>
        <v>Emeka Nwosu</v>
      </c>
      <c r="J76" s="12">
        <v>10</v>
      </c>
      <c r="K76" s="12">
        <v>10</v>
      </c>
    </row>
    <row r="77" spans="1:11" x14ac:dyDescent="0.3">
      <c r="A77" s="2">
        <v>76</v>
      </c>
      <c r="B77" s="2">
        <f t="shared" si="3"/>
        <v>101</v>
      </c>
      <c r="C77" s="1" t="str">
        <f>VLOOKUP(B77,Products!A:C,2,FALSE)</f>
        <v>Orange</v>
      </c>
      <c r="D77" s="1" t="str">
        <f t="shared" si="4"/>
        <v>Abuja</v>
      </c>
      <c r="E77" s="3">
        <f t="shared" si="5"/>
        <v>4</v>
      </c>
      <c r="F77" s="1" t="str">
        <f t="shared" si="5"/>
        <v>Apr</v>
      </c>
      <c r="G77" s="11">
        <v>600</v>
      </c>
      <c r="H77" s="11">
        <v>200</v>
      </c>
      <c r="I77" s="4" t="str">
        <f>_xlfn.XLOOKUP(D77,'Sales Manager'!$A$2:$A$6,'Sales Manager'!$B$2:$B$6,"")</f>
        <v>Emeka Nwosu</v>
      </c>
      <c r="J77" s="12">
        <v>10</v>
      </c>
      <c r="K77" s="12">
        <v>7</v>
      </c>
    </row>
    <row r="78" spans="1:11" x14ac:dyDescent="0.3">
      <c r="A78" s="2">
        <v>77</v>
      </c>
      <c r="B78" s="2">
        <f t="shared" si="3"/>
        <v>101</v>
      </c>
      <c r="C78" s="1" t="str">
        <f>VLOOKUP(B78,Products!A:C,2,FALSE)</f>
        <v>Orange</v>
      </c>
      <c r="D78" s="1" t="str">
        <f t="shared" si="4"/>
        <v>Abuja</v>
      </c>
      <c r="E78" s="3">
        <f t="shared" si="5"/>
        <v>5</v>
      </c>
      <c r="F78" s="1" t="str">
        <f t="shared" si="5"/>
        <v>May</v>
      </c>
      <c r="G78" s="11">
        <v>500</v>
      </c>
      <c r="H78" s="11">
        <v>300</v>
      </c>
      <c r="I78" s="4" t="str">
        <f>_xlfn.XLOOKUP(D78,'Sales Manager'!$A$2:$A$6,'Sales Manager'!$B$2:$B$6,"")</f>
        <v>Emeka Nwosu</v>
      </c>
      <c r="J78" s="12">
        <v>7</v>
      </c>
      <c r="K78" s="12">
        <v>5</v>
      </c>
    </row>
    <row r="79" spans="1:11" x14ac:dyDescent="0.3">
      <c r="A79" s="2">
        <v>78</v>
      </c>
      <c r="B79" s="2">
        <f t="shared" si="3"/>
        <v>101</v>
      </c>
      <c r="C79" s="1" t="str">
        <f>VLOOKUP(B79,Products!A:C,2,FALSE)</f>
        <v>Orange</v>
      </c>
      <c r="D79" s="1" t="str">
        <f t="shared" si="4"/>
        <v>Abuja</v>
      </c>
      <c r="E79" s="3">
        <f t="shared" ref="E79:F94" si="6">E67</f>
        <v>6</v>
      </c>
      <c r="F79" s="1" t="str">
        <f t="shared" si="6"/>
        <v>Jun</v>
      </c>
      <c r="G79" s="11">
        <v>1250</v>
      </c>
      <c r="H79" s="11">
        <v>850</v>
      </c>
      <c r="I79" s="4" t="str">
        <f>_xlfn.XLOOKUP(D79,'Sales Manager'!$A$2:$A$6,'Sales Manager'!$B$2:$B$6,"")</f>
        <v>Emeka Nwosu</v>
      </c>
      <c r="J79" s="12">
        <v>7</v>
      </c>
      <c r="K79" s="12">
        <v>10</v>
      </c>
    </row>
    <row r="80" spans="1:11" x14ac:dyDescent="0.3">
      <c r="A80" s="2">
        <v>79</v>
      </c>
      <c r="B80" s="2">
        <f t="shared" si="3"/>
        <v>101</v>
      </c>
      <c r="C80" s="1" t="str">
        <f>VLOOKUP(B80,Products!A:C,2,FALSE)</f>
        <v>Orange</v>
      </c>
      <c r="D80" s="1" t="str">
        <f t="shared" si="4"/>
        <v>Abuja</v>
      </c>
      <c r="E80" s="3">
        <f t="shared" si="6"/>
        <v>7</v>
      </c>
      <c r="F80" s="1" t="str">
        <f t="shared" si="6"/>
        <v>Jul</v>
      </c>
      <c r="G80" s="11">
        <v>1250</v>
      </c>
      <c r="H80" s="11">
        <v>1250</v>
      </c>
      <c r="I80" s="4" t="str">
        <f>_xlfn.XLOOKUP(D80,'Sales Manager'!$A$2:$A$6,'Sales Manager'!$B$2:$B$6,"")</f>
        <v>Emeka Nwosu</v>
      </c>
      <c r="J80" s="12">
        <v>5</v>
      </c>
      <c r="K80" s="12">
        <v>7</v>
      </c>
    </row>
    <row r="81" spans="1:11" x14ac:dyDescent="0.3">
      <c r="A81" s="2">
        <v>80</v>
      </c>
      <c r="B81" s="2">
        <f t="shared" si="3"/>
        <v>101</v>
      </c>
      <c r="C81" s="1" t="str">
        <f>VLOOKUP(B81,Products!A:C,2,FALSE)</f>
        <v>Orange</v>
      </c>
      <c r="D81" s="1" t="str">
        <f t="shared" si="4"/>
        <v>Abuja</v>
      </c>
      <c r="E81" s="3">
        <f t="shared" si="6"/>
        <v>8</v>
      </c>
      <c r="F81" s="1" t="str">
        <f t="shared" si="6"/>
        <v>Aug</v>
      </c>
      <c r="G81" s="11">
        <v>2333.3333333333335</v>
      </c>
      <c r="H81" s="11">
        <v>1833.3333333333335</v>
      </c>
      <c r="I81" s="4" t="str">
        <f>_xlfn.XLOOKUP(D81,'Sales Manager'!$A$2:$A$6,'Sales Manager'!$B$2:$B$6,"")</f>
        <v>Emeka Nwosu</v>
      </c>
      <c r="J81" s="12">
        <v>10</v>
      </c>
      <c r="K81" s="12">
        <v>10</v>
      </c>
    </row>
    <row r="82" spans="1:11" x14ac:dyDescent="0.3">
      <c r="A82" s="2">
        <v>81</v>
      </c>
      <c r="B82" s="2">
        <f t="shared" si="3"/>
        <v>101</v>
      </c>
      <c r="C82" s="1" t="str">
        <f>VLOOKUP(B82,Products!A:C,2,FALSE)</f>
        <v>Orange</v>
      </c>
      <c r="D82" s="1" t="str">
        <f t="shared" si="4"/>
        <v>Abuja</v>
      </c>
      <c r="E82" s="3">
        <f t="shared" si="6"/>
        <v>9</v>
      </c>
      <c r="F82" s="1" t="str">
        <f t="shared" si="6"/>
        <v>Sept</v>
      </c>
      <c r="G82" s="11">
        <v>666.66666666666663</v>
      </c>
      <c r="H82" s="11">
        <v>466.66666666666663</v>
      </c>
      <c r="I82" s="4" t="str">
        <f>_xlfn.XLOOKUP(D82,'Sales Manager'!$A$2:$A$6,'Sales Manager'!$B$2:$B$6,"")</f>
        <v>Emeka Nwosu</v>
      </c>
      <c r="J82" s="12">
        <v>7</v>
      </c>
      <c r="K82" s="12">
        <v>10</v>
      </c>
    </row>
    <row r="83" spans="1:11" x14ac:dyDescent="0.3">
      <c r="A83" s="2">
        <v>82</v>
      </c>
      <c r="B83" s="2">
        <f t="shared" si="3"/>
        <v>101</v>
      </c>
      <c r="C83" s="1" t="str">
        <f>VLOOKUP(B83,Products!A:C,2,FALSE)</f>
        <v>Orange</v>
      </c>
      <c r="D83" s="1" t="str">
        <f t="shared" si="4"/>
        <v>Abuja</v>
      </c>
      <c r="E83" s="3">
        <f t="shared" si="6"/>
        <v>10</v>
      </c>
      <c r="F83" s="1" t="str">
        <f t="shared" si="6"/>
        <v>Oct</v>
      </c>
      <c r="G83" s="11">
        <v>1666.6666666666667</v>
      </c>
      <c r="H83" s="11">
        <v>1366.6666666666667</v>
      </c>
      <c r="I83" s="4" t="str">
        <f>_xlfn.XLOOKUP(D83,'Sales Manager'!$A$2:$A$6,'Sales Manager'!$B$2:$B$6,"")</f>
        <v>Emeka Nwosu</v>
      </c>
      <c r="J83" s="12">
        <v>9</v>
      </c>
      <c r="K83" s="12">
        <v>8</v>
      </c>
    </row>
    <row r="84" spans="1:11" x14ac:dyDescent="0.3">
      <c r="A84" s="2">
        <v>83</v>
      </c>
      <c r="B84" s="2">
        <f t="shared" si="3"/>
        <v>101</v>
      </c>
      <c r="C84" s="1" t="str">
        <f>VLOOKUP(B84,Products!A:C,2,FALSE)</f>
        <v>Orange</v>
      </c>
      <c r="D84" s="1" t="str">
        <f t="shared" si="4"/>
        <v>Abuja</v>
      </c>
      <c r="E84" s="3">
        <f t="shared" si="6"/>
        <v>11</v>
      </c>
      <c r="F84" s="1" t="str">
        <f t="shared" si="6"/>
        <v>Nov</v>
      </c>
      <c r="G84" s="11">
        <v>2666.6666666666665</v>
      </c>
      <c r="H84" s="11">
        <v>2266.6666666666665</v>
      </c>
      <c r="I84" s="4" t="str">
        <f>_xlfn.XLOOKUP(D84,'Sales Manager'!$A$2:$A$6,'Sales Manager'!$B$2:$B$6,"")</f>
        <v>Emeka Nwosu</v>
      </c>
      <c r="J84" s="12">
        <v>8</v>
      </c>
      <c r="K84" s="12">
        <v>5</v>
      </c>
    </row>
    <row r="85" spans="1:11" x14ac:dyDescent="0.3">
      <c r="A85" s="2">
        <v>84</v>
      </c>
      <c r="B85" s="2">
        <f t="shared" si="3"/>
        <v>101</v>
      </c>
      <c r="C85" s="1" t="str">
        <f>VLOOKUP(B85,Products!A:C,2,FALSE)</f>
        <v>Orange</v>
      </c>
      <c r="D85" s="1" t="str">
        <f t="shared" si="4"/>
        <v>Abuja</v>
      </c>
      <c r="E85" s="3">
        <f t="shared" si="6"/>
        <v>12</v>
      </c>
      <c r="F85" s="1" t="str">
        <f t="shared" si="6"/>
        <v>Dec</v>
      </c>
      <c r="G85" s="11">
        <v>200</v>
      </c>
      <c r="H85" s="11">
        <v>600</v>
      </c>
      <c r="I85" s="4" t="str">
        <f>_xlfn.XLOOKUP(D85,'Sales Manager'!$A$2:$A$6,'Sales Manager'!$B$2:$B$6,"")</f>
        <v>Emeka Nwosu</v>
      </c>
      <c r="J85" s="12">
        <v>8</v>
      </c>
      <c r="K85" s="12">
        <v>8</v>
      </c>
    </row>
    <row r="86" spans="1:11" x14ac:dyDescent="0.3">
      <c r="A86" s="2">
        <v>85</v>
      </c>
      <c r="B86" s="2">
        <f t="shared" si="3"/>
        <v>101</v>
      </c>
      <c r="C86" s="1" t="str">
        <f>VLOOKUP(B86,Products!A:C,2,FALSE)</f>
        <v>Orange</v>
      </c>
      <c r="D86" s="1" t="str">
        <f t="shared" si="4"/>
        <v>Warri</v>
      </c>
      <c r="E86" s="3">
        <f t="shared" si="6"/>
        <v>1</v>
      </c>
      <c r="F86" s="1" t="str">
        <f t="shared" si="6"/>
        <v>Jan</v>
      </c>
      <c r="G86" s="11">
        <v>800</v>
      </c>
      <c r="H86" s="11">
        <v>800</v>
      </c>
      <c r="I86" s="4" t="str">
        <f>_xlfn.XLOOKUP(D86,'Sales Manager'!$A$2:$A$6,'Sales Manager'!$B$2:$B$6,"")</f>
        <v>Gbenga Adesanya</v>
      </c>
      <c r="J86" s="12">
        <v>10</v>
      </c>
      <c r="K86" s="12">
        <v>8</v>
      </c>
    </row>
    <row r="87" spans="1:11" x14ac:dyDescent="0.3">
      <c r="A87" s="2">
        <v>86</v>
      </c>
      <c r="B87" s="2">
        <f t="shared" si="3"/>
        <v>101</v>
      </c>
      <c r="C87" s="1" t="str">
        <f>VLOOKUP(B87,Products!A:C,2,FALSE)</f>
        <v>Orange</v>
      </c>
      <c r="D87" s="1" t="str">
        <f t="shared" si="4"/>
        <v>Warri</v>
      </c>
      <c r="E87" s="3">
        <f t="shared" si="6"/>
        <v>2</v>
      </c>
      <c r="F87" s="1" t="str">
        <f t="shared" si="6"/>
        <v>Feb</v>
      </c>
      <c r="G87" s="11">
        <v>2000</v>
      </c>
      <c r="H87" s="11">
        <v>1700</v>
      </c>
      <c r="I87" s="4" t="str">
        <f>_xlfn.XLOOKUP(D87,'Sales Manager'!$A$2:$A$6,'Sales Manager'!$B$2:$B$6,"")</f>
        <v>Gbenga Adesanya</v>
      </c>
      <c r="J87" s="12">
        <v>5</v>
      </c>
      <c r="K87" s="12">
        <v>7</v>
      </c>
    </row>
    <row r="88" spans="1:11" x14ac:dyDescent="0.3">
      <c r="A88" s="2">
        <v>87</v>
      </c>
      <c r="B88" s="2">
        <f t="shared" si="3"/>
        <v>101</v>
      </c>
      <c r="C88" s="1" t="str">
        <f>VLOOKUP(B88,Products!A:C,2,FALSE)</f>
        <v>Orange</v>
      </c>
      <c r="D88" s="1" t="str">
        <f t="shared" si="4"/>
        <v>Warri</v>
      </c>
      <c r="E88" s="3">
        <f t="shared" si="6"/>
        <v>3</v>
      </c>
      <c r="F88" s="1" t="str">
        <f t="shared" si="6"/>
        <v>Mar</v>
      </c>
      <c r="G88" s="11">
        <v>1000</v>
      </c>
      <c r="H88" s="11">
        <v>1000</v>
      </c>
      <c r="I88" s="4" t="str">
        <f>_xlfn.XLOOKUP(D88,'Sales Manager'!$A$2:$A$6,'Sales Manager'!$B$2:$B$6,"")</f>
        <v>Gbenga Adesanya</v>
      </c>
      <c r="J88" s="12">
        <v>7</v>
      </c>
      <c r="K88" s="12">
        <v>10</v>
      </c>
    </row>
    <row r="89" spans="1:11" x14ac:dyDescent="0.3">
      <c r="A89" s="2">
        <v>88</v>
      </c>
      <c r="B89" s="2">
        <f t="shared" si="3"/>
        <v>101</v>
      </c>
      <c r="C89" s="1" t="str">
        <f>VLOOKUP(B89,Products!A:C,2,FALSE)</f>
        <v>Orange</v>
      </c>
      <c r="D89" s="1" t="str">
        <f t="shared" si="4"/>
        <v>Warri</v>
      </c>
      <c r="E89" s="3">
        <f t="shared" si="6"/>
        <v>4</v>
      </c>
      <c r="F89" s="1" t="str">
        <f t="shared" si="6"/>
        <v>Apr</v>
      </c>
      <c r="G89" s="11">
        <v>1250</v>
      </c>
      <c r="H89" s="11">
        <v>1050</v>
      </c>
      <c r="I89" s="4" t="str">
        <f>_xlfn.XLOOKUP(D89,'Sales Manager'!$A$2:$A$6,'Sales Manager'!$B$2:$B$6,"")</f>
        <v>Gbenga Adesanya</v>
      </c>
      <c r="J89" s="12">
        <v>5</v>
      </c>
      <c r="K89" s="12">
        <v>9</v>
      </c>
    </row>
    <row r="90" spans="1:11" x14ac:dyDescent="0.3">
      <c r="A90" s="2">
        <v>89</v>
      </c>
      <c r="B90" s="2">
        <f t="shared" si="3"/>
        <v>101</v>
      </c>
      <c r="C90" s="1" t="str">
        <f>VLOOKUP(B90,Products!A:C,2,FALSE)</f>
        <v>Orange</v>
      </c>
      <c r="D90" s="1" t="str">
        <f t="shared" si="4"/>
        <v>Warri</v>
      </c>
      <c r="E90" s="3">
        <f t="shared" si="6"/>
        <v>5</v>
      </c>
      <c r="F90" s="1" t="str">
        <f t="shared" si="6"/>
        <v>May</v>
      </c>
      <c r="G90" s="11">
        <v>333.33333333333331</v>
      </c>
      <c r="H90" s="11">
        <v>333.33333333333331</v>
      </c>
      <c r="I90" s="4" t="str">
        <f>_xlfn.XLOOKUP(D90,'Sales Manager'!$A$2:$A$6,'Sales Manager'!$B$2:$B$6,"")</f>
        <v>Gbenga Adesanya</v>
      </c>
      <c r="J90" s="12">
        <v>10</v>
      </c>
      <c r="K90" s="12">
        <v>7</v>
      </c>
    </row>
    <row r="91" spans="1:11" x14ac:dyDescent="0.3">
      <c r="A91" s="2">
        <v>90</v>
      </c>
      <c r="B91" s="2">
        <f t="shared" si="3"/>
        <v>101</v>
      </c>
      <c r="C91" s="1" t="str">
        <f>VLOOKUP(B91,Products!A:C,2,FALSE)</f>
        <v>Orange</v>
      </c>
      <c r="D91" s="1" t="str">
        <f t="shared" si="4"/>
        <v>Warri</v>
      </c>
      <c r="E91" s="3">
        <f t="shared" si="6"/>
        <v>6</v>
      </c>
      <c r="F91" s="1" t="str">
        <f t="shared" si="6"/>
        <v>Jun</v>
      </c>
      <c r="G91" s="11">
        <v>400</v>
      </c>
      <c r="H91" s="11">
        <v>400</v>
      </c>
      <c r="I91" s="4" t="str">
        <f>_xlfn.XLOOKUP(D91,'Sales Manager'!$A$2:$A$6,'Sales Manager'!$B$2:$B$6,"")</f>
        <v>Gbenga Adesanya</v>
      </c>
      <c r="J91" s="12">
        <v>5</v>
      </c>
      <c r="K91" s="12">
        <v>5</v>
      </c>
    </row>
    <row r="92" spans="1:11" x14ac:dyDescent="0.3">
      <c r="A92" s="2">
        <v>91</v>
      </c>
      <c r="B92" s="2">
        <f t="shared" si="3"/>
        <v>101</v>
      </c>
      <c r="C92" s="1" t="str">
        <f>VLOOKUP(B92,Products!A:C,2,FALSE)</f>
        <v>Orange</v>
      </c>
      <c r="D92" s="1" t="str">
        <f t="shared" si="4"/>
        <v>Warri</v>
      </c>
      <c r="E92" s="3">
        <f t="shared" si="6"/>
        <v>7</v>
      </c>
      <c r="F92" s="1" t="str">
        <f t="shared" si="6"/>
        <v>Jul</v>
      </c>
      <c r="G92" s="11">
        <v>250</v>
      </c>
      <c r="H92" s="11">
        <v>150</v>
      </c>
      <c r="I92" s="4" t="str">
        <f>_xlfn.XLOOKUP(D92,'Sales Manager'!$A$2:$A$6,'Sales Manager'!$B$2:$B$6,"")</f>
        <v>Gbenga Adesanya</v>
      </c>
      <c r="J92" s="12">
        <v>5</v>
      </c>
      <c r="K92" s="12">
        <v>6</v>
      </c>
    </row>
    <row r="93" spans="1:11" x14ac:dyDescent="0.3">
      <c r="A93" s="2">
        <v>92</v>
      </c>
      <c r="B93" s="2">
        <f t="shared" si="3"/>
        <v>101</v>
      </c>
      <c r="C93" s="1" t="str">
        <f>VLOOKUP(B93,Products!A:C,2,FALSE)</f>
        <v>Orange</v>
      </c>
      <c r="D93" s="1" t="str">
        <f t="shared" si="4"/>
        <v>Warri</v>
      </c>
      <c r="E93" s="3">
        <f t="shared" si="6"/>
        <v>8</v>
      </c>
      <c r="F93" s="1" t="str">
        <f t="shared" si="6"/>
        <v>Aug</v>
      </c>
      <c r="G93" s="11">
        <v>1666.6666666666667</v>
      </c>
      <c r="H93" s="11">
        <v>1466.6666666666667</v>
      </c>
      <c r="I93" s="4" t="str">
        <f>_xlfn.XLOOKUP(D93,'Sales Manager'!$A$2:$A$6,'Sales Manager'!$B$2:$B$6,"")</f>
        <v>Gbenga Adesanya</v>
      </c>
      <c r="J93" s="12">
        <v>10</v>
      </c>
      <c r="K93" s="12">
        <v>9</v>
      </c>
    </row>
    <row r="94" spans="1:11" x14ac:dyDescent="0.3">
      <c r="A94" s="2">
        <v>93</v>
      </c>
      <c r="B94" s="2">
        <f t="shared" si="3"/>
        <v>101</v>
      </c>
      <c r="C94" s="1" t="str">
        <f>VLOOKUP(B94,Products!A:C,2,FALSE)</f>
        <v>Orange</v>
      </c>
      <c r="D94" s="1" t="str">
        <f t="shared" si="4"/>
        <v>Warri</v>
      </c>
      <c r="E94" s="3">
        <f t="shared" si="6"/>
        <v>9</v>
      </c>
      <c r="F94" s="1" t="str">
        <f t="shared" si="6"/>
        <v>Sept</v>
      </c>
      <c r="G94" s="11">
        <v>1000</v>
      </c>
      <c r="H94" s="11">
        <v>300</v>
      </c>
      <c r="I94" s="4" t="str">
        <f>_xlfn.XLOOKUP(D94,'Sales Manager'!$A$2:$A$6,'Sales Manager'!$B$2:$B$6,"")</f>
        <v>Gbenga Adesanya</v>
      </c>
      <c r="J94" s="12">
        <v>8</v>
      </c>
      <c r="K94" s="12">
        <v>10</v>
      </c>
    </row>
    <row r="95" spans="1:11" x14ac:dyDescent="0.3">
      <c r="A95" s="2">
        <v>94</v>
      </c>
      <c r="B95" s="2">
        <f t="shared" si="3"/>
        <v>101</v>
      </c>
      <c r="C95" s="1" t="str">
        <f>VLOOKUP(B95,Products!A:C,2,FALSE)</f>
        <v>Orange</v>
      </c>
      <c r="D95" s="1" t="str">
        <f t="shared" si="4"/>
        <v>Warri</v>
      </c>
      <c r="E95" s="3">
        <f t="shared" ref="E95:F110" si="7">E83</f>
        <v>10</v>
      </c>
      <c r="F95" s="1" t="str">
        <f t="shared" si="7"/>
        <v>Oct</v>
      </c>
      <c r="G95" s="11">
        <v>1000</v>
      </c>
      <c r="H95" s="11">
        <v>900</v>
      </c>
      <c r="I95" s="4" t="str">
        <f>_xlfn.XLOOKUP(D95,'Sales Manager'!$A$2:$A$6,'Sales Manager'!$B$2:$B$6,"")</f>
        <v>Gbenga Adesanya</v>
      </c>
      <c r="J95" s="12">
        <v>5</v>
      </c>
      <c r="K95" s="12">
        <v>6</v>
      </c>
    </row>
    <row r="96" spans="1:11" x14ac:dyDescent="0.3">
      <c r="A96" s="2">
        <v>95</v>
      </c>
      <c r="B96" s="2">
        <f t="shared" si="3"/>
        <v>101</v>
      </c>
      <c r="C96" s="1" t="str">
        <f>VLOOKUP(B96,Products!A:C,2,FALSE)</f>
        <v>Orange</v>
      </c>
      <c r="D96" s="1" t="str">
        <f t="shared" si="4"/>
        <v>Warri</v>
      </c>
      <c r="E96" s="3">
        <f t="shared" si="7"/>
        <v>11</v>
      </c>
      <c r="F96" s="1" t="str">
        <f t="shared" si="7"/>
        <v>Nov</v>
      </c>
      <c r="G96" s="11">
        <v>1333.3333333333333</v>
      </c>
      <c r="H96" s="11">
        <v>933.33333333333326</v>
      </c>
      <c r="I96" s="4" t="str">
        <f>_xlfn.XLOOKUP(D96,'Sales Manager'!$A$2:$A$6,'Sales Manager'!$B$2:$B$6,"")</f>
        <v>Gbenga Adesanya</v>
      </c>
      <c r="J96" s="12">
        <v>9</v>
      </c>
      <c r="K96" s="12">
        <v>6</v>
      </c>
    </row>
    <row r="97" spans="1:11" x14ac:dyDescent="0.3">
      <c r="A97" s="2">
        <v>96</v>
      </c>
      <c r="B97" s="2">
        <f t="shared" si="3"/>
        <v>101</v>
      </c>
      <c r="C97" s="1" t="str">
        <f>VLOOKUP(B97,Products!A:C,2,FALSE)</f>
        <v>Orange</v>
      </c>
      <c r="D97" s="1" t="str">
        <f t="shared" si="4"/>
        <v>Warri</v>
      </c>
      <c r="E97" s="3">
        <f t="shared" si="7"/>
        <v>12</v>
      </c>
      <c r="F97" s="1" t="str">
        <f t="shared" si="7"/>
        <v>Dec</v>
      </c>
      <c r="G97" s="11">
        <v>1500</v>
      </c>
      <c r="H97" s="11">
        <v>1500</v>
      </c>
      <c r="I97" s="4" t="str">
        <f>_xlfn.XLOOKUP(D97,'Sales Manager'!$A$2:$A$6,'Sales Manager'!$B$2:$B$6,"")</f>
        <v>Gbenga Adesanya</v>
      </c>
      <c r="J97" s="12">
        <v>10</v>
      </c>
      <c r="K97" s="12">
        <v>7</v>
      </c>
    </row>
    <row r="98" spans="1:11" x14ac:dyDescent="0.3">
      <c r="A98" s="2">
        <v>97</v>
      </c>
      <c r="B98" s="2">
        <f t="shared" si="3"/>
        <v>101</v>
      </c>
      <c r="C98" s="1" t="str">
        <f>VLOOKUP(B98,Products!A:C,2,FALSE)</f>
        <v>Orange</v>
      </c>
      <c r="D98" s="1" t="str">
        <f t="shared" si="4"/>
        <v>Kaduna</v>
      </c>
      <c r="E98" s="3">
        <f t="shared" si="7"/>
        <v>1</v>
      </c>
      <c r="F98" s="1" t="str">
        <f t="shared" si="7"/>
        <v>Jan</v>
      </c>
      <c r="G98" s="11">
        <v>1333.3333333333333</v>
      </c>
      <c r="H98" s="11">
        <v>933.33333333333326</v>
      </c>
      <c r="I98" s="4" t="str">
        <f>_xlfn.XLOOKUP(D98,'Sales Manager'!$A$2:$A$6,'Sales Manager'!$B$2:$B$6,"")</f>
        <v>Musa Garba</v>
      </c>
      <c r="J98" s="12">
        <v>9</v>
      </c>
      <c r="K98" s="12">
        <v>8</v>
      </c>
    </row>
    <row r="99" spans="1:11" x14ac:dyDescent="0.3">
      <c r="A99" s="2">
        <v>98</v>
      </c>
      <c r="B99" s="2">
        <f t="shared" si="3"/>
        <v>101</v>
      </c>
      <c r="C99" s="1" t="str">
        <f>VLOOKUP(B99,Products!A:C,2,FALSE)</f>
        <v>Orange</v>
      </c>
      <c r="D99" s="1" t="str">
        <f t="shared" si="4"/>
        <v>Kaduna</v>
      </c>
      <c r="E99" s="3">
        <f t="shared" si="7"/>
        <v>2</v>
      </c>
      <c r="F99" s="1" t="str">
        <f t="shared" si="7"/>
        <v>Feb</v>
      </c>
      <c r="G99" s="11">
        <v>2000</v>
      </c>
      <c r="H99" s="11">
        <v>1500</v>
      </c>
      <c r="I99" s="4" t="str">
        <f>_xlfn.XLOOKUP(D99,'Sales Manager'!$A$2:$A$6,'Sales Manager'!$B$2:$B$6,"")</f>
        <v>Musa Garba</v>
      </c>
      <c r="J99" s="12">
        <v>10</v>
      </c>
      <c r="K99" s="12">
        <v>8</v>
      </c>
    </row>
    <row r="100" spans="1:11" x14ac:dyDescent="0.3">
      <c r="A100" s="2">
        <v>99</v>
      </c>
      <c r="B100" s="2">
        <f t="shared" si="3"/>
        <v>101</v>
      </c>
      <c r="C100" s="1" t="str">
        <f>VLOOKUP(B100,Products!A:C,2,FALSE)</f>
        <v>Orange</v>
      </c>
      <c r="D100" s="1" t="str">
        <f t="shared" si="4"/>
        <v>Kaduna</v>
      </c>
      <c r="E100" s="3">
        <f t="shared" si="7"/>
        <v>3</v>
      </c>
      <c r="F100" s="1" t="str">
        <f t="shared" si="7"/>
        <v>Mar</v>
      </c>
      <c r="G100" s="11">
        <v>1200</v>
      </c>
      <c r="H100" s="11">
        <v>900</v>
      </c>
      <c r="I100" s="4" t="str">
        <f>_xlfn.XLOOKUP(D100,'Sales Manager'!$A$2:$A$6,'Sales Manager'!$B$2:$B$6,"")</f>
        <v>Musa Garba</v>
      </c>
      <c r="J100" s="12">
        <v>9</v>
      </c>
      <c r="K100" s="12">
        <v>8</v>
      </c>
    </row>
    <row r="101" spans="1:11" x14ac:dyDescent="0.3">
      <c r="A101" s="2">
        <v>100</v>
      </c>
      <c r="B101" s="2">
        <f t="shared" si="3"/>
        <v>101</v>
      </c>
      <c r="C101" s="1" t="str">
        <f>VLOOKUP(B101,Products!A:C,2,FALSE)</f>
        <v>Orange</v>
      </c>
      <c r="D101" s="1" t="str">
        <f t="shared" si="4"/>
        <v>Kaduna</v>
      </c>
      <c r="E101" s="3">
        <f t="shared" si="7"/>
        <v>4</v>
      </c>
      <c r="F101" s="1" t="str">
        <f t="shared" si="7"/>
        <v>Apr</v>
      </c>
      <c r="G101" s="11">
        <v>1500</v>
      </c>
      <c r="H101" s="11">
        <v>1300</v>
      </c>
      <c r="I101" s="4" t="str">
        <f>_xlfn.XLOOKUP(D101,'Sales Manager'!$A$2:$A$6,'Sales Manager'!$B$2:$B$6,"")</f>
        <v>Musa Garba</v>
      </c>
      <c r="J101" s="12">
        <v>9</v>
      </c>
      <c r="K101" s="12">
        <v>7</v>
      </c>
    </row>
    <row r="102" spans="1:11" x14ac:dyDescent="0.3">
      <c r="A102" s="2">
        <v>101</v>
      </c>
      <c r="B102" s="2">
        <f t="shared" si="3"/>
        <v>101</v>
      </c>
      <c r="C102" s="1" t="str">
        <f>VLOOKUP(B102,Products!A:C,2,FALSE)</f>
        <v>Orange</v>
      </c>
      <c r="D102" s="1" t="str">
        <f t="shared" si="4"/>
        <v>Kaduna</v>
      </c>
      <c r="E102" s="3">
        <f t="shared" si="7"/>
        <v>5</v>
      </c>
      <c r="F102" s="1" t="str">
        <f t="shared" si="7"/>
        <v>May</v>
      </c>
      <c r="G102" s="11">
        <v>600</v>
      </c>
      <c r="H102" s="11">
        <v>300</v>
      </c>
      <c r="I102" s="4" t="str">
        <f>_xlfn.XLOOKUP(D102,'Sales Manager'!$A$2:$A$6,'Sales Manager'!$B$2:$B$6,"")</f>
        <v>Musa Garba</v>
      </c>
      <c r="J102" s="12">
        <v>8</v>
      </c>
      <c r="K102" s="12">
        <v>9</v>
      </c>
    </row>
    <row r="103" spans="1:11" x14ac:dyDescent="0.3">
      <c r="A103" s="2">
        <v>102</v>
      </c>
      <c r="B103" s="2">
        <f t="shared" si="3"/>
        <v>101</v>
      </c>
      <c r="C103" s="1" t="str">
        <f>VLOOKUP(B103,Products!A:C,2,FALSE)</f>
        <v>Orange</v>
      </c>
      <c r="D103" s="1" t="str">
        <f t="shared" si="4"/>
        <v>Kaduna</v>
      </c>
      <c r="E103" s="3">
        <f t="shared" si="7"/>
        <v>6</v>
      </c>
      <c r="F103" s="1" t="str">
        <f t="shared" si="7"/>
        <v>Jun</v>
      </c>
      <c r="G103" s="11">
        <v>1000</v>
      </c>
      <c r="H103" s="11">
        <v>800</v>
      </c>
      <c r="I103" s="4" t="str">
        <f>_xlfn.XLOOKUP(D103,'Sales Manager'!$A$2:$A$6,'Sales Manager'!$B$2:$B$6,"")</f>
        <v>Musa Garba</v>
      </c>
      <c r="J103" s="12">
        <v>7</v>
      </c>
      <c r="K103" s="12">
        <v>6</v>
      </c>
    </row>
    <row r="104" spans="1:11" x14ac:dyDescent="0.3">
      <c r="A104" s="2">
        <v>103</v>
      </c>
      <c r="B104" s="2">
        <f t="shared" si="3"/>
        <v>101</v>
      </c>
      <c r="C104" s="1" t="str">
        <f>VLOOKUP(B104,Products!A:C,2,FALSE)</f>
        <v>Orange</v>
      </c>
      <c r="D104" s="1" t="str">
        <f t="shared" si="4"/>
        <v>Kaduna</v>
      </c>
      <c r="E104" s="3">
        <f t="shared" si="7"/>
        <v>7</v>
      </c>
      <c r="F104" s="1" t="str">
        <f t="shared" si="7"/>
        <v>Jul</v>
      </c>
      <c r="G104" s="11">
        <v>1333.3333333333333</v>
      </c>
      <c r="H104" s="11">
        <v>733.33333333333326</v>
      </c>
      <c r="I104" s="4" t="str">
        <f>_xlfn.XLOOKUP(D104,'Sales Manager'!$A$2:$A$6,'Sales Manager'!$B$2:$B$6,"")</f>
        <v>Musa Garba</v>
      </c>
      <c r="J104" s="12">
        <v>10</v>
      </c>
      <c r="K104" s="12">
        <v>10</v>
      </c>
    </row>
    <row r="105" spans="1:11" x14ac:dyDescent="0.3">
      <c r="A105" s="2">
        <v>104</v>
      </c>
      <c r="B105" s="2">
        <f t="shared" si="3"/>
        <v>101</v>
      </c>
      <c r="C105" s="1" t="str">
        <f>VLOOKUP(B105,Products!A:C,2,FALSE)</f>
        <v>Orange</v>
      </c>
      <c r="D105" s="1" t="str">
        <f t="shared" si="4"/>
        <v>Kaduna</v>
      </c>
      <c r="E105" s="3">
        <f t="shared" si="7"/>
        <v>8</v>
      </c>
      <c r="F105" s="1" t="str">
        <f t="shared" si="7"/>
        <v>Aug</v>
      </c>
      <c r="G105" s="11">
        <v>1666.6666666666667</v>
      </c>
      <c r="H105" s="11">
        <v>1366.6666666666667</v>
      </c>
      <c r="I105" s="4" t="str">
        <f>_xlfn.XLOOKUP(D105,'Sales Manager'!$A$2:$A$6,'Sales Manager'!$B$2:$B$6,"")</f>
        <v>Musa Garba</v>
      </c>
      <c r="J105" s="12">
        <v>8</v>
      </c>
      <c r="K105" s="12">
        <v>5</v>
      </c>
    </row>
    <row r="106" spans="1:11" x14ac:dyDescent="0.3">
      <c r="A106" s="2">
        <v>105</v>
      </c>
      <c r="B106" s="2">
        <f t="shared" si="3"/>
        <v>101</v>
      </c>
      <c r="C106" s="1" t="str">
        <f>VLOOKUP(B106,Products!A:C,2,FALSE)</f>
        <v>Orange</v>
      </c>
      <c r="D106" s="1" t="str">
        <f t="shared" si="4"/>
        <v>Kaduna</v>
      </c>
      <c r="E106" s="3">
        <f t="shared" si="7"/>
        <v>9</v>
      </c>
      <c r="F106" s="1" t="str">
        <f t="shared" si="7"/>
        <v>Sept</v>
      </c>
      <c r="G106" s="11">
        <v>2000</v>
      </c>
      <c r="H106" s="11">
        <v>1500</v>
      </c>
      <c r="I106" s="4" t="str">
        <f>_xlfn.XLOOKUP(D106,'Sales Manager'!$A$2:$A$6,'Sales Manager'!$B$2:$B$6,"")</f>
        <v>Musa Garba</v>
      </c>
      <c r="J106" s="12">
        <v>6</v>
      </c>
      <c r="K106" s="12">
        <v>10</v>
      </c>
    </row>
    <row r="107" spans="1:11" x14ac:dyDescent="0.3">
      <c r="A107" s="2">
        <v>106</v>
      </c>
      <c r="B107" s="2">
        <f t="shared" si="3"/>
        <v>101</v>
      </c>
      <c r="C107" s="1" t="str">
        <f>VLOOKUP(B107,Products!A:C,2,FALSE)</f>
        <v>Orange</v>
      </c>
      <c r="D107" s="1" t="str">
        <f t="shared" si="4"/>
        <v>Kaduna</v>
      </c>
      <c r="E107" s="3">
        <f t="shared" si="7"/>
        <v>10</v>
      </c>
      <c r="F107" s="1" t="str">
        <f t="shared" si="7"/>
        <v>Oct</v>
      </c>
      <c r="G107" s="11">
        <v>1200</v>
      </c>
      <c r="H107" s="11">
        <v>1000</v>
      </c>
      <c r="I107" s="4" t="str">
        <f>_xlfn.XLOOKUP(D107,'Sales Manager'!$A$2:$A$6,'Sales Manager'!$B$2:$B$6,"")</f>
        <v>Musa Garba</v>
      </c>
      <c r="J107" s="12">
        <v>6</v>
      </c>
      <c r="K107" s="12">
        <v>5</v>
      </c>
    </row>
    <row r="108" spans="1:11" x14ac:dyDescent="0.3">
      <c r="A108" s="2">
        <v>107</v>
      </c>
      <c r="B108" s="2">
        <f t="shared" si="3"/>
        <v>101</v>
      </c>
      <c r="C108" s="1" t="str">
        <f>VLOOKUP(B108,Products!A:C,2,FALSE)</f>
        <v>Orange</v>
      </c>
      <c r="D108" s="1" t="str">
        <f t="shared" si="4"/>
        <v>Kaduna</v>
      </c>
      <c r="E108" s="3">
        <f t="shared" si="7"/>
        <v>11</v>
      </c>
      <c r="F108" s="1" t="str">
        <f t="shared" si="7"/>
        <v>Nov</v>
      </c>
      <c r="G108" s="11">
        <v>1666.6666666666667</v>
      </c>
      <c r="H108" s="11">
        <v>866.66666666666674</v>
      </c>
      <c r="I108" s="4" t="str">
        <f>_xlfn.XLOOKUP(D108,'Sales Manager'!$A$2:$A$6,'Sales Manager'!$B$2:$B$6,"")</f>
        <v>Musa Garba</v>
      </c>
      <c r="J108" s="12">
        <v>9</v>
      </c>
      <c r="K108" s="12">
        <v>9</v>
      </c>
    </row>
    <row r="109" spans="1:11" x14ac:dyDescent="0.3">
      <c r="A109" s="2">
        <v>108</v>
      </c>
      <c r="B109" s="2">
        <f t="shared" si="3"/>
        <v>101</v>
      </c>
      <c r="C109" s="1" t="str">
        <f>VLOOKUP(B109,Products!A:C,2,FALSE)</f>
        <v>Orange</v>
      </c>
      <c r="D109" s="1" t="str">
        <f t="shared" si="4"/>
        <v>Kaduna</v>
      </c>
      <c r="E109" s="3">
        <f t="shared" si="7"/>
        <v>12</v>
      </c>
      <c r="F109" s="1" t="str">
        <f t="shared" si="7"/>
        <v>Dec</v>
      </c>
      <c r="G109" s="11">
        <v>2000</v>
      </c>
      <c r="H109" s="11">
        <v>1400</v>
      </c>
      <c r="I109" s="4" t="str">
        <f>_xlfn.XLOOKUP(D109,'Sales Manager'!$A$2:$A$6,'Sales Manager'!$B$2:$B$6,"")</f>
        <v>Musa Garba</v>
      </c>
      <c r="J109" s="12">
        <v>7</v>
      </c>
      <c r="K109" s="12">
        <v>9</v>
      </c>
    </row>
    <row r="110" spans="1:11" x14ac:dyDescent="0.3">
      <c r="A110" s="2">
        <v>109</v>
      </c>
      <c r="B110" s="2">
        <f t="shared" si="3"/>
        <v>101</v>
      </c>
      <c r="C110" s="1" t="str">
        <f>VLOOKUP(B110,Products!A:C,2,FALSE)</f>
        <v>Orange</v>
      </c>
      <c r="D110" s="1" t="str">
        <f t="shared" si="4"/>
        <v>Ibadan</v>
      </c>
      <c r="E110" s="3">
        <f t="shared" si="7"/>
        <v>1</v>
      </c>
      <c r="F110" s="1" t="str">
        <f t="shared" si="7"/>
        <v>Jan</v>
      </c>
      <c r="G110" s="11">
        <v>3000</v>
      </c>
      <c r="H110" s="11">
        <v>2600</v>
      </c>
      <c r="I110" s="4" t="str">
        <f>_xlfn.XLOOKUP(D110,'Sales Manager'!$A$2:$A$6,'Sales Manager'!$B$2:$B$6,"")</f>
        <v>Funmi Adeyemi</v>
      </c>
      <c r="J110" s="12">
        <v>10</v>
      </c>
      <c r="K110" s="12">
        <v>6</v>
      </c>
    </row>
    <row r="111" spans="1:11" x14ac:dyDescent="0.3">
      <c r="A111" s="2">
        <v>110</v>
      </c>
      <c r="B111" s="2">
        <f t="shared" si="3"/>
        <v>101</v>
      </c>
      <c r="C111" s="1" t="str">
        <f>VLOOKUP(B111,Products!A:C,2,FALSE)</f>
        <v>Orange</v>
      </c>
      <c r="D111" s="1" t="str">
        <f t="shared" si="4"/>
        <v>Ibadan</v>
      </c>
      <c r="E111" s="3">
        <f t="shared" ref="E111:F126" si="8">E99</f>
        <v>2</v>
      </c>
      <c r="F111" s="1" t="str">
        <f t="shared" si="8"/>
        <v>Feb</v>
      </c>
      <c r="G111" s="11">
        <v>2000</v>
      </c>
      <c r="H111" s="11">
        <v>1900</v>
      </c>
      <c r="I111" s="4" t="str">
        <f>_xlfn.XLOOKUP(D111,'Sales Manager'!$A$2:$A$6,'Sales Manager'!$B$2:$B$6,"")</f>
        <v>Funmi Adeyemi</v>
      </c>
      <c r="J111" s="12">
        <v>10</v>
      </c>
      <c r="K111" s="12">
        <v>5</v>
      </c>
    </row>
    <row r="112" spans="1:11" x14ac:dyDescent="0.3">
      <c r="A112" s="2">
        <v>111</v>
      </c>
      <c r="B112" s="2">
        <f t="shared" si="3"/>
        <v>101</v>
      </c>
      <c r="C112" s="1" t="str">
        <f>VLOOKUP(B112,Products!A:C,2,FALSE)</f>
        <v>Orange</v>
      </c>
      <c r="D112" s="1" t="str">
        <f t="shared" si="4"/>
        <v>Ibadan</v>
      </c>
      <c r="E112" s="3">
        <f t="shared" si="8"/>
        <v>3</v>
      </c>
      <c r="F112" s="1" t="str">
        <f t="shared" si="8"/>
        <v>Mar</v>
      </c>
      <c r="G112" s="11">
        <v>2333.3333333333335</v>
      </c>
      <c r="H112" s="11">
        <v>2133.3333333333335</v>
      </c>
      <c r="I112" s="4" t="str">
        <f>_xlfn.XLOOKUP(D112,'Sales Manager'!$A$2:$A$6,'Sales Manager'!$B$2:$B$6,"")</f>
        <v>Funmi Adeyemi</v>
      </c>
      <c r="J112" s="12">
        <v>10</v>
      </c>
      <c r="K112" s="12">
        <v>5</v>
      </c>
    </row>
    <row r="113" spans="1:11" x14ac:dyDescent="0.3">
      <c r="A113" s="2">
        <v>112</v>
      </c>
      <c r="B113" s="2">
        <f t="shared" si="3"/>
        <v>101</v>
      </c>
      <c r="C113" s="1" t="str">
        <f>VLOOKUP(B113,Products!A:C,2,FALSE)</f>
        <v>Orange</v>
      </c>
      <c r="D113" s="1" t="str">
        <f t="shared" si="4"/>
        <v>Ibadan</v>
      </c>
      <c r="E113" s="3">
        <f t="shared" si="8"/>
        <v>4</v>
      </c>
      <c r="F113" s="1" t="str">
        <f t="shared" si="8"/>
        <v>Apr</v>
      </c>
      <c r="G113" s="11">
        <v>333.33333333333331</v>
      </c>
      <c r="H113" s="11">
        <v>133.33333333333331</v>
      </c>
      <c r="I113" s="4" t="str">
        <f>_xlfn.XLOOKUP(D113,'Sales Manager'!$A$2:$A$6,'Sales Manager'!$B$2:$B$6,"")</f>
        <v>Funmi Adeyemi</v>
      </c>
      <c r="J113" s="12">
        <v>6</v>
      </c>
      <c r="K113" s="12">
        <v>8</v>
      </c>
    </row>
    <row r="114" spans="1:11" x14ac:dyDescent="0.3">
      <c r="A114" s="2">
        <v>113</v>
      </c>
      <c r="B114" s="2">
        <f t="shared" si="3"/>
        <v>101</v>
      </c>
      <c r="C114" s="1" t="str">
        <f>VLOOKUP(B114,Products!A:C,2,FALSE)</f>
        <v>Orange</v>
      </c>
      <c r="D114" s="1" t="str">
        <f t="shared" si="4"/>
        <v>Ibadan</v>
      </c>
      <c r="E114" s="3">
        <f t="shared" si="8"/>
        <v>5</v>
      </c>
      <c r="F114" s="1" t="str">
        <f t="shared" si="8"/>
        <v>May</v>
      </c>
      <c r="G114" s="11">
        <v>250</v>
      </c>
      <c r="H114" s="11">
        <v>150</v>
      </c>
      <c r="I114" s="4" t="str">
        <f>_xlfn.XLOOKUP(D114,'Sales Manager'!$A$2:$A$6,'Sales Manager'!$B$2:$B$6,"")</f>
        <v>Funmi Adeyemi</v>
      </c>
      <c r="J114" s="12">
        <v>8</v>
      </c>
      <c r="K114" s="12">
        <v>10</v>
      </c>
    </row>
    <row r="115" spans="1:11" x14ac:dyDescent="0.3">
      <c r="A115" s="2">
        <v>114</v>
      </c>
      <c r="B115" s="2">
        <f t="shared" si="3"/>
        <v>101</v>
      </c>
      <c r="C115" s="1" t="str">
        <f>VLOOKUP(B115,Products!A:C,2,FALSE)</f>
        <v>Orange</v>
      </c>
      <c r="D115" s="1" t="str">
        <f t="shared" si="4"/>
        <v>Ibadan</v>
      </c>
      <c r="E115" s="3">
        <f t="shared" si="8"/>
        <v>6</v>
      </c>
      <c r="F115" s="1" t="str">
        <f t="shared" si="8"/>
        <v>Jun</v>
      </c>
      <c r="G115" s="11">
        <v>500</v>
      </c>
      <c r="H115" s="11">
        <v>500</v>
      </c>
      <c r="I115" s="4" t="str">
        <f>_xlfn.XLOOKUP(D115,'Sales Manager'!$A$2:$A$6,'Sales Manager'!$B$2:$B$6,"")</f>
        <v>Funmi Adeyemi</v>
      </c>
      <c r="J115" s="12">
        <v>5</v>
      </c>
      <c r="K115" s="12">
        <v>9</v>
      </c>
    </row>
    <row r="116" spans="1:11" x14ac:dyDescent="0.3">
      <c r="A116" s="2">
        <v>115</v>
      </c>
      <c r="B116" s="2">
        <f t="shared" si="3"/>
        <v>101</v>
      </c>
      <c r="C116" s="1" t="str">
        <f>VLOOKUP(B116,Products!A:C,2,FALSE)</f>
        <v>Orange</v>
      </c>
      <c r="D116" s="1" t="str">
        <f t="shared" si="4"/>
        <v>Ibadan</v>
      </c>
      <c r="E116" s="3">
        <f t="shared" si="8"/>
        <v>7</v>
      </c>
      <c r="F116" s="1" t="str">
        <f t="shared" si="8"/>
        <v>Jul</v>
      </c>
      <c r="G116" s="11">
        <v>400</v>
      </c>
      <c r="H116" s="11">
        <v>400</v>
      </c>
      <c r="I116" s="4" t="str">
        <f>_xlfn.XLOOKUP(D116,'Sales Manager'!$A$2:$A$6,'Sales Manager'!$B$2:$B$6,"")</f>
        <v>Funmi Adeyemi</v>
      </c>
      <c r="J116" s="12">
        <v>10</v>
      </c>
      <c r="K116" s="12">
        <v>10</v>
      </c>
    </row>
    <row r="117" spans="1:11" x14ac:dyDescent="0.3">
      <c r="A117" s="2">
        <v>116</v>
      </c>
      <c r="B117" s="2">
        <f t="shared" si="3"/>
        <v>101</v>
      </c>
      <c r="C117" s="1" t="str">
        <f>VLOOKUP(B117,Products!A:C,2,FALSE)</f>
        <v>Orange</v>
      </c>
      <c r="D117" s="1" t="str">
        <f t="shared" si="4"/>
        <v>Ibadan</v>
      </c>
      <c r="E117" s="3">
        <f t="shared" si="8"/>
        <v>8</v>
      </c>
      <c r="F117" s="1" t="str">
        <f t="shared" si="8"/>
        <v>Aug</v>
      </c>
      <c r="G117" s="11">
        <v>1000</v>
      </c>
      <c r="H117" s="11">
        <v>900</v>
      </c>
      <c r="I117" s="4" t="str">
        <f>_xlfn.XLOOKUP(D117,'Sales Manager'!$A$2:$A$6,'Sales Manager'!$B$2:$B$6,"")</f>
        <v>Funmi Adeyemi</v>
      </c>
      <c r="J117" s="12">
        <v>5</v>
      </c>
      <c r="K117" s="12">
        <v>5</v>
      </c>
    </row>
    <row r="118" spans="1:11" x14ac:dyDescent="0.3">
      <c r="A118" s="2">
        <v>117</v>
      </c>
      <c r="B118" s="2">
        <f t="shared" si="3"/>
        <v>101</v>
      </c>
      <c r="C118" s="1" t="str">
        <f>VLOOKUP(B118,Products!A:C,2,FALSE)</f>
        <v>Orange</v>
      </c>
      <c r="D118" s="1" t="str">
        <f t="shared" si="4"/>
        <v>Ibadan</v>
      </c>
      <c r="E118" s="3">
        <f t="shared" si="8"/>
        <v>9</v>
      </c>
      <c r="F118" s="1" t="str">
        <f t="shared" si="8"/>
        <v>Sept</v>
      </c>
      <c r="G118" s="11">
        <v>200</v>
      </c>
      <c r="H118" s="11">
        <v>800</v>
      </c>
      <c r="I118" s="4" t="str">
        <f>_xlfn.XLOOKUP(D118,'Sales Manager'!$A$2:$A$6,'Sales Manager'!$B$2:$B$6,"")</f>
        <v>Funmi Adeyemi</v>
      </c>
      <c r="J118" s="12">
        <v>10</v>
      </c>
      <c r="K118" s="12">
        <v>10</v>
      </c>
    </row>
    <row r="119" spans="1:11" x14ac:dyDescent="0.3">
      <c r="A119" s="2">
        <v>118</v>
      </c>
      <c r="B119" s="2">
        <f t="shared" si="3"/>
        <v>101</v>
      </c>
      <c r="C119" s="1" t="str">
        <f>VLOOKUP(B119,Products!A:C,2,FALSE)</f>
        <v>Orange</v>
      </c>
      <c r="D119" s="1" t="str">
        <f t="shared" si="4"/>
        <v>Ibadan</v>
      </c>
      <c r="E119" s="3">
        <f t="shared" si="8"/>
        <v>10</v>
      </c>
      <c r="F119" s="1" t="str">
        <f t="shared" si="8"/>
        <v>Oct</v>
      </c>
      <c r="G119" s="11">
        <v>2500</v>
      </c>
      <c r="H119" s="11">
        <v>2300</v>
      </c>
      <c r="I119" s="4" t="str">
        <f>_xlfn.XLOOKUP(D119,'Sales Manager'!$A$2:$A$6,'Sales Manager'!$B$2:$B$6,"")</f>
        <v>Funmi Adeyemi</v>
      </c>
      <c r="J119" s="12">
        <v>7</v>
      </c>
      <c r="K119" s="12">
        <v>5</v>
      </c>
    </row>
    <row r="120" spans="1:11" x14ac:dyDescent="0.3">
      <c r="A120" s="2">
        <v>119</v>
      </c>
      <c r="B120" s="2">
        <f t="shared" si="3"/>
        <v>101</v>
      </c>
      <c r="C120" s="1" t="str">
        <f>VLOOKUP(B120,Products!A:C,2,FALSE)</f>
        <v>Orange</v>
      </c>
      <c r="D120" s="1" t="str">
        <f t="shared" si="4"/>
        <v>Ibadan</v>
      </c>
      <c r="E120" s="3">
        <f t="shared" si="8"/>
        <v>11</v>
      </c>
      <c r="F120" s="1" t="str">
        <f t="shared" si="8"/>
        <v>Nov</v>
      </c>
      <c r="G120" s="11">
        <v>2500</v>
      </c>
      <c r="H120" s="11">
        <v>1800</v>
      </c>
      <c r="I120" s="4" t="str">
        <f>_xlfn.XLOOKUP(D120,'Sales Manager'!$A$2:$A$6,'Sales Manager'!$B$2:$B$6,"")</f>
        <v>Funmi Adeyemi</v>
      </c>
      <c r="J120" s="12">
        <v>7</v>
      </c>
      <c r="K120" s="12">
        <v>10</v>
      </c>
    </row>
    <row r="121" spans="1:11" x14ac:dyDescent="0.3">
      <c r="A121" s="2">
        <v>120</v>
      </c>
      <c r="B121" s="2">
        <f t="shared" si="3"/>
        <v>101</v>
      </c>
      <c r="C121" s="1" t="str">
        <f>VLOOKUP(B121,Products!A:C,2,FALSE)</f>
        <v>Orange</v>
      </c>
      <c r="D121" s="1" t="str">
        <f t="shared" si="4"/>
        <v>Ibadan</v>
      </c>
      <c r="E121" s="3">
        <f t="shared" si="8"/>
        <v>12</v>
      </c>
      <c r="F121" s="1" t="str">
        <f t="shared" si="8"/>
        <v>Dec</v>
      </c>
      <c r="G121" s="11">
        <v>1000</v>
      </c>
      <c r="H121" s="11">
        <v>800</v>
      </c>
      <c r="I121" s="4" t="str">
        <f>_xlfn.XLOOKUP(D121,'Sales Manager'!$A$2:$A$6,'Sales Manager'!$B$2:$B$6,"")</f>
        <v>Funmi Adeyemi</v>
      </c>
      <c r="J121" s="12">
        <v>5</v>
      </c>
      <c r="K121" s="12">
        <v>6</v>
      </c>
    </row>
    <row r="122" spans="1:11" x14ac:dyDescent="0.3">
      <c r="A122" s="2">
        <v>121</v>
      </c>
      <c r="B122" s="2">
        <f t="shared" si="3"/>
        <v>102</v>
      </c>
      <c r="C122" s="1" t="str">
        <f>VLOOKUP(B122,Products!A:C,2,FALSE)</f>
        <v>Banana</v>
      </c>
      <c r="D122" s="1" t="str">
        <f t="shared" si="4"/>
        <v>Lagos</v>
      </c>
      <c r="E122" s="3">
        <f t="shared" si="8"/>
        <v>1</v>
      </c>
      <c r="F122" s="1" t="str">
        <f t="shared" si="8"/>
        <v>Jan</v>
      </c>
      <c r="G122" s="11">
        <v>1500</v>
      </c>
      <c r="H122" s="11">
        <v>1500</v>
      </c>
      <c r="I122" s="4" t="str">
        <f>_xlfn.XLOOKUP(D122,'Sales Manager'!$A$2:$A$6,'Sales Manager'!$B$2:$B$6,"")</f>
        <v>Adaora Okafor</v>
      </c>
      <c r="J122" s="12">
        <v>8</v>
      </c>
      <c r="K122" s="12">
        <v>6</v>
      </c>
    </row>
    <row r="123" spans="1:11" x14ac:dyDescent="0.3">
      <c r="A123" s="2">
        <v>122</v>
      </c>
      <c r="B123" s="2">
        <f t="shared" si="3"/>
        <v>102</v>
      </c>
      <c r="C123" s="1" t="str">
        <f>VLOOKUP(B123,Products!A:C,2,FALSE)</f>
        <v>Banana</v>
      </c>
      <c r="D123" s="1" t="str">
        <f t="shared" si="4"/>
        <v>Lagos</v>
      </c>
      <c r="E123" s="3">
        <f t="shared" si="8"/>
        <v>2</v>
      </c>
      <c r="F123" s="1" t="str">
        <f t="shared" si="8"/>
        <v>Feb</v>
      </c>
      <c r="G123" s="11">
        <v>1000</v>
      </c>
      <c r="H123" s="11">
        <v>800</v>
      </c>
      <c r="I123" s="4" t="str">
        <f>_xlfn.XLOOKUP(D123,'Sales Manager'!$A$2:$A$6,'Sales Manager'!$B$2:$B$6,"")</f>
        <v>Adaora Okafor</v>
      </c>
      <c r="J123" s="12">
        <v>8</v>
      </c>
      <c r="K123" s="12">
        <v>5</v>
      </c>
    </row>
    <row r="124" spans="1:11" x14ac:dyDescent="0.3">
      <c r="A124" s="2">
        <v>123</v>
      </c>
      <c r="B124" s="2">
        <f t="shared" si="3"/>
        <v>102</v>
      </c>
      <c r="C124" s="1" t="str">
        <f>VLOOKUP(B124,Products!A:C,2,FALSE)</f>
        <v>Banana</v>
      </c>
      <c r="D124" s="1" t="str">
        <f t="shared" si="4"/>
        <v>Lagos</v>
      </c>
      <c r="E124" s="3">
        <f t="shared" si="8"/>
        <v>3</v>
      </c>
      <c r="F124" s="1" t="str">
        <f t="shared" si="8"/>
        <v>Mar</v>
      </c>
      <c r="G124" s="11">
        <v>2500</v>
      </c>
      <c r="H124" s="11">
        <v>2300</v>
      </c>
      <c r="I124" s="4" t="str">
        <f>_xlfn.XLOOKUP(D124,'Sales Manager'!$A$2:$A$6,'Sales Manager'!$B$2:$B$6,"")</f>
        <v>Adaora Okafor</v>
      </c>
      <c r="J124" s="12">
        <v>10</v>
      </c>
      <c r="K124" s="12">
        <v>5</v>
      </c>
    </row>
    <row r="125" spans="1:11" x14ac:dyDescent="0.3">
      <c r="A125" s="2">
        <v>124</v>
      </c>
      <c r="B125" s="2">
        <f t="shared" si="3"/>
        <v>102</v>
      </c>
      <c r="C125" s="1" t="str">
        <f>VLOOKUP(B125,Products!A:C,2,FALSE)</f>
        <v>Banana</v>
      </c>
      <c r="D125" s="1" t="str">
        <f t="shared" si="4"/>
        <v>Lagos</v>
      </c>
      <c r="E125" s="3">
        <f t="shared" si="8"/>
        <v>4</v>
      </c>
      <c r="F125" s="1" t="str">
        <f t="shared" si="8"/>
        <v>Apr</v>
      </c>
      <c r="G125" s="11">
        <v>200</v>
      </c>
      <c r="H125" s="11">
        <v>500</v>
      </c>
      <c r="I125" s="4" t="str">
        <f>_xlfn.XLOOKUP(D125,'Sales Manager'!$A$2:$A$6,'Sales Manager'!$B$2:$B$6,"")</f>
        <v>Adaora Okafor</v>
      </c>
      <c r="J125" s="12">
        <v>10</v>
      </c>
      <c r="K125" s="12">
        <v>6</v>
      </c>
    </row>
    <row r="126" spans="1:11" x14ac:dyDescent="0.3">
      <c r="A126" s="2">
        <v>125</v>
      </c>
      <c r="B126" s="2">
        <f t="shared" si="3"/>
        <v>102</v>
      </c>
      <c r="C126" s="1" t="str">
        <f>VLOOKUP(B126,Products!A:C,2,FALSE)</f>
        <v>Banana</v>
      </c>
      <c r="D126" s="1" t="str">
        <f t="shared" si="4"/>
        <v>Lagos</v>
      </c>
      <c r="E126" s="3">
        <f t="shared" si="8"/>
        <v>5</v>
      </c>
      <c r="F126" s="1" t="str">
        <f t="shared" si="8"/>
        <v>May</v>
      </c>
      <c r="G126" s="11">
        <v>250</v>
      </c>
      <c r="H126" s="11">
        <v>150</v>
      </c>
      <c r="I126" s="4" t="str">
        <f>_xlfn.XLOOKUP(D126,'Sales Manager'!$A$2:$A$6,'Sales Manager'!$B$2:$B$6,"")</f>
        <v>Adaora Okafor</v>
      </c>
      <c r="J126" s="12">
        <v>9</v>
      </c>
      <c r="K126" s="12">
        <v>5</v>
      </c>
    </row>
    <row r="127" spans="1:11" x14ac:dyDescent="0.3">
      <c r="A127" s="2">
        <v>126</v>
      </c>
      <c r="B127" s="2">
        <f t="shared" ref="B127:B190" si="9">B67+1</f>
        <v>102</v>
      </c>
      <c r="C127" s="1" t="str">
        <f>VLOOKUP(B127,Products!A:C,2,FALSE)</f>
        <v>Banana</v>
      </c>
      <c r="D127" s="1" t="str">
        <f t="shared" ref="D127:D190" si="10">D67</f>
        <v>Lagos</v>
      </c>
      <c r="E127" s="3">
        <f t="shared" ref="E127:F142" si="11">E115</f>
        <v>6</v>
      </c>
      <c r="F127" s="1" t="str">
        <f t="shared" si="11"/>
        <v>Jun</v>
      </c>
      <c r="G127" s="11">
        <v>1500</v>
      </c>
      <c r="H127" s="11">
        <v>800</v>
      </c>
      <c r="I127" s="4" t="str">
        <f>_xlfn.XLOOKUP(D127,'Sales Manager'!$A$2:$A$6,'Sales Manager'!$B$2:$B$6,"")</f>
        <v>Adaora Okafor</v>
      </c>
      <c r="J127" s="12">
        <v>10</v>
      </c>
      <c r="K127" s="12">
        <v>9</v>
      </c>
    </row>
    <row r="128" spans="1:11" x14ac:dyDescent="0.3">
      <c r="A128" s="2">
        <v>127</v>
      </c>
      <c r="B128" s="2">
        <f t="shared" si="9"/>
        <v>102</v>
      </c>
      <c r="C128" s="1" t="str">
        <f>VLOOKUP(B128,Products!A:C,2,FALSE)</f>
        <v>Banana</v>
      </c>
      <c r="D128" s="1" t="str">
        <f t="shared" si="10"/>
        <v>Lagos</v>
      </c>
      <c r="E128" s="3">
        <f t="shared" si="11"/>
        <v>7</v>
      </c>
      <c r="F128" s="1" t="str">
        <f t="shared" si="11"/>
        <v>Jul</v>
      </c>
      <c r="G128" s="11">
        <v>1000</v>
      </c>
      <c r="H128" s="11">
        <v>300</v>
      </c>
      <c r="I128" s="4" t="str">
        <f>_xlfn.XLOOKUP(D128,'Sales Manager'!$A$2:$A$6,'Sales Manager'!$B$2:$B$6,"")</f>
        <v>Adaora Okafor</v>
      </c>
      <c r="J128" s="12">
        <v>10</v>
      </c>
      <c r="K128" s="12">
        <v>8</v>
      </c>
    </row>
    <row r="129" spans="1:11" x14ac:dyDescent="0.3">
      <c r="A129" s="2">
        <v>128</v>
      </c>
      <c r="B129" s="2">
        <f t="shared" si="9"/>
        <v>102</v>
      </c>
      <c r="C129" s="1" t="str">
        <f>VLOOKUP(B129,Products!A:C,2,FALSE)</f>
        <v>Banana</v>
      </c>
      <c r="D129" s="1" t="str">
        <f t="shared" si="10"/>
        <v>Lagos</v>
      </c>
      <c r="E129" s="3">
        <f t="shared" si="11"/>
        <v>8</v>
      </c>
      <c r="F129" s="1" t="str">
        <f t="shared" si="11"/>
        <v>Aug</v>
      </c>
      <c r="G129" s="11">
        <v>2000</v>
      </c>
      <c r="H129" s="11">
        <v>1900</v>
      </c>
      <c r="I129" s="4" t="str">
        <f>_xlfn.XLOOKUP(D129,'Sales Manager'!$A$2:$A$6,'Sales Manager'!$B$2:$B$6,"")</f>
        <v>Adaora Okafor</v>
      </c>
      <c r="J129" s="12">
        <v>8</v>
      </c>
      <c r="K129" s="12">
        <v>5</v>
      </c>
    </row>
    <row r="130" spans="1:11" x14ac:dyDescent="0.3">
      <c r="A130" s="2">
        <v>129</v>
      </c>
      <c r="B130" s="2">
        <f t="shared" si="9"/>
        <v>102</v>
      </c>
      <c r="C130" s="1" t="str">
        <f>VLOOKUP(B130,Products!A:C,2,FALSE)</f>
        <v>Banana</v>
      </c>
      <c r="D130" s="1" t="str">
        <f t="shared" si="10"/>
        <v>Lagos</v>
      </c>
      <c r="E130" s="3">
        <f t="shared" si="11"/>
        <v>9</v>
      </c>
      <c r="F130" s="1" t="str">
        <f t="shared" si="11"/>
        <v>Sept</v>
      </c>
      <c r="G130" s="11">
        <v>1500</v>
      </c>
      <c r="H130" s="11">
        <v>1100</v>
      </c>
      <c r="I130" s="4" t="str">
        <f>_xlfn.XLOOKUP(D130,'Sales Manager'!$A$2:$A$6,'Sales Manager'!$B$2:$B$6,"")</f>
        <v>Adaora Okafor</v>
      </c>
      <c r="J130" s="12">
        <v>6</v>
      </c>
      <c r="K130" s="12">
        <v>5</v>
      </c>
    </row>
    <row r="131" spans="1:11" x14ac:dyDescent="0.3">
      <c r="A131" s="2">
        <v>130</v>
      </c>
      <c r="B131" s="2">
        <f t="shared" si="9"/>
        <v>102</v>
      </c>
      <c r="C131" s="1" t="str">
        <f>VLOOKUP(B131,Products!A:C,2,FALSE)</f>
        <v>Banana</v>
      </c>
      <c r="D131" s="1" t="str">
        <f t="shared" si="10"/>
        <v>Lagos</v>
      </c>
      <c r="E131" s="3">
        <f t="shared" si="11"/>
        <v>10</v>
      </c>
      <c r="F131" s="1" t="str">
        <f t="shared" si="11"/>
        <v>Oct</v>
      </c>
      <c r="G131" s="11">
        <v>1333.3333333333333</v>
      </c>
      <c r="H131" s="11">
        <v>933.33333333333326</v>
      </c>
      <c r="I131" s="4" t="str">
        <f>_xlfn.XLOOKUP(D131,'Sales Manager'!$A$2:$A$6,'Sales Manager'!$B$2:$B$6,"")</f>
        <v>Adaora Okafor</v>
      </c>
      <c r="J131" s="12">
        <v>9</v>
      </c>
      <c r="K131" s="12">
        <v>6</v>
      </c>
    </row>
    <row r="132" spans="1:11" x14ac:dyDescent="0.3">
      <c r="A132" s="2">
        <v>131</v>
      </c>
      <c r="B132" s="2">
        <f t="shared" si="9"/>
        <v>102</v>
      </c>
      <c r="C132" s="1" t="str">
        <f>VLOOKUP(B132,Products!A:C,2,FALSE)</f>
        <v>Banana</v>
      </c>
      <c r="D132" s="1" t="str">
        <f t="shared" si="10"/>
        <v>Lagos</v>
      </c>
      <c r="E132" s="3">
        <f t="shared" si="11"/>
        <v>11</v>
      </c>
      <c r="F132" s="1" t="str">
        <f t="shared" si="11"/>
        <v>Nov</v>
      </c>
      <c r="G132" s="11">
        <v>1200</v>
      </c>
      <c r="H132" s="11">
        <v>1100</v>
      </c>
      <c r="I132" s="4" t="str">
        <f>_xlfn.XLOOKUP(D132,'Sales Manager'!$A$2:$A$6,'Sales Manager'!$B$2:$B$6,"")</f>
        <v>Adaora Okafor</v>
      </c>
      <c r="J132" s="12">
        <v>9</v>
      </c>
      <c r="K132" s="12">
        <v>8</v>
      </c>
    </row>
    <row r="133" spans="1:11" x14ac:dyDescent="0.3">
      <c r="A133" s="2">
        <v>132</v>
      </c>
      <c r="B133" s="2">
        <f t="shared" si="9"/>
        <v>102</v>
      </c>
      <c r="C133" s="1" t="str">
        <f>VLOOKUP(B133,Products!A:C,2,FALSE)</f>
        <v>Banana</v>
      </c>
      <c r="D133" s="1" t="str">
        <f t="shared" si="10"/>
        <v>Lagos</v>
      </c>
      <c r="E133" s="3">
        <f t="shared" si="11"/>
        <v>12</v>
      </c>
      <c r="F133" s="1" t="str">
        <f t="shared" si="11"/>
        <v>Dec</v>
      </c>
      <c r="G133" s="11">
        <v>800</v>
      </c>
      <c r="H133" s="11">
        <v>600</v>
      </c>
      <c r="I133" s="4" t="str">
        <f>_xlfn.XLOOKUP(D133,'Sales Manager'!$A$2:$A$6,'Sales Manager'!$B$2:$B$6,"")</f>
        <v>Adaora Okafor</v>
      </c>
      <c r="J133" s="12">
        <v>6</v>
      </c>
      <c r="K133" s="12">
        <v>5</v>
      </c>
    </row>
    <row r="134" spans="1:11" x14ac:dyDescent="0.3">
      <c r="A134" s="2">
        <v>133</v>
      </c>
      <c r="B134" s="2">
        <f t="shared" si="9"/>
        <v>102</v>
      </c>
      <c r="C134" s="1" t="str">
        <f>VLOOKUP(B134,Products!A:C,2,FALSE)</f>
        <v>Banana</v>
      </c>
      <c r="D134" s="1" t="str">
        <f t="shared" si="10"/>
        <v>Abuja</v>
      </c>
      <c r="E134" s="3">
        <f t="shared" si="11"/>
        <v>1</v>
      </c>
      <c r="F134" s="1" t="str">
        <f t="shared" si="11"/>
        <v>Jan</v>
      </c>
      <c r="G134" s="11">
        <v>1200</v>
      </c>
      <c r="H134" s="11">
        <v>1200</v>
      </c>
      <c r="I134" s="4" t="str">
        <f>_xlfn.XLOOKUP(D134,'Sales Manager'!$A$2:$A$6,'Sales Manager'!$B$2:$B$6,"")</f>
        <v>Emeka Nwosu</v>
      </c>
      <c r="J134" s="12">
        <v>6</v>
      </c>
      <c r="K134" s="12">
        <v>10</v>
      </c>
    </row>
    <row r="135" spans="1:11" x14ac:dyDescent="0.3">
      <c r="A135" s="2">
        <v>134</v>
      </c>
      <c r="B135" s="2">
        <f t="shared" si="9"/>
        <v>102</v>
      </c>
      <c r="C135" s="1" t="str">
        <f>VLOOKUP(B135,Products!A:C,2,FALSE)</f>
        <v>Banana</v>
      </c>
      <c r="D135" s="1" t="str">
        <f t="shared" si="10"/>
        <v>Abuja</v>
      </c>
      <c r="E135" s="3">
        <f t="shared" si="11"/>
        <v>2</v>
      </c>
      <c r="F135" s="1" t="str">
        <f t="shared" si="11"/>
        <v>Feb</v>
      </c>
      <c r="G135" s="11">
        <v>750</v>
      </c>
      <c r="H135" s="11">
        <v>350</v>
      </c>
      <c r="I135" s="4" t="str">
        <f>_xlfn.XLOOKUP(D135,'Sales Manager'!$A$2:$A$6,'Sales Manager'!$B$2:$B$6,"")</f>
        <v>Emeka Nwosu</v>
      </c>
      <c r="J135" s="12">
        <v>7</v>
      </c>
      <c r="K135" s="12">
        <v>9</v>
      </c>
    </row>
    <row r="136" spans="1:11" x14ac:dyDescent="0.3">
      <c r="A136" s="2">
        <v>135</v>
      </c>
      <c r="B136" s="2">
        <f t="shared" si="9"/>
        <v>102</v>
      </c>
      <c r="C136" s="1" t="str">
        <f>VLOOKUP(B136,Products!A:C,2,FALSE)</f>
        <v>Banana</v>
      </c>
      <c r="D136" s="1" t="str">
        <f t="shared" si="10"/>
        <v>Abuja</v>
      </c>
      <c r="E136" s="3">
        <f t="shared" si="11"/>
        <v>3</v>
      </c>
      <c r="F136" s="1" t="str">
        <f t="shared" si="11"/>
        <v>Mar</v>
      </c>
      <c r="G136" s="11">
        <v>500</v>
      </c>
      <c r="H136" s="11">
        <v>500</v>
      </c>
      <c r="I136" s="4" t="str">
        <f>_xlfn.XLOOKUP(D136,'Sales Manager'!$A$2:$A$6,'Sales Manager'!$B$2:$B$6,"")</f>
        <v>Emeka Nwosu</v>
      </c>
      <c r="J136" s="12">
        <v>7</v>
      </c>
      <c r="K136" s="12">
        <v>10</v>
      </c>
    </row>
    <row r="137" spans="1:11" x14ac:dyDescent="0.3">
      <c r="A137" s="2">
        <v>136</v>
      </c>
      <c r="B137" s="2">
        <f t="shared" si="9"/>
        <v>102</v>
      </c>
      <c r="C137" s="1" t="str">
        <f>VLOOKUP(B137,Products!A:C,2,FALSE)</f>
        <v>Banana</v>
      </c>
      <c r="D137" s="1" t="str">
        <f t="shared" si="10"/>
        <v>Abuja</v>
      </c>
      <c r="E137" s="3">
        <f t="shared" si="11"/>
        <v>4</v>
      </c>
      <c r="F137" s="1" t="str">
        <f t="shared" si="11"/>
        <v>Apr</v>
      </c>
      <c r="G137" s="11">
        <v>1333.3333333333333</v>
      </c>
      <c r="H137" s="11">
        <v>833.33333333333326</v>
      </c>
      <c r="I137" s="4" t="str">
        <f>_xlfn.XLOOKUP(D137,'Sales Manager'!$A$2:$A$6,'Sales Manager'!$B$2:$B$6,"")</f>
        <v>Emeka Nwosu</v>
      </c>
      <c r="J137" s="12">
        <v>9</v>
      </c>
      <c r="K137" s="12">
        <v>7</v>
      </c>
    </row>
    <row r="138" spans="1:11" x14ac:dyDescent="0.3">
      <c r="A138" s="2">
        <v>137</v>
      </c>
      <c r="B138" s="2">
        <f t="shared" si="9"/>
        <v>102</v>
      </c>
      <c r="C138" s="1" t="str">
        <f>VLOOKUP(B138,Products!A:C,2,FALSE)</f>
        <v>Banana</v>
      </c>
      <c r="D138" s="1" t="str">
        <f t="shared" si="10"/>
        <v>Abuja</v>
      </c>
      <c r="E138" s="3">
        <f t="shared" si="11"/>
        <v>5</v>
      </c>
      <c r="F138" s="1" t="str">
        <f t="shared" si="11"/>
        <v>May</v>
      </c>
      <c r="G138" s="11">
        <v>1000</v>
      </c>
      <c r="H138" s="11">
        <v>1000</v>
      </c>
      <c r="I138" s="4" t="str">
        <f>_xlfn.XLOOKUP(D138,'Sales Manager'!$A$2:$A$6,'Sales Manager'!$B$2:$B$6,"")</f>
        <v>Emeka Nwosu</v>
      </c>
      <c r="J138" s="12">
        <v>9</v>
      </c>
      <c r="K138" s="12">
        <v>7</v>
      </c>
    </row>
    <row r="139" spans="1:11" x14ac:dyDescent="0.3">
      <c r="A139" s="2">
        <v>138</v>
      </c>
      <c r="B139" s="2">
        <f t="shared" si="9"/>
        <v>102</v>
      </c>
      <c r="C139" s="1" t="str">
        <f>VLOOKUP(B139,Products!A:C,2,FALSE)</f>
        <v>Banana</v>
      </c>
      <c r="D139" s="1" t="str">
        <f t="shared" si="10"/>
        <v>Abuja</v>
      </c>
      <c r="E139" s="3">
        <f t="shared" si="11"/>
        <v>6</v>
      </c>
      <c r="F139" s="1" t="str">
        <f t="shared" si="11"/>
        <v>Jun</v>
      </c>
      <c r="G139" s="11">
        <v>500</v>
      </c>
      <c r="H139" s="11">
        <v>500</v>
      </c>
      <c r="I139" s="4" t="str">
        <f>_xlfn.XLOOKUP(D139,'Sales Manager'!$A$2:$A$6,'Sales Manager'!$B$2:$B$6,"")</f>
        <v>Emeka Nwosu</v>
      </c>
      <c r="J139" s="12">
        <v>7</v>
      </c>
      <c r="K139" s="12">
        <v>10</v>
      </c>
    </row>
    <row r="140" spans="1:11" x14ac:dyDescent="0.3">
      <c r="A140" s="2">
        <v>139</v>
      </c>
      <c r="B140" s="2">
        <f t="shared" si="9"/>
        <v>102</v>
      </c>
      <c r="C140" s="1" t="str">
        <f>VLOOKUP(B140,Products!A:C,2,FALSE)</f>
        <v>Banana</v>
      </c>
      <c r="D140" s="1" t="str">
        <f t="shared" si="10"/>
        <v>Abuja</v>
      </c>
      <c r="E140" s="3">
        <f t="shared" si="11"/>
        <v>7</v>
      </c>
      <c r="F140" s="1" t="str">
        <f t="shared" si="11"/>
        <v>Jul</v>
      </c>
      <c r="G140" s="11">
        <v>500</v>
      </c>
      <c r="H140" s="11">
        <v>300</v>
      </c>
      <c r="I140" s="4" t="str">
        <f>_xlfn.XLOOKUP(D140,'Sales Manager'!$A$2:$A$6,'Sales Manager'!$B$2:$B$6,"")</f>
        <v>Emeka Nwosu</v>
      </c>
      <c r="J140" s="12">
        <v>5</v>
      </c>
      <c r="K140" s="12">
        <v>7</v>
      </c>
    </row>
    <row r="141" spans="1:11" x14ac:dyDescent="0.3">
      <c r="A141" s="2">
        <v>140</v>
      </c>
      <c r="B141" s="2">
        <f t="shared" si="9"/>
        <v>102</v>
      </c>
      <c r="C141" s="1" t="str">
        <f>VLOOKUP(B141,Products!A:C,2,FALSE)</f>
        <v>Banana</v>
      </c>
      <c r="D141" s="1" t="str">
        <f t="shared" si="10"/>
        <v>Abuja</v>
      </c>
      <c r="E141" s="3">
        <f t="shared" si="11"/>
        <v>8</v>
      </c>
      <c r="F141" s="1" t="str">
        <f t="shared" si="11"/>
        <v>Aug</v>
      </c>
      <c r="G141" s="11">
        <v>3000</v>
      </c>
      <c r="H141" s="11">
        <v>2600</v>
      </c>
      <c r="I141" s="4" t="str">
        <f>_xlfn.XLOOKUP(D141,'Sales Manager'!$A$2:$A$6,'Sales Manager'!$B$2:$B$6,"")</f>
        <v>Emeka Nwosu</v>
      </c>
      <c r="J141" s="12">
        <v>7</v>
      </c>
      <c r="K141" s="12">
        <v>8</v>
      </c>
    </row>
    <row r="142" spans="1:11" x14ac:dyDescent="0.3">
      <c r="A142" s="2">
        <v>141</v>
      </c>
      <c r="B142" s="2">
        <f t="shared" si="9"/>
        <v>102</v>
      </c>
      <c r="C142" s="1" t="str">
        <f>VLOOKUP(B142,Products!A:C,2,FALSE)</f>
        <v>Banana</v>
      </c>
      <c r="D142" s="1" t="str">
        <f t="shared" si="10"/>
        <v>Abuja</v>
      </c>
      <c r="E142" s="3">
        <f t="shared" si="11"/>
        <v>9</v>
      </c>
      <c r="F142" s="1" t="str">
        <f t="shared" si="11"/>
        <v>Sept</v>
      </c>
      <c r="G142" s="11">
        <v>1600</v>
      </c>
      <c r="H142" s="11">
        <v>1500</v>
      </c>
      <c r="I142" s="4" t="str">
        <f>_xlfn.XLOOKUP(D142,'Sales Manager'!$A$2:$A$6,'Sales Manager'!$B$2:$B$6,"")</f>
        <v>Emeka Nwosu</v>
      </c>
      <c r="J142" s="12">
        <v>8</v>
      </c>
      <c r="K142" s="12">
        <v>6</v>
      </c>
    </row>
    <row r="143" spans="1:11" x14ac:dyDescent="0.3">
      <c r="A143" s="2">
        <v>142</v>
      </c>
      <c r="B143" s="2">
        <f t="shared" si="9"/>
        <v>102</v>
      </c>
      <c r="C143" s="1" t="str">
        <f>VLOOKUP(B143,Products!A:C,2,FALSE)</f>
        <v>Banana</v>
      </c>
      <c r="D143" s="1" t="str">
        <f t="shared" si="10"/>
        <v>Abuja</v>
      </c>
      <c r="E143" s="3">
        <f t="shared" ref="E143:F158" si="12">E131</f>
        <v>10</v>
      </c>
      <c r="F143" s="1" t="str">
        <f t="shared" si="12"/>
        <v>Oct</v>
      </c>
      <c r="G143" s="11">
        <v>3000</v>
      </c>
      <c r="H143" s="11">
        <v>2600</v>
      </c>
      <c r="I143" s="4" t="str">
        <f>_xlfn.XLOOKUP(D143,'Sales Manager'!$A$2:$A$6,'Sales Manager'!$B$2:$B$6,"")</f>
        <v>Emeka Nwosu</v>
      </c>
      <c r="J143" s="12">
        <v>5</v>
      </c>
      <c r="K143" s="12">
        <v>5</v>
      </c>
    </row>
    <row r="144" spans="1:11" x14ac:dyDescent="0.3">
      <c r="A144" s="2">
        <v>143</v>
      </c>
      <c r="B144" s="2">
        <f t="shared" si="9"/>
        <v>102</v>
      </c>
      <c r="C144" s="1" t="str">
        <f>VLOOKUP(B144,Products!A:C,2,FALSE)</f>
        <v>Banana</v>
      </c>
      <c r="D144" s="1" t="str">
        <f t="shared" si="10"/>
        <v>Abuja</v>
      </c>
      <c r="E144" s="3">
        <f t="shared" si="12"/>
        <v>11</v>
      </c>
      <c r="F144" s="1" t="str">
        <f t="shared" si="12"/>
        <v>Nov</v>
      </c>
      <c r="G144" s="11">
        <v>800</v>
      </c>
      <c r="H144" s="11">
        <v>200</v>
      </c>
      <c r="I144" s="4" t="str">
        <f>_xlfn.XLOOKUP(D144,'Sales Manager'!$A$2:$A$6,'Sales Manager'!$B$2:$B$6,"")</f>
        <v>Emeka Nwosu</v>
      </c>
      <c r="J144" s="12">
        <v>10</v>
      </c>
      <c r="K144" s="12">
        <v>10</v>
      </c>
    </row>
    <row r="145" spans="1:11" x14ac:dyDescent="0.3">
      <c r="A145" s="2">
        <v>144</v>
      </c>
      <c r="B145" s="2">
        <f t="shared" si="9"/>
        <v>102</v>
      </c>
      <c r="C145" s="1" t="str">
        <f>VLOOKUP(B145,Products!A:C,2,FALSE)</f>
        <v>Banana</v>
      </c>
      <c r="D145" s="1" t="str">
        <f t="shared" si="10"/>
        <v>Abuja</v>
      </c>
      <c r="E145" s="3">
        <f t="shared" si="12"/>
        <v>12</v>
      </c>
      <c r="F145" s="1" t="str">
        <f t="shared" si="12"/>
        <v>Dec</v>
      </c>
      <c r="G145" s="11">
        <v>3000</v>
      </c>
      <c r="H145" s="11">
        <v>2800</v>
      </c>
      <c r="I145" s="4" t="str">
        <f>_xlfn.XLOOKUP(D145,'Sales Manager'!$A$2:$A$6,'Sales Manager'!$B$2:$B$6,"")</f>
        <v>Emeka Nwosu</v>
      </c>
      <c r="J145" s="12">
        <v>5</v>
      </c>
      <c r="K145" s="12">
        <v>5</v>
      </c>
    </row>
    <row r="146" spans="1:11" x14ac:dyDescent="0.3">
      <c r="A146" s="2">
        <v>145</v>
      </c>
      <c r="B146" s="2">
        <f t="shared" si="9"/>
        <v>102</v>
      </c>
      <c r="C146" s="1" t="str">
        <f>VLOOKUP(B146,Products!A:C,2,FALSE)</f>
        <v>Banana</v>
      </c>
      <c r="D146" s="1" t="str">
        <f t="shared" si="10"/>
        <v>Warri</v>
      </c>
      <c r="E146" s="3">
        <f t="shared" si="12"/>
        <v>1</v>
      </c>
      <c r="F146" s="1" t="str">
        <f t="shared" si="12"/>
        <v>Jan</v>
      </c>
      <c r="G146" s="11">
        <v>400</v>
      </c>
      <c r="H146" s="11">
        <v>100</v>
      </c>
      <c r="I146" s="4" t="str">
        <f>_xlfn.XLOOKUP(D146,'Sales Manager'!$A$2:$A$6,'Sales Manager'!$B$2:$B$6,"")</f>
        <v>Gbenga Adesanya</v>
      </c>
      <c r="J146" s="12">
        <v>6</v>
      </c>
      <c r="K146" s="12">
        <v>8</v>
      </c>
    </row>
    <row r="147" spans="1:11" x14ac:dyDescent="0.3">
      <c r="A147" s="2">
        <v>146</v>
      </c>
      <c r="B147" s="2">
        <f t="shared" si="9"/>
        <v>102</v>
      </c>
      <c r="C147" s="1" t="str">
        <f>VLOOKUP(B147,Products!A:C,2,FALSE)</f>
        <v>Banana</v>
      </c>
      <c r="D147" s="1" t="str">
        <f t="shared" si="10"/>
        <v>Warri</v>
      </c>
      <c r="E147" s="3">
        <f t="shared" si="12"/>
        <v>2</v>
      </c>
      <c r="F147" s="1" t="str">
        <f t="shared" si="12"/>
        <v>Feb</v>
      </c>
      <c r="G147" s="11">
        <v>200</v>
      </c>
      <c r="H147" s="11">
        <v>600</v>
      </c>
      <c r="I147" s="4" t="str">
        <f>_xlfn.XLOOKUP(D147,'Sales Manager'!$A$2:$A$6,'Sales Manager'!$B$2:$B$6,"")</f>
        <v>Gbenga Adesanya</v>
      </c>
      <c r="J147" s="12">
        <v>8</v>
      </c>
      <c r="K147" s="12">
        <v>8</v>
      </c>
    </row>
    <row r="148" spans="1:11" x14ac:dyDescent="0.3">
      <c r="A148" s="2">
        <v>147</v>
      </c>
      <c r="B148" s="2">
        <f t="shared" si="9"/>
        <v>102</v>
      </c>
      <c r="C148" s="1" t="str">
        <f>VLOOKUP(B148,Products!A:C,2,FALSE)</f>
        <v>Banana</v>
      </c>
      <c r="D148" s="1" t="str">
        <f t="shared" si="10"/>
        <v>Warri</v>
      </c>
      <c r="E148" s="3">
        <f t="shared" si="12"/>
        <v>3</v>
      </c>
      <c r="F148" s="1" t="str">
        <f t="shared" si="12"/>
        <v>Mar</v>
      </c>
      <c r="G148" s="11">
        <v>500</v>
      </c>
      <c r="H148" s="11">
        <v>300</v>
      </c>
      <c r="I148" s="4" t="str">
        <f>_xlfn.XLOOKUP(D148,'Sales Manager'!$A$2:$A$6,'Sales Manager'!$B$2:$B$6,"")</f>
        <v>Gbenga Adesanya</v>
      </c>
      <c r="J148" s="12">
        <v>7</v>
      </c>
      <c r="K148" s="12">
        <v>6</v>
      </c>
    </row>
    <row r="149" spans="1:11" x14ac:dyDescent="0.3">
      <c r="A149" s="2">
        <v>148</v>
      </c>
      <c r="B149" s="2">
        <f t="shared" si="9"/>
        <v>102</v>
      </c>
      <c r="C149" s="1" t="str">
        <f>VLOOKUP(B149,Products!A:C,2,FALSE)</f>
        <v>Banana</v>
      </c>
      <c r="D149" s="1" t="str">
        <f t="shared" si="10"/>
        <v>Warri</v>
      </c>
      <c r="E149" s="3">
        <f t="shared" si="12"/>
        <v>4</v>
      </c>
      <c r="F149" s="1" t="str">
        <f t="shared" si="12"/>
        <v>Apr</v>
      </c>
      <c r="G149" s="11">
        <v>1333.3333333333333</v>
      </c>
      <c r="H149" s="11">
        <v>833.33333333333326</v>
      </c>
      <c r="I149" s="4" t="str">
        <f>_xlfn.XLOOKUP(D149,'Sales Manager'!$A$2:$A$6,'Sales Manager'!$B$2:$B$6,"")</f>
        <v>Gbenga Adesanya</v>
      </c>
      <c r="J149" s="12">
        <v>6</v>
      </c>
      <c r="K149" s="12">
        <v>6</v>
      </c>
    </row>
    <row r="150" spans="1:11" x14ac:dyDescent="0.3">
      <c r="A150" s="2">
        <v>149</v>
      </c>
      <c r="B150" s="2">
        <f t="shared" si="9"/>
        <v>102</v>
      </c>
      <c r="C150" s="1" t="str">
        <f>VLOOKUP(B150,Products!A:C,2,FALSE)</f>
        <v>Banana</v>
      </c>
      <c r="D150" s="1" t="str">
        <f t="shared" si="10"/>
        <v>Warri</v>
      </c>
      <c r="E150" s="3">
        <f t="shared" si="12"/>
        <v>5</v>
      </c>
      <c r="F150" s="1" t="str">
        <f t="shared" si="12"/>
        <v>May</v>
      </c>
      <c r="G150" s="11">
        <v>3500</v>
      </c>
      <c r="H150" s="11">
        <v>3000</v>
      </c>
      <c r="I150" s="4" t="str">
        <f>_xlfn.XLOOKUP(D150,'Sales Manager'!$A$2:$A$6,'Sales Manager'!$B$2:$B$6,"")</f>
        <v>Gbenga Adesanya</v>
      </c>
      <c r="J150" s="12">
        <v>10</v>
      </c>
      <c r="K150" s="12">
        <v>6</v>
      </c>
    </row>
    <row r="151" spans="1:11" x14ac:dyDescent="0.3">
      <c r="A151" s="2">
        <v>150</v>
      </c>
      <c r="B151" s="2">
        <f t="shared" si="9"/>
        <v>102</v>
      </c>
      <c r="C151" s="1" t="str">
        <f>VLOOKUP(B151,Products!A:C,2,FALSE)</f>
        <v>Banana</v>
      </c>
      <c r="D151" s="1" t="str">
        <f t="shared" si="10"/>
        <v>Warri</v>
      </c>
      <c r="E151" s="3">
        <f t="shared" si="12"/>
        <v>6</v>
      </c>
      <c r="F151" s="1" t="str">
        <f t="shared" si="12"/>
        <v>Jun</v>
      </c>
      <c r="G151" s="11">
        <v>3000</v>
      </c>
      <c r="H151" s="11">
        <v>3000</v>
      </c>
      <c r="I151" s="4" t="str">
        <f>_xlfn.XLOOKUP(D151,'Sales Manager'!$A$2:$A$6,'Sales Manager'!$B$2:$B$6,"")</f>
        <v>Gbenga Adesanya</v>
      </c>
      <c r="J151" s="12">
        <v>10</v>
      </c>
      <c r="K151" s="12">
        <v>8</v>
      </c>
    </row>
    <row r="152" spans="1:11" x14ac:dyDescent="0.3">
      <c r="A152" s="2">
        <v>151</v>
      </c>
      <c r="B152" s="2">
        <f t="shared" si="9"/>
        <v>102</v>
      </c>
      <c r="C152" s="1" t="str">
        <f>VLOOKUP(B152,Products!A:C,2,FALSE)</f>
        <v>Banana</v>
      </c>
      <c r="D152" s="1" t="str">
        <f t="shared" si="10"/>
        <v>Warri</v>
      </c>
      <c r="E152" s="3">
        <f t="shared" si="12"/>
        <v>7</v>
      </c>
      <c r="F152" s="1" t="str">
        <f t="shared" si="12"/>
        <v>Jul</v>
      </c>
      <c r="G152" s="11">
        <v>800</v>
      </c>
      <c r="H152" s="11">
        <v>200</v>
      </c>
      <c r="I152" s="4" t="str">
        <f>_xlfn.XLOOKUP(D152,'Sales Manager'!$A$2:$A$6,'Sales Manager'!$B$2:$B$6,"")</f>
        <v>Gbenga Adesanya</v>
      </c>
      <c r="J152" s="12">
        <v>9</v>
      </c>
      <c r="K152" s="12">
        <v>10</v>
      </c>
    </row>
    <row r="153" spans="1:11" x14ac:dyDescent="0.3">
      <c r="A153" s="2">
        <v>152</v>
      </c>
      <c r="B153" s="2">
        <f t="shared" si="9"/>
        <v>102</v>
      </c>
      <c r="C153" s="1" t="str">
        <f>VLOOKUP(B153,Products!A:C,2,FALSE)</f>
        <v>Banana</v>
      </c>
      <c r="D153" s="1" t="str">
        <f t="shared" si="10"/>
        <v>Warri</v>
      </c>
      <c r="E153" s="3">
        <f t="shared" si="12"/>
        <v>8</v>
      </c>
      <c r="F153" s="1" t="str">
        <f t="shared" si="12"/>
        <v>Aug</v>
      </c>
      <c r="G153" s="11">
        <v>666.66666666666663</v>
      </c>
      <c r="H153" s="11">
        <v>366.66666666666663</v>
      </c>
      <c r="I153" s="4" t="str">
        <f>_xlfn.XLOOKUP(D153,'Sales Manager'!$A$2:$A$6,'Sales Manager'!$B$2:$B$6,"")</f>
        <v>Gbenga Adesanya</v>
      </c>
      <c r="J153" s="12">
        <v>9</v>
      </c>
      <c r="K153" s="12">
        <v>5</v>
      </c>
    </row>
    <row r="154" spans="1:11" x14ac:dyDescent="0.3">
      <c r="A154" s="2">
        <v>153</v>
      </c>
      <c r="B154" s="2">
        <f t="shared" si="9"/>
        <v>102</v>
      </c>
      <c r="C154" s="1" t="str">
        <f>VLOOKUP(B154,Products!A:C,2,FALSE)</f>
        <v>Banana</v>
      </c>
      <c r="D154" s="1" t="str">
        <f t="shared" si="10"/>
        <v>Warri</v>
      </c>
      <c r="E154" s="3">
        <f t="shared" si="12"/>
        <v>9</v>
      </c>
      <c r="F154" s="1" t="str">
        <f t="shared" si="12"/>
        <v>Sept</v>
      </c>
      <c r="G154" s="11">
        <v>1500</v>
      </c>
      <c r="H154" s="11">
        <v>1100</v>
      </c>
      <c r="I154" s="4" t="str">
        <f>_xlfn.XLOOKUP(D154,'Sales Manager'!$A$2:$A$6,'Sales Manager'!$B$2:$B$6,"")</f>
        <v>Gbenga Adesanya</v>
      </c>
      <c r="J154" s="12">
        <v>6</v>
      </c>
      <c r="K154" s="12">
        <v>10</v>
      </c>
    </row>
    <row r="155" spans="1:11" x14ac:dyDescent="0.3">
      <c r="A155" s="2">
        <v>154</v>
      </c>
      <c r="B155" s="2">
        <f t="shared" si="9"/>
        <v>102</v>
      </c>
      <c r="C155" s="1" t="str">
        <f>VLOOKUP(B155,Products!A:C,2,FALSE)</f>
        <v>Banana</v>
      </c>
      <c r="D155" s="1" t="str">
        <f t="shared" si="10"/>
        <v>Warri</v>
      </c>
      <c r="E155" s="3">
        <f t="shared" si="12"/>
        <v>10</v>
      </c>
      <c r="F155" s="1" t="str">
        <f t="shared" si="12"/>
        <v>Oct</v>
      </c>
      <c r="G155" s="11">
        <v>1000</v>
      </c>
      <c r="H155" s="11">
        <v>500</v>
      </c>
      <c r="I155" s="4" t="str">
        <f>_xlfn.XLOOKUP(D155,'Sales Manager'!$A$2:$A$6,'Sales Manager'!$B$2:$B$6,"")</f>
        <v>Gbenga Adesanya</v>
      </c>
      <c r="J155" s="12">
        <v>10</v>
      </c>
      <c r="K155" s="12">
        <v>8</v>
      </c>
    </row>
    <row r="156" spans="1:11" x14ac:dyDescent="0.3">
      <c r="A156" s="2">
        <v>155</v>
      </c>
      <c r="B156" s="2">
        <f t="shared" si="9"/>
        <v>102</v>
      </c>
      <c r="C156" s="1" t="str">
        <f>VLOOKUP(B156,Products!A:C,2,FALSE)</f>
        <v>Banana</v>
      </c>
      <c r="D156" s="1" t="str">
        <f t="shared" si="10"/>
        <v>Warri</v>
      </c>
      <c r="E156" s="3">
        <f t="shared" si="12"/>
        <v>11</v>
      </c>
      <c r="F156" s="1" t="str">
        <f t="shared" si="12"/>
        <v>Nov</v>
      </c>
      <c r="G156" s="11">
        <v>500</v>
      </c>
      <c r="H156" s="11">
        <v>100</v>
      </c>
      <c r="I156" s="4" t="str">
        <f>_xlfn.XLOOKUP(D156,'Sales Manager'!$A$2:$A$6,'Sales Manager'!$B$2:$B$6,"")</f>
        <v>Gbenga Adesanya</v>
      </c>
      <c r="J156" s="12">
        <v>10</v>
      </c>
      <c r="K156" s="12">
        <v>5</v>
      </c>
    </row>
    <row r="157" spans="1:11" x14ac:dyDescent="0.3">
      <c r="A157" s="2">
        <v>156</v>
      </c>
      <c r="B157" s="2">
        <f t="shared" si="9"/>
        <v>102</v>
      </c>
      <c r="C157" s="1" t="str">
        <f>VLOOKUP(B157,Products!A:C,2,FALSE)</f>
        <v>Banana</v>
      </c>
      <c r="D157" s="1" t="str">
        <f t="shared" si="10"/>
        <v>Warri</v>
      </c>
      <c r="E157" s="3">
        <f t="shared" si="12"/>
        <v>12</v>
      </c>
      <c r="F157" s="1" t="str">
        <f t="shared" si="12"/>
        <v>Dec</v>
      </c>
      <c r="G157" s="11">
        <v>200</v>
      </c>
      <c r="H157" s="11">
        <v>200</v>
      </c>
      <c r="I157" s="4" t="str">
        <f>_xlfn.XLOOKUP(D157,'Sales Manager'!$A$2:$A$6,'Sales Manager'!$B$2:$B$6,"")</f>
        <v>Gbenga Adesanya</v>
      </c>
      <c r="J157" s="12">
        <v>7</v>
      </c>
      <c r="K157" s="12">
        <v>5</v>
      </c>
    </row>
    <row r="158" spans="1:11" x14ac:dyDescent="0.3">
      <c r="A158" s="2">
        <v>157</v>
      </c>
      <c r="B158" s="2">
        <f t="shared" si="9"/>
        <v>102</v>
      </c>
      <c r="C158" s="1" t="str">
        <f>VLOOKUP(B158,Products!A:C,2,FALSE)</f>
        <v>Banana</v>
      </c>
      <c r="D158" s="1" t="str">
        <f t="shared" si="10"/>
        <v>Kaduna</v>
      </c>
      <c r="E158" s="3">
        <f t="shared" si="12"/>
        <v>1</v>
      </c>
      <c r="F158" s="1" t="str">
        <f t="shared" si="12"/>
        <v>Jan</v>
      </c>
      <c r="G158" s="11">
        <v>200</v>
      </c>
      <c r="H158" s="11">
        <v>100</v>
      </c>
      <c r="I158" s="4" t="str">
        <f>_xlfn.XLOOKUP(D158,'Sales Manager'!$A$2:$A$6,'Sales Manager'!$B$2:$B$6,"")</f>
        <v>Musa Garba</v>
      </c>
      <c r="J158" s="12">
        <v>7</v>
      </c>
      <c r="K158" s="12">
        <v>5</v>
      </c>
    </row>
    <row r="159" spans="1:11" x14ac:dyDescent="0.3">
      <c r="A159" s="2">
        <v>158</v>
      </c>
      <c r="B159" s="2">
        <f t="shared" si="9"/>
        <v>102</v>
      </c>
      <c r="C159" s="1" t="str">
        <f>VLOOKUP(B159,Products!A:C,2,FALSE)</f>
        <v>Banana</v>
      </c>
      <c r="D159" s="1" t="str">
        <f t="shared" si="10"/>
        <v>Kaduna</v>
      </c>
      <c r="E159" s="3">
        <f t="shared" ref="E159:F174" si="13">E147</f>
        <v>2</v>
      </c>
      <c r="F159" s="1" t="str">
        <f t="shared" si="13"/>
        <v>Feb</v>
      </c>
      <c r="G159" s="11">
        <v>750</v>
      </c>
      <c r="H159" s="11">
        <v>750</v>
      </c>
      <c r="I159" s="4" t="str">
        <f>_xlfn.XLOOKUP(D159,'Sales Manager'!$A$2:$A$6,'Sales Manager'!$B$2:$B$6,"")</f>
        <v>Musa Garba</v>
      </c>
      <c r="J159" s="12">
        <v>8</v>
      </c>
      <c r="K159" s="12">
        <v>6</v>
      </c>
    </row>
    <row r="160" spans="1:11" x14ac:dyDescent="0.3">
      <c r="A160" s="2">
        <v>159</v>
      </c>
      <c r="B160" s="2">
        <f t="shared" si="9"/>
        <v>102</v>
      </c>
      <c r="C160" s="1" t="str">
        <f>VLOOKUP(B160,Products!A:C,2,FALSE)</f>
        <v>Banana</v>
      </c>
      <c r="D160" s="1" t="str">
        <f t="shared" si="10"/>
        <v>Kaduna</v>
      </c>
      <c r="E160" s="3">
        <f t="shared" si="13"/>
        <v>3</v>
      </c>
      <c r="F160" s="1" t="str">
        <f t="shared" si="13"/>
        <v>Mar</v>
      </c>
      <c r="G160" s="11">
        <v>1333.3333333333333</v>
      </c>
      <c r="H160" s="11">
        <v>633.33333333333326</v>
      </c>
      <c r="I160" s="4" t="str">
        <f>_xlfn.XLOOKUP(D160,'Sales Manager'!$A$2:$A$6,'Sales Manager'!$B$2:$B$6,"")</f>
        <v>Musa Garba</v>
      </c>
      <c r="J160" s="12">
        <v>8</v>
      </c>
      <c r="K160" s="12">
        <v>9</v>
      </c>
    </row>
    <row r="161" spans="1:11" x14ac:dyDescent="0.3">
      <c r="A161" s="2">
        <v>160</v>
      </c>
      <c r="B161" s="2">
        <f t="shared" si="9"/>
        <v>102</v>
      </c>
      <c r="C161" s="1" t="str">
        <f>VLOOKUP(B161,Products!A:C,2,FALSE)</f>
        <v>Banana</v>
      </c>
      <c r="D161" s="1" t="str">
        <f t="shared" si="10"/>
        <v>Kaduna</v>
      </c>
      <c r="E161" s="3">
        <f t="shared" si="13"/>
        <v>4</v>
      </c>
      <c r="F161" s="1" t="str">
        <f t="shared" si="13"/>
        <v>Apr</v>
      </c>
      <c r="G161" s="11">
        <v>750</v>
      </c>
      <c r="H161" s="11">
        <v>550</v>
      </c>
      <c r="I161" s="4" t="str">
        <f>_xlfn.XLOOKUP(D161,'Sales Manager'!$A$2:$A$6,'Sales Manager'!$B$2:$B$6,"")</f>
        <v>Musa Garba</v>
      </c>
      <c r="J161" s="12">
        <v>8</v>
      </c>
      <c r="K161" s="12">
        <v>6</v>
      </c>
    </row>
    <row r="162" spans="1:11" x14ac:dyDescent="0.3">
      <c r="A162" s="2">
        <v>161</v>
      </c>
      <c r="B162" s="2">
        <f t="shared" si="9"/>
        <v>102</v>
      </c>
      <c r="C162" s="1" t="str">
        <f>VLOOKUP(B162,Products!A:C,2,FALSE)</f>
        <v>Banana</v>
      </c>
      <c r="D162" s="1" t="str">
        <f t="shared" si="10"/>
        <v>Kaduna</v>
      </c>
      <c r="E162" s="3">
        <f t="shared" si="13"/>
        <v>5</v>
      </c>
      <c r="F162" s="1" t="str">
        <f t="shared" si="13"/>
        <v>May</v>
      </c>
      <c r="G162" s="11">
        <v>2500</v>
      </c>
      <c r="H162" s="11">
        <v>2200</v>
      </c>
      <c r="I162" s="4" t="str">
        <f>_xlfn.XLOOKUP(D162,'Sales Manager'!$A$2:$A$6,'Sales Manager'!$B$2:$B$6,"")</f>
        <v>Musa Garba</v>
      </c>
      <c r="J162" s="12">
        <v>7</v>
      </c>
      <c r="K162" s="12">
        <v>7</v>
      </c>
    </row>
    <row r="163" spans="1:11" x14ac:dyDescent="0.3">
      <c r="A163" s="2">
        <v>162</v>
      </c>
      <c r="B163" s="2">
        <f t="shared" si="9"/>
        <v>102</v>
      </c>
      <c r="C163" s="1" t="str">
        <f>VLOOKUP(B163,Products!A:C,2,FALSE)</f>
        <v>Banana</v>
      </c>
      <c r="D163" s="1" t="str">
        <f t="shared" si="10"/>
        <v>Kaduna</v>
      </c>
      <c r="E163" s="3">
        <f t="shared" si="13"/>
        <v>6</v>
      </c>
      <c r="F163" s="1" t="str">
        <f t="shared" si="13"/>
        <v>Jun</v>
      </c>
      <c r="G163" s="11">
        <v>1250</v>
      </c>
      <c r="H163" s="11">
        <v>750</v>
      </c>
      <c r="I163" s="4" t="str">
        <f>_xlfn.XLOOKUP(D163,'Sales Manager'!$A$2:$A$6,'Sales Manager'!$B$2:$B$6,"")</f>
        <v>Musa Garba</v>
      </c>
      <c r="J163" s="12">
        <v>8</v>
      </c>
      <c r="K163" s="12">
        <v>8</v>
      </c>
    </row>
    <row r="164" spans="1:11" x14ac:dyDescent="0.3">
      <c r="A164" s="2">
        <v>163</v>
      </c>
      <c r="B164" s="2">
        <f t="shared" si="9"/>
        <v>102</v>
      </c>
      <c r="C164" s="1" t="str">
        <f>VLOOKUP(B164,Products!A:C,2,FALSE)</f>
        <v>Banana</v>
      </c>
      <c r="D164" s="1" t="str">
        <f t="shared" si="10"/>
        <v>Kaduna</v>
      </c>
      <c r="E164" s="3">
        <f t="shared" si="13"/>
        <v>7</v>
      </c>
      <c r="F164" s="1" t="str">
        <f t="shared" si="13"/>
        <v>Jul</v>
      </c>
      <c r="G164" s="11">
        <v>1750</v>
      </c>
      <c r="H164" s="11">
        <v>1350</v>
      </c>
      <c r="I164" s="4" t="str">
        <f>_xlfn.XLOOKUP(D164,'Sales Manager'!$A$2:$A$6,'Sales Manager'!$B$2:$B$6,"")</f>
        <v>Musa Garba</v>
      </c>
      <c r="J164" s="12">
        <v>10</v>
      </c>
      <c r="K164" s="12">
        <v>8</v>
      </c>
    </row>
    <row r="165" spans="1:11" x14ac:dyDescent="0.3">
      <c r="A165" s="2">
        <v>164</v>
      </c>
      <c r="B165" s="2">
        <f t="shared" si="9"/>
        <v>102</v>
      </c>
      <c r="C165" s="1" t="str">
        <f>VLOOKUP(B165,Products!A:C,2,FALSE)</f>
        <v>Banana</v>
      </c>
      <c r="D165" s="1" t="str">
        <f t="shared" si="10"/>
        <v>Kaduna</v>
      </c>
      <c r="E165" s="3">
        <f t="shared" si="13"/>
        <v>8</v>
      </c>
      <c r="F165" s="1" t="str">
        <f t="shared" si="13"/>
        <v>Aug</v>
      </c>
      <c r="G165" s="11">
        <v>400</v>
      </c>
      <c r="H165" s="11">
        <v>400</v>
      </c>
      <c r="I165" s="4" t="str">
        <f>_xlfn.XLOOKUP(D165,'Sales Manager'!$A$2:$A$6,'Sales Manager'!$B$2:$B$6,"")</f>
        <v>Musa Garba</v>
      </c>
      <c r="J165" s="12">
        <v>8</v>
      </c>
      <c r="K165" s="12">
        <v>8</v>
      </c>
    </row>
    <row r="166" spans="1:11" x14ac:dyDescent="0.3">
      <c r="A166" s="2">
        <v>165</v>
      </c>
      <c r="B166" s="2">
        <f t="shared" si="9"/>
        <v>102</v>
      </c>
      <c r="C166" s="1" t="str">
        <f>VLOOKUP(B166,Products!A:C,2,FALSE)</f>
        <v>Banana</v>
      </c>
      <c r="D166" s="1" t="str">
        <f t="shared" si="10"/>
        <v>Kaduna</v>
      </c>
      <c r="E166" s="3">
        <f t="shared" si="13"/>
        <v>9</v>
      </c>
      <c r="F166" s="1" t="str">
        <f t="shared" si="13"/>
        <v>Sept</v>
      </c>
      <c r="G166" s="11">
        <v>400</v>
      </c>
      <c r="H166" s="11">
        <v>100</v>
      </c>
      <c r="I166" s="4" t="str">
        <f>_xlfn.XLOOKUP(D166,'Sales Manager'!$A$2:$A$6,'Sales Manager'!$B$2:$B$6,"")</f>
        <v>Musa Garba</v>
      </c>
      <c r="J166" s="12">
        <v>9</v>
      </c>
      <c r="K166" s="12">
        <v>6</v>
      </c>
    </row>
    <row r="167" spans="1:11" x14ac:dyDescent="0.3">
      <c r="A167" s="2">
        <v>166</v>
      </c>
      <c r="B167" s="2">
        <f t="shared" si="9"/>
        <v>102</v>
      </c>
      <c r="C167" s="1" t="str">
        <f>VLOOKUP(B167,Products!A:C,2,FALSE)</f>
        <v>Banana</v>
      </c>
      <c r="D167" s="1" t="str">
        <f t="shared" si="10"/>
        <v>Kaduna</v>
      </c>
      <c r="E167" s="3">
        <f t="shared" si="13"/>
        <v>10</v>
      </c>
      <c r="F167" s="1" t="str">
        <f t="shared" si="13"/>
        <v>Oct</v>
      </c>
      <c r="G167" s="11">
        <v>1200</v>
      </c>
      <c r="H167" s="11">
        <v>800</v>
      </c>
      <c r="I167" s="4" t="str">
        <f>_xlfn.XLOOKUP(D167,'Sales Manager'!$A$2:$A$6,'Sales Manager'!$B$2:$B$6,"")</f>
        <v>Musa Garba</v>
      </c>
      <c r="J167" s="12">
        <v>5</v>
      </c>
      <c r="K167" s="12">
        <v>5</v>
      </c>
    </row>
    <row r="168" spans="1:11" x14ac:dyDescent="0.3">
      <c r="A168" s="2">
        <v>167</v>
      </c>
      <c r="B168" s="2">
        <f t="shared" si="9"/>
        <v>102</v>
      </c>
      <c r="C168" s="1" t="str">
        <f>VLOOKUP(B168,Products!A:C,2,FALSE)</f>
        <v>Banana</v>
      </c>
      <c r="D168" s="1" t="str">
        <f t="shared" si="10"/>
        <v>Kaduna</v>
      </c>
      <c r="E168" s="3">
        <f t="shared" si="13"/>
        <v>11</v>
      </c>
      <c r="F168" s="1" t="str">
        <f t="shared" si="13"/>
        <v>Nov</v>
      </c>
      <c r="G168" s="11">
        <v>2000</v>
      </c>
      <c r="H168" s="11">
        <v>1600</v>
      </c>
      <c r="I168" s="4" t="str">
        <f>_xlfn.XLOOKUP(D168,'Sales Manager'!$A$2:$A$6,'Sales Manager'!$B$2:$B$6,"")</f>
        <v>Musa Garba</v>
      </c>
      <c r="J168" s="12">
        <v>9</v>
      </c>
      <c r="K168" s="12">
        <v>5</v>
      </c>
    </row>
    <row r="169" spans="1:11" x14ac:dyDescent="0.3">
      <c r="A169" s="2">
        <v>168</v>
      </c>
      <c r="B169" s="2">
        <f t="shared" si="9"/>
        <v>102</v>
      </c>
      <c r="C169" s="1" t="str">
        <f>VLOOKUP(B169,Products!A:C,2,FALSE)</f>
        <v>Banana</v>
      </c>
      <c r="D169" s="1" t="str">
        <f t="shared" si="10"/>
        <v>Kaduna</v>
      </c>
      <c r="E169" s="3">
        <f t="shared" si="13"/>
        <v>12</v>
      </c>
      <c r="F169" s="1" t="str">
        <f t="shared" si="13"/>
        <v>Dec</v>
      </c>
      <c r="G169" s="11">
        <v>1400</v>
      </c>
      <c r="H169" s="11">
        <v>700</v>
      </c>
      <c r="I169" s="4" t="str">
        <f>_xlfn.XLOOKUP(D169,'Sales Manager'!$A$2:$A$6,'Sales Manager'!$B$2:$B$6,"")</f>
        <v>Musa Garba</v>
      </c>
      <c r="J169" s="12">
        <v>6</v>
      </c>
      <c r="K169" s="12">
        <v>9</v>
      </c>
    </row>
    <row r="170" spans="1:11" x14ac:dyDescent="0.3">
      <c r="A170" s="2">
        <v>169</v>
      </c>
      <c r="B170" s="2">
        <f t="shared" si="9"/>
        <v>102</v>
      </c>
      <c r="C170" s="1" t="str">
        <f>VLOOKUP(B170,Products!A:C,2,FALSE)</f>
        <v>Banana</v>
      </c>
      <c r="D170" s="1" t="str">
        <f t="shared" si="10"/>
        <v>Ibadan</v>
      </c>
      <c r="E170" s="3">
        <f t="shared" si="13"/>
        <v>1</v>
      </c>
      <c r="F170" s="1" t="str">
        <f t="shared" si="13"/>
        <v>Jan</v>
      </c>
      <c r="G170" s="11">
        <v>1000</v>
      </c>
      <c r="H170" s="11">
        <v>900</v>
      </c>
      <c r="I170" s="4" t="str">
        <f>_xlfn.XLOOKUP(D170,'Sales Manager'!$A$2:$A$6,'Sales Manager'!$B$2:$B$6,"")</f>
        <v>Funmi Adeyemi</v>
      </c>
      <c r="J170" s="12">
        <v>5</v>
      </c>
      <c r="K170" s="12">
        <v>8</v>
      </c>
    </row>
    <row r="171" spans="1:11" x14ac:dyDescent="0.3">
      <c r="A171" s="2">
        <v>170</v>
      </c>
      <c r="B171" s="2">
        <f t="shared" si="9"/>
        <v>102</v>
      </c>
      <c r="C171" s="1" t="str">
        <f>VLOOKUP(B171,Products!A:C,2,FALSE)</f>
        <v>Banana</v>
      </c>
      <c r="D171" s="1" t="str">
        <f t="shared" si="10"/>
        <v>Ibadan</v>
      </c>
      <c r="E171" s="3">
        <f t="shared" si="13"/>
        <v>2</v>
      </c>
      <c r="F171" s="1" t="str">
        <f t="shared" si="13"/>
        <v>Feb</v>
      </c>
      <c r="G171" s="11">
        <v>2000</v>
      </c>
      <c r="H171" s="11">
        <v>1500</v>
      </c>
      <c r="I171" s="4" t="str">
        <f>_xlfn.XLOOKUP(D171,'Sales Manager'!$A$2:$A$6,'Sales Manager'!$B$2:$B$6,"")</f>
        <v>Funmi Adeyemi</v>
      </c>
      <c r="J171" s="12">
        <v>7</v>
      </c>
      <c r="K171" s="12">
        <v>8</v>
      </c>
    </row>
    <row r="172" spans="1:11" x14ac:dyDescent="0.3">
      <c r="A172" s="2">
        <v>171</v>
      </c>
      <c r="B172" s="2">
        <f t="shared" si="9"/>
        <v>102</v>
      </c>
      <c r="C172" s="1" t="str">
        <f>VLOOKUP(B172,Products!A:C,2,FALSE)</f>
        <v>Banana</v>
      </c>
      <c r="D172" s="1" t="str">
        <f t="shared" si="10"/>
        <v>Ibadan</v>
      </c>
      <c r="E172" s="3">
        <f t="shared" si="13"/>
        <v>3</v>
      </c>
      <c r="F172" s="1" t="str">
        <f t="shared" si="13"/>
        <v>Mar</v>
      </c>
      <c r="G172" s="11">
        <v>200</v>
      </c>
      <c r="H172" s="11">
        <v>600</v>
      </c>
      <c r="I172" s="4" t="str">
        <f>_xlfn.XLOOKUP(D172,'Sales Manager'!$A$2:$A$6,'Sales Manager'!$B$2:$B$6,"")</f>
        <v>Funmi Adeyemi</v>
      </c>
      <c r="J172" s="12">
        <v>7</v>
      </c>
      <c r="K172" s="12">
        <v>8</v>
      </c>
    </row>
    <row r="173" spans="1:11" x14ac:dyDescent="0.3">
      <c r="A173" s="2">
        <v>172</v>
      </c>
      <c r="B173" s="2">
        <f t="shared" si="9"/>
        <v>102</v>
      </c>
      <c r="C173" s="1" t="str">
        <f>VLOOKUP(B173,Products!A:C,2,FALSE)</f>
        <v>Banana</v>
      </c>
      <c r="D173" s="1" t="str">
        <f t="shared" si="10"/>
        <v>Ibadan</v>
      </c>
      <c r="E173" s="3">
        <f t="shared" si="13"/>
        <v>4</v>
      </c>
      <c r="F173" s="1" t="str">
        <f t="shared" si="13"/>
        <v>Apr</v>
      </c>
      <c r="G173" s="11">
        <v>1666.6666666666667</v>
      </c>
      <c r="H173" s="11">
        <v>1666.6666666666667</v>
      </c>
      <c r="I173" s="4" t="str">
        <f>_xlfn.XLOOKUP(D173,'Sales Manager'!$A$2:$A$6,'Sales Manager'!$B$2:$B$6,"")</f>
        <v>Funmi Adeyemi</v>
      </c>
      <c r="J173" s="12">
        <v>6</v>
      </c>
      <c r="K173" s="12">
        <v>7</v>
      </c>
    </row>
    <row r="174" spans="1:11" x14ac:dyDescent="0.3">
      <c r="A174" s="2">
        <v>173</v>
      </c>
      <c r="B174" s="2">
        <f t="shared" si="9"/>
        <v>102</v>
      </c>
      <c r="C174" s="1" t="str">
        <f>VLOOKUP(B174,Products!A:C,2,FALSE)</f>
        <v>Banana</v>
      </c>
      <c r="D174" s="1" t="str">
        <f t="shared" si="10"/>
        <v>Ibadan</v>
      </c>
      <c r="E174" s="3">
        <f t="shared" si="13"/>
        <v>5</v>
      </c>
      <c r="F174" s="1" t="str">
        <f t="shared" si="13"/>
        <v>May</v>
      </c>
      <c r="G174" s="11">
        <v>1500</v>
      </c>
      <c r="H174" s="11">
        <v>1400</v>
      </c>
      <c r="I174" s="4" t="str">
        <f>_xlfn.XLOOKUP(D174,'Sales Manager'!$A$2:$A$6,'Sales Manager'!$B$2:$B$6,"")</f>
        <v>Funmi Adeyemi</v>
      </c>
      <c r="J174" s="12">
        <v>8</v>
      </c>
      <c r="K174" s="12">
        <v>10</v>
      </c>
    </row>
    <row r="175" spans="1:11" x14ac:dyDescent="0.3">
      <c r="A175" s="2">
        <v>174</v>
      </c>
      <c r="B175" s="2">
        <f t="shared" si="9"/>
        <v>102</v>
      </c>
      <c r="C175" s="1" t="str">
        <f>VLOOKUP(B175,Products!A:C,2,FALSE)</f>
        <v>Banana</v>
      </c>
      <c r="D175" s="1" t="str">
        <f t="shared" si="10"/>
        <v>Ibadan</v>
      </c>
      <c r="E175" s="3">
        <f t="shared" ref="E175:F190" si="14">E163</f>
        <v>6</v>
      </c>
      <c r="F175" s="1" t="str">
        <f t="shared" si="14"/>
        <v>Jun</v>
      </c>
      <c r="G175" s="11">
        <v>333.33333333333331</v>
      </c>
      <c r="H175" s="11">
        <v>333.33333333333331</v>
      </c>
      <c r="I175" s="4" t="str">
        <f>_xlfn.XLOOKUP(D175,'Sales Manager'!$A$2:$A$6,'Sales Manager'!$B$2:$B$6,"")</f>
        <v>Funmi Adeyemi</v>
      </c>
      <c r="J175" s="12">
        <v>5</v>
      </c>
      <c r="K175" s="12">
        <v>8</v>
      </c>
    </row>
    <row r="176" spans="1:11" x14ac:dyDescent="0.3">
      <c r="A176" s="2">
        <v>175</v>
      </c>
      <c r="B176" s="2">
        <f t="shared" si="9"/>
        <v>102</v>
      </c>
      <c r="C176" s="1" t="str">
        <f>VLOOKUP(B176,Products!A:C,2,FALSE)</f>
        <v>Banana</v>
      </c>
      <c r="D176" s="1" t="str">
        <f t="shared" si="10"/>
        <v>Ibadan</v>
      </c>
      <c r="E176" s="3">
        <f t="shared" si="14"/>
        <v>7</v>
      </c>
      <c r="F176" s="1" t="str">
        <f t="shared" si="14"/>
        <v>Jul</v>
      </c>
      <c r="G176" s="11">
        <v>400</v>
      </c>
      <c r="H176" s="11">
        <v>300</v>
      </c>
      <c r="I176" s="4" t="str">
        <f>_xlfn.XLOOKUP(D176,'Sales Manager'!$A$2:$A$6,'Sales Manager'!$B$2:$B$6,"")</f>
        <v>Funmi Adeyemi</v>
      </c>
      <c r="J176" s="12">
        <v>10</v>
      </c>
      <c r="K176" s="12">
        <v>7</v>
      </c>
    </row>
    <row r="177" spans="1:11" x14ac:dyDescent="0.3">
      <c r="A177" s="2">
        <v>176</v>
      </c>
      <c r="B177" s="2">
        <f t="shared" si="9"/>
        <v>102</v>
      </c>
      <c r="C177" s="1" t="str">
        <f>VLOOKUP(B177,Products!A:C,2,FALSE)</f>
        <v>Banana</v>
      </c>
      <c r="D177" s="1" t="str">
        <f t="shared" si="10"/>
        <v>Ibadan</v>
      </c>
      <c r="E177" s="3">
        <f t="shared" si="14"/>
        <v>8</v>
      </c>
      <c r="F177" s="1" t="str">
        <f t="shared" si="14"/>
        <v>Aug</v>
      </c>
      <c r="G177" s="11">
        <v>750</v>
      </c>
      <c r="H177" s="11">
        <v>350</v>
      </c>
      <c r="I177" s="4" t="str">
        <f>_xlfn.XLOOKUP(D177,'Sales Manager'!$A$2:$A$6,'Sales Manager'!$B$2:$B$6,"")</f>
        <v>Funmi Adeyemi</v>
      </c>
      <c r="J177" s="12">
        <v>6</v>
      </c>
      <c r="K177" s="12">
        <v>5</v>
      </c>
    </row>
    <row r="178" spans="1:11" x14ac:dyDescent="0.3">
      <c r="A178" s="2">
        <v>177</v>
      </c>
      <c r="B178" s="2">
        <f t="shared" si="9"/>
        <v>102</v>
      </c>
      <c r="C178" s="1" t="str">
        <f>VLOOKUP(B178,Products!A:C,2,FALSE)</f>
        <v>Banana</v>
      </c>
      <c r="D178" s="1" t="str">
        <f t="shared" si="10"/>
        <v>Ibadan</v>
      </c>
      <c r="E178" s="3">
        <f t="shared" si="14"/>
        <v>9</v>
      </c>
      <c r="F178" s="1" t="str">
        <f t="shared" si="14"/>
        <v>Sept</v>
      </c>
      <c r="G178" s="11">
        <v>4500</v>
      </c>
      <c r="H178" s="11">
        <v>3800</v>
      </c>
      <c r="I178" s="4" t="str">
        <f>_xlfn.XLOOKUP(D178,'Sales Manager'!$A$2:$A$6,'Sales Manager'!$B$2:$B$6,"")</f>
        <v>Funmi Adeyemi</v>
      </c>
      <c r="J178" s="12">
        <v>10</v>
      </c>
      <c r="K178" s="12">
        <v>10</v>
      </c>
    </row>
    <row r="179" spans="1:11" x14ac:dyDescent="0.3">
      <c r="A179" s="2">
        <v>178</v>
      </c>
      <c r="B179" s="2">
        <f t="shared" si="9"/>
        <v>102</v>
      </c>
      <c r="C179" s="1" t="str">
        <f>VLOOKUP(B179,Products!A:C,2,FALSE)</f>
        <v>Banana</v>
      </c>
      <c r="D179" s="1" t="str">
        <f t="shared" si="10"/>
        <v>Ibadan</v>
      </c>
      <c r="E179" s="3">
        <f t="shared" si="14"/>
        <v>10</v>
      </c>
      <c r="F179" s="1" t="str">
        <f t="shared" si="14"/>
        <v>Oct</v>
      </c>
      <c r="G179" s="11">
        <v>2333.3333333333335</v>
      </c>
      <c r="H179" s="11">
        <v>2233.3333333333335</v>
      </c>
      <c r="I179" s="4" t="str">
        <f>_xlfn.XLOOKUP(D179,'Sales Manager'!$A$2:$A$6,'Sales Manager'!$B$2:$B$6,"")</f>
        <v>Funmi Adeyemi</v>
      </c>
      <c r="J179" s="12">
        <v>6</v>
      </c>
      <c r="K179" s="12">
        <v>10</v>
      </c>
    </row>
    <row r="180" spans="1:11" x14ac:dyDescent="0.3">
      <c r="A180" s="2">
        <v>179</v>
      </c>
      <c r="B180" s="2">
        <f t="shared" si="9"/>
        <v>102</v>
      </c>
      <c r="C180" s="1" t="str">
        <f>VLOOKUP(B180,Products!A:C,2,FALSE)</f>
        <v>Banana</v>
      </c>
      <c r="D180" s="1" t="str">
        <f t="shared" si="10"/>
        <v>Ibadan</v>
      </c>
      <c r="E180" s="3">
        <f t="shared" si="14"/>
        <v>11</v>
      </c>
      <c r="F180" s="1" t="str">
        <f t="shared" si="14"/>
        <v>Nov</v>
      </c>
      <c r="G180" s="11">
        <v>666.66666666666663</v>
      </c>
      <c r="H180" s="11">
        <v>566.66666666666663</v>
      </c>
      <c r="I180" s="4" t="str">
        <f>_xlfn.XLOOKUP(D180,'Sales Manager'!$A$2:$A$6,'Sales Manager'!$B$2:$B$6,"")</f>
        <v>Funmi Adeyemi</v>
      </c>
      <c r="J180" s="12">
        <v>9</v>
      </c>
      <c r="K180" s="12">
        <v>10</v>
      </c>
    </row>
    <row r="181" spans="1:11" x14ac:dyDescent="0.3">
      <c r="A181" s="2">
        <v>180</v>
      </c>
      <c r="B181" s="2">
        <f t="shared" si="9"/>
        <v>102</v>
      </c>
      <c r="C181" s="1" t="str">
        <f>VLOOKUP(B181,Products!A:C,2,FALSE)</f>
        <v>Banana</v>
      </c>
      <c r="D181" s="1" t="str">
        <f t="shared" si="10"/>
        <v>Ibadan</v>
      </c>
      <c r="E181" s="3">
        <f t="shared" si="14"/>
        <v>12</v>
      </c>
      <c r="F181" s="1" t="str">
        <f t="shared" si="14"/>
        <v>Dec</v>
      </c>
      <c r="G181" s="11">
        <v>3500</v>
      </c>
      <c r="H181" s="11">
        <v>3300</v>
      </c>
      <c r="I181" s="4" t="str">
        <f>_xlfn.XLOOKUP(D181,'Sales Manager'!$A$2:$A$6,'Sales Manager'!$B$2:$B$6,"")</f>
        <v>Funmi Adeyemi</v>
      </c>
      <c r="J181" s="12">
        <v>6</v>
      </c>
      <c r="K181" s="12">
        <v>10</v>
      </c>
    </row>
    <row r="182" spans="1:11" x14ac:dyDescent="0.3">
      <c r="A182" s="2">
        <v>181</v>
      </c>
      <c r="B182" s="2">
        <f t="shared" si="9"/>
        <v>103</v>
      </c>
      <c r="C182" s="1" t="str">
        <f>VLOOKUP(B182,Products!A:C,2,FALSE)</f>
        <v>Melon</v>
      </c>
      <c r="D182" s="1" t="str">
        <f t="shared" si="10"/>
        <v>Lagos</v>
      </c>
      <c r="E182" s="3">
        <f t="shared" si="14"/>
        <v>1</v>
      </c>
      <c r="F182" s="1" t="str">
        <f t="shared" si="14"/>
        <v>Jan</v>
      </c>
      <c r="G182" s="11">
        <v>1000</v>
      </c>
      <c r="H182" s="11">
        <v>500</v>
      </c>
      <c r="I182" s="4" t="str">
        <f>_xlfn.XLOOKUP(D182,'Sales Manager'!$A$2:$A$6,'Sales Manager'!$B$2:$B$6,"")</f>
        <v>Adaora Okafor</v>
      </c>
      <c r="J182" s="12">
        <v>9</v>
      </c>
      <c r="K182" s="12">
        <v>10</v>
      </c>
    </row>
    <row r="183" spans="1:11" x14ac:dyDescent="0.3">
      <c r="A183" s="2">
        <v>182</v>
      </c>
      <c r="B183" s="2">
        <f t="shared" si="9"/>
        <v>103</v>
      </c>
      <c r="C183" s="1" t="str">
        <f>VLOOKUP(B183,Products!A:C,2,FALSE)</f>
        <v>Melon</v>
      </c>
      <c r="D183" s="1" t="str">
        <f t="shared" si="10"/>
        <v>Lagos</v>
      </c>
      <c r="E183" s="3">
        <f t="shared" si="14"/>
        <v>2</v>
      </c>
      <c r="F183" s="1" t="str">
        <f t="shared" si="14"/>
        <v>Feb</v>
      </c>
      <c r="G183" s="11">
        <v>500</v>
      </c>
      <c r="H183" s="11">
        <v>100</v>
      </c>
      <c r="I183" s="4" t="str">
        <f>_xlfn.XLOOKUP(D183,'Sales Manager'!$A$2:$A$6,'Sales Manager'!$B$2:$B$6,"")</f>
        <v>Adaora Okafor</v>
      </c>
      <c r="J183" s="12">
        <v>5</v>
      </c>
      <c r="K183" s="12">
        <v>10</v>
      </c>
    </row>
    <row r="184" spans="1:11" x14ac:dyDescent="0.3">
      <c r="A184" s="2">
        <v>183</v>
      </c>
      <c r="B184" s="2">
        <f t="shared" si="9"/>
        <v>103</v>
      </c>
      <c r="C184" s="1" t="str">
        <f>VLOOKUP(B184,Products!A:C,2,FALSE)</f>
        <v>Melon</v>
      </c>
      <c r="D184" s="1" t="str">
        <f t="shared" si="10"/>
        <v>Lagos</v>
      </c>
      <c r="E184" s="3">
        <f t="shared" si="14"/>
        <v>3</v>
      </c>
      <c r="F184" s="1" t="str">
        <f t="shared" si="14"/>
        <v>Mar</v>
      </c>
      <c r="G184" s="11">
        <v>1000</v>
      </c>
      <c r="H184" s="11">
        <v>900</v>
      </c>
      <c r="I184" s="4" t="str">
        <f>_xlfn.XLOOKUP(D184,'Sales Manager'!$A$2:$A$6,'Sales Manager'!$B$2:$B$6,"")</f>
        <v>Adaora Okafor</v>
      </c>
      <c r="J184" s="12">
        <v>9</v>
      </c>
      <c r="K184" s="12">
        <v>6</v>
      </c>
    </row>
    <row r="185" spans="1:11" x14ac:dyDescent="0.3">
      <c r="A185" s="2">
        <v>184</v>
      </c>
      <c r="B185" s="2">
        <f t="shared" si="9"/>
        <v>103</v>
      </c>
      <c r="C185" s="1" t="str">
        <f>VLOOKUP(B185,Products!A:C,2,FALSE)</f>
        <v>Melon</v>
      </c>
      <c r="D185" s="1" t="str">
        <f t="shared" si="10"/>
        <v>Lagos</v>
      </c>
      <c r="E185" s="3">
        <f t="shared" si="14"/>
        <v>4</v>
      </c>
      <c r="F185" s="1" t="str">
        <f t="shared" si="14"/>
        <v>Apr</v>
      </c>
      <c r="G185" s="11">
        <v>750</v>
      </c>
      <c r="H185" s="11">
        <v>450</v>
      </c>
      <c r="I185" s="4" t="str">
        <f>_xlfn.XLOOKUP(D185,'Sales Manager'!$A$2:$A$6,'Sales Manager'!$B$2:$B$6,"")</f>
        <v>Adaora Okafor</v>
      </c>
      <c r="J185" s="12">
        <v>6</v>
      </c>
      <c r="K185" s="12">
        <v>5</v>
      </c>
    </row>
    <row r="186" spans="1:11" x14ac:dyDescent="0.3">
      <c r="A186" s="2">
        <v>185</v>
      </c>
      <c r="B186" s="2">
        <f t="shared" si="9"/>
        <v>103</v>
      </c>
      <c r="C186" s="1" t="str">
        <f>VLOOKUP(B186,Products!A:C,2,FALSE)</f>
        <v>Melon</v>
      </c>
      <c r="D186" s="1" t="str">
        <f t="shared" si="10"/>
        <v>Lagos</v>
      </c>
      <c r="E186" s="3">
        <f t="shared" si="14"/>
        <v>5</v>
      </c>
      <c r="F186" s="1" t="str">
        <f t="shared" si="14"/>
        <v>May</v>
      </c>
      <c r="G186" s="11">
        <v>1000</v>
      </c>
      <c r="H186" s="11">
        <v>900</v>
      </c>
      <c r="I186" s="4" t="str">
        <f>_xlfn.XLOOKUP(D186,'Sales Manager'!$A$2:$A$6,'Sales Manager'!$B$2:$B$6,"")</f>
        <v>Adaora Okafor</v>
      </c>
      <c r="J186" s="12">
        <v>10</v>
      </c>
      <c r="K186" s="12">
        <v>9</v>
      </c>
    </row>
    <row r="187" spans="1:11" x14ac:dyDescent="0.3">
      <c r="A187" s="2">
        <v>186</v>
      </c>
      <c r="B187" s="2">
        <f t="shared" si="9"/>
        <v>103</v>
      </c>
      <c r="C187" s="1" t="str">
        <f>VLOOKUP(B187,Products!A:C,2,FALSE)</f>
        <v>Melon</v>
      </c>
      <c r="D187" s="1" t="str">
        <f t="shared" si="10"/>
        <v>Lagos</v>
      </c>
      <c r="E187" s="3">
        <f t="shared" si="14"/>
        <v>6</v>
      </c>
      <c r="F187" s="1" t="str">
        <f t="shared" si="14"/>
        <v>Jun</v>
      </c>
      <c r="G187" s="11">
        <v>4000</v>
      </c>
      <c r="H187" s="11">
        <v>3700</v>
      </c>
      <c r="I187" s="4" t="str">
        <f>_xlfn.XLOOKUP(D187,'Sales Manager'!$A$2:$A$6,'Sales Manager'!$B$2:$B$6,"")</f>
        <v>Adaora Okafor</v>
      </c>
      <c r="J187" s="12">
        <v>10</v>
      </c>
      <c r="K187" s="12">
        <v>10</v>
      </c>
    </row>
    <row r="188" spans="1:11" x14ac:dyDescent="0.3">
      <c r="A188" s="2">
        <v>187</v>
      </c>
      <c r="B188" s="2">
        <f t="shared" si="9"/>
        <v>103</v>
      </c>
      <c r="C188" s="1" t="str">
        <f>VLOOKUP(B188,Products!A:C,2,FALSE)</f>
        <v>Melon</v>
      </c>
      <c r="D188" s="1" t="str">
        <f t="shared" si="10"/>
        <v>Lagos</v>
      </c>
      <c r="E188" s="3">
        <f t="shared" si="14"/>
        <v>7</v>
      </c>
      <c r="F188" s="1" t="str">
        <f t="shared" si="14"/>
        <v>Jul</v>
      </c>
      <c r="G188" s="11">
        <v>1500</v>
      </c>
      <c r="H188" s="11">
        <v>1400</v>
      </c>
      <c r="I188" s="4" t="str">
        <f>_xlfn.XLOOKUP(D188,'Sales Manager'!$A$2:$A$6,'Sales Manager'!$B$2:$B$6,"")</f>
        <v>Adaora Okafor</v>
      </c>
      <c r="J188" s="12">
        <v>7</v>
      </c>
      <c r="K188" s="12">
        <v>8</v>
      </c>
    </row>
    <row r="189" spans="1:11" x14ac:dyDescent="0.3">
      <c r="A189" s="2">
        <v>188</v>
      </c>
      <c r="B189" s="2">
        <f t="shared" si="9"/>
        <v>103</v>
      </c>
      <c r="C189" s="1" t="str">
        <f>VLOOKUP(B189,Products!A:C,2,FALSE)</f>
        <v>Melon</v>
      </c>
      <c r="D189" s="1" t="str">
        <f t="shared" si="10"/>
        <v>Lagos</v>
      </c>
      <c r="E189" s="3">
        <f t="shared" si="14"/>
        <v>8</v>
      </c>
      <c r="F189" s="1" t="str">
        <f t="shared" si="14"/>
        <v>Aug</v>
      </c>
      <c r="G189" s="11">
        <v>1000</v>
      </c>
      <c r="H189" s="11">
        <v>700</v>
      </c>
      <c r="I189" s="4" t="str">
        <f>_xlfn.XLOOKUP(D189,'Sales Manager'!$A$2:$A$6,'Sales Manager'!$B$2:$B$6,"")</f>
        <v>Adaora Okafor</v>
      </c>
      <c r="J189" s="12">
        <v>9</v>
      </c>
      <c r="K189" s="12">
        <v>10</v>
      </c>
    </row>
    <row r="190" spans="1:11" x14ac:dyDescent="0.3">
      <c r="A190" s="2">
        <v>189</v>
      </c>
      <c r="B190" s="2">
        <f t="shared" si="9"/>
        <v>103</v>
      </c>
      <c r="C190" s="1" t="str">
        <f>VLOOKUP(B190,Products!A:C,2,FALSE)</f>
        <v>Melon</v>
      </c>
      <c r="D190" s="1" t="str">
        <f t="shared" si="10"/>
        <v>Lagos</v>
      </c>
      <c r="E190" s="3">
        <f t="shared" si="14"/>
        <v>9</v>
      </c>
      <c r="F190" s="1" t="str">
        <f t="shared" si="14"/>
        <v>Sept</v>
      </c>
      <c r="G190" s="11">
        <v>2250</v>
      </c>
      <c r="H190" s="11">
        <v>2050</v>
      </c>
      <c r="I190" s="4" t="str">
        <f>_xlfn.XLOOKUP(D190,'Sales Manager'!$A$2:$A$6,'Sales Manager'!$B$2:$B$6,"")</f>
        <v>Adaora Okafor</v>
      </c>
      <c r="J190" s="12">
        <v>10</v>
      </c>
      <c r="K190" s="12">
        <v>6</v>
      </c>
    </row>
    <row r="191" spans="1:11" x14ac:dyDescent="0.3">
      <c r="A191" s="2">
        <v>190</v>
      </c>
      <c r="B191" s="2">
        <f t="shared" ref="B191:B254" si="15">B131+1</f>
        <v>103</v>
      </c>
      <c r="C191" s="1" t="str">
        <f>VLOOKUP(B191,Products!A:C,2,FALSE)</f>
        <v>Melon</v>
      </c>
      <c r="D191" s="1" t="str">
        <f t="shared" ref="D191:D254" si="16">D131</f>
        <v>Lagos</v>
      </c>
      <c r="E191" s="3">
        <f t="shared" ref="E191:F206" si="17">E179</f>
        <v>10</v>
      </c>
      <c r="F191" s="1" t="str">
        <f t="shared" si="17"/>
        <v>Oct</v>
      </c>
      <c r="G191" s="11">
        <v>200</v>
      </c>
      <c r="H191" s="11">
        <v>300</v>
      </c>
      <c r="I191" s="4" t="str">
        <f>_xlfn.XLOOKUP(D191,'Sales Manager'!$A$2:$A$6,'Sales Manager'!$B$2:$B$6,"")</f>
        <v>Adaora Okafor</v>
      </c>
      <c r="J191" s="12">
        <v>5</v>
      </c>
      <c r="K191" s="12">
        <v>7</v>
      </c>
    </row>
    <row r="192" spans="1:11" x14ac:dyDescent="0.3">
      <c r="A192" s="2">
        <v>191</v>
      </c>
      <c r="B192" s="2">
        <f t="shared" si="15"/>
        <v>103</v>
      </c>
      <c r="C192" s="1" t="str">
        <f>VLOOKUP(B192,Products!A:C,2,FALSE)</f>
        <v>Melon</v>
      </c>
      <c r="D192" s="1" t="str">
        <f t="shared" si="16"/>
        <v>Lagos</v>
      </c>
      <c r="E192" s="3">
        <f t="shared" si="17"/>
        <v>11</v>
      </c>
      <c r="F192" s="1" t="str">
        <f t="shared" si="17"/>
        <v>Nov</v>
      </c>
      <c r="G192" s="11">
        <v>1000</v>
      </c>
      <c r="H192" s="11">
        <v>1000</v>
      </c>
      <c r="I192" s="4" t="str">
        <f>_xlfn.XLOOKUP(D192,'Sales Manager'!$A$2:$A$6,'Sales Manager'!$B$2:$B$6,"")</f>
        <v>Adaora Okafor</v>
      </c>
      <c r="J192" s="12">
        <v>7</v>
      </c>
      <c r="K192" s="12">
        <v>6</v>
      </c>
    </row>
    <row r="193" spans="1:11" x14ac:dyDescent="0.3">
      <c r="A193" s="2">
        <v>192</v>
      </c>
      <c r="B193" s="2">
        <f t="shared" si="15"/>
        <v>103</v>
      </c>
      <c r="C193" s="1" t="str">
        <f>VLOOKUP(B193,Products!A:C,2,FALSE)</f>
        <v>Melon</v>
      </c>
      <c r="D193" s="1" t="str">
        <f t="shared" si="16"/>
        <v>Lagos</v>
      </c>
      <c r="E193" s="3">
        <f t="shared" si="17"/>
        <v>12</v>
      </c>
      <c r="F193" s="1" t="str">
        <f t="shared" si="17"/>
        <v>Dec</v>
      </c>
      <c r="G193" s="11">
        <v>800</v>
      </c>
      <c r="H193" s="11">
        <v>800</v>
      </c>
      <c r="I193" s="4" t="str">
        <f>_xlfn.XLOOKUP(D193,'Sales Manager'!$A$2:$A$6,'Sales Manager'!$B$2:$B$6,"")</f>
        <v>Adaora Okafor</v>
      </c>
      <c r="J193" s="12">
        <v>9</v>
      </c>
      <c r="K193" s="12">
        <v>7</v>
      </c>
    </row>
    <row r="194" spans="1:11" x14ac:dyDescent="0.3">
      <c r="A194" s="2">
        <v>193</v>
      </c>
      <c r="B194" s="2">
        <f t="shared" si="15"/>
        <v>103</v>
      </c>
      <c r="C194" s="1" t="str">
        <f>VLOOKUP(B194,Products!A:C,2,FALSE)</f>
        <v>Melon</v>
      </c>
      <c r="D194" s="1" t="str">
        <f t="shared" si="16"/>
        <v>Abuja</v>
      </c>
      <c r="E194" s="3">
        <f t="shared" si="17"/>
        <v>1</v>
      </c>
      <c r="F194" s="1" t="str">
        <f t="shared" si="17"/>
        <v>Jan</v>
      </c>
      <c r="G194" s="11">
        <v>333.33333333333331</v>
      </c>
      <c r="H194" s="11">
        <v>366.66666666666669</v>
      </c>
      <c r="I194" s="4" t="str">
        <f>_xlfn.XLOOKUP(D194,'Sales Manager'!$A$2:$A$6,'Sales Manager'!$B$2:$B$6,"")</f>
        <v>Emeka Nwosu</v>
      </c>
      <c r="J194" s="12">
        <v>9</v>
      </c>
      <c r="K194" s="12">
        <v>8</v>
      </c>
    </row>
    <row r="195" spans="1:11" x14ac:dyDescent="0.3">
      <c r="A195" s="2">
        <v>194</v>
      </c>
      <c r="B195" s="2">
        <f t="shared" si="15"/>
        <v>103</v>
      </c>
      <c r="C195" s="1" t="str">
        <f>VLOOKUP(B195,Products!A:C,2,FALSE)</f>
        <v>Melon</v>
      </c>
      <c r="D195" s="1" t="str">
        <f t="shared" si="16"/>
        <v>Abuja</v>
      </c>
      <c r="E195" s="3">
        <f t="shared" si="17"/>
        <v>2</v>
      </c>
      <c r="F195" s="1" t="str">
        <f t="shared" si="17"/>
        <v>Feb</v>
      </c>
      <c r="G195" s="11">
        <v>1250</v>
      </c>
      <c r="H195" s="11">
        <v>950</v>
      </c>
      <c r="I195" s="4" t="str">
        <f>_xlfn.XLOOKUP(D195,'Sales Manager'!$A$2:$A$6,'Sales Manager'!$B$2:$B$6,"")</f>
        <v>Emeka Nwosu</v>
      </c>
      <c r="J195" s="12">
        <v>8</v>
      </c>
      <c r="K195" s="12">
        <v>8</v>
      </c>
    </row>
    <row r="196" spans="1:11" x14ac:dyDescent="0.3">
      <c r="A196" s="2">
        <v>195</v>
      </c>
      <c r="B196" s="2">
        <f t="shared" si="15"/>
        <v>103</v>
      </c>
      <c r="C196" s="1" t="str">
        <f>VLOOKUP(B196,Products!A:C,2,FALSE)</f>
        <v>Melon</v>
      </c>
      <c r="D196" s="1" t="str">
        <f t="shared" si="16"/>
        <v>Abuja</v>
      </c>
      <c r="E196" s="3">
        <f t="shared" si="17"/>
        <v>3</v>
      </c>
      <c r="F196" s="1" t="str">
        <f t="shared" si="17"/>
        <v>Mar</v>
      </c>
      <c r="G196" s="11">
        <v>4000</v>
      </c>
      <c r="H196" s="11">
        <v>3500</v>
      </c>
      <c r="I196" s="4" t="str">
        <f>_xlfn.XLOOKUP(D196,'Sales Manager'!$A$2:$A$6,'Sales Manager'!$B$2:$B$6,"")</f>
        <v>Emeka Nwosu</v>
      </c>
      <c r="J196" s="12">
        <v>8</v>
      </c>
      <c r="K196" s="12">
        <v>6</v>
      </c>
    </row>
    <row r="197" spans="1:11" x14ac:dyDescent="0.3">
      <c r="A197" s="2">
        <v>196</v>
      </c>
      <c r="B197" s="2">
        <f t="shared" si="15"/>
        <v>103</v>
      </c>
      <c r="C197" s="1" t="str">
        <f>VLOOKUP(B197,Products!A:C,2,FALSE)</f>
        <v>Melon</v>
      </c>
      <c r="D197" s="1" t="str">
        <f t="shared" si="16"/>
        <v>Abuja</v>
      </c>
      <c r="E197" s="3">
        <f t="shared" si="17"/>
        <v>4</v>
      </c>
      <c r="F197" s="1" t="str">
        <f t="shared" si="17"/>
        <v>Apr</v>
      </c>
      <c r="G197" s="11">
        <v>1250</v>
      </c>
      <c r="H197" s="11">
        <v>1250</v>
      </c>
      <c r="I197" s="4" t="str">
        <f>_xlfn.XLOOKUP(D197,'Sales Manager'!$A$2:$A$6,'Sales Manager'!$B$2:$B$6,"")</f>
        <v>Emeka Nwosu</v>
      </c>
      <c r="J197" s="12">
        <v>5</v>
      </c>
      <c r="K197" s="12">
        <v>5</v>
      </c>
    </row>
    <row r="198" spans="1:11" x14ac:dyDescent="0.3">
      <c r="A198" s="2">
        <v>197</v>
      </c>
      <c r="B198" s="2">
        <f t="shared" si="15"/>
        <v>103</v>
      </c>
      <c r="C198" s="1" t="str">
        <f>VLOOKUP(B198,Products!A:C,2,FALSE)</f>
        <v>Melon</v>
      </c>
      <c r="D198" s="1" t="str">
        <f t="shared" si="16"/>
        <v>Abuja</v>
      </c>
      <c r="E198" s="3">
        <f t="shared" si="17"/>
        <v>5</v>
      </c>
      <c r="F198" s="1" t="str">
        <f t="shared" si="17"/>
        <v>May</v>
      </c>
      <c r="G198" s="11">
        <v>250</v>
      </c>
      <c r="H198" s="11">
        <v>150</v>
      </c>
      <c r="I198" s="4" t="str">
        <f>_xlfn.XLOOKUP(D198,'Sales Manager'!$A$2:$A$6,'Sales Manager'!$B$2:$B$6,"")</f>
        <v>Emeka Nwosu</v>
      </c>
      <c r="J198" s="12">
        <v>8</v>
      </c>
      <c r="K198" s="12">
        <v>5</v>
      </c>
    </row>
    <row r="199" spans="1:11" x14ac:dyDescent="0.3">
      <c r="A199" s="2">
        <v>198</v>
      </c>
      <c r="B199" s="2">
        <f t="shared" si="15"/>
        <v>103</v>
      </c>
      <c r="C199" s="1" t="str">
        <f>VLOOKUP(B199,Products!A:C,2,FALSE)</f>
        <v>Melon</v>
      </c>
      <c r="D199" s="1" t="str">
        <f t="shared" si="16"/>
        <v>Abuja</v>
      </c>
      <c r="E199" s="3">
        <f t="shared" si="17"/>
        <v>6</v>
      </c>
      <c r="F199" s="1" t="str">
        <f t="shared" si="17"/>
        <v>Jun</v>
      </c>
      <c r="G199" s="11">
        <v>250</v>
      </c>
      <c r="H199" s="11">
        <v>250</v>
      </c>
      <c r="I199" s="4" t="str">
        <f>_xlfn.XLOOKUP(D199,'Sales Manager'!$A$2:$A$6,'Sales Manager'!$B$2:$B$6,"")</f>
        <v>Emeka Nwosu</v>
      </c>
      <c r="J199" s="12">
        <v>9</v>
      </c>
      <c r="K199" s="12">
        <v>5</v>
      </c>
    </row>
    <row r="200" spans="1:11" x14ac:dyDescent="0.3">
      <c r="A200" s="2">
        <v>199</v>
      </c>
      <c r="B200" s="2">
        <f t="shared" si="15"/>
        <v>103</v>
      </c>
      <c r="C200" s="1" t="str">
        <f>VLOOKUP(B200,Products!A:C,2,FALSE)</f>
        <v>Melon</v>
      </c>
      <c r="D200" s="1" t="str">
        <f t="shared" si="16"/>
        <v>Abuja</v>
      </c>
      <c r="E200" s="3">
        <f t="shared" si="17"/>
        <v>7</v>
      </c>
      <c r="F200" s="1" t="str">
        <f t="shared" si="17"/>
        <v>Jul</v>
      </c>
      <c r="G200" s="11">
        <v>500</v>
      </c>
      <c r="H200" s="11">
        <v>200</v>
      </c>
      <c r="I200" s="4" t="str">
        <f>_xlfn.XLOOKUP(D200,'Sales Manager'!$A$2:$A$6,'Sales Manager'!$B$2:$B$6,"")</f>
        <v>Emeka Nwosu</v>
      </c>
      <c r="J200" s="12">
        <v>7</v>
      </c>
      <c r="K200" s="12">
        <v>6</v>
      </c>
    </row>
    <row r="201" spans="1:11" x14ac:dyDescent="0.3">
      <c r="A201" s="2">
        <v>200</v>
      </c>
      <c r="B201" s="2">
        <f t="shared" si="15"/>
        <v>103</v>
      </c>
      <c r="C201" s="1" t="str">
        <f>VLOOKUP(B201,Products!A:C,2,FALSE)</f>
        <v>Melon</v>
      </c>
      <c r="D201" s="1" t="str">
        <f t="shared" si="16"/>
        <v>Abuja</v>
      </c>
      <c r="E201" s="3">
        <f t="shared" si="17"/>
        <v>8</v>
      </c>
      <c r="F201" s="1" t="str">
        <f t="shared" si="17"/>
        <v>Aug</v>
      </c>
      <c r="G201" s="11">
        <v>2500</v>
      </c>
      <c r="H201" s="11">
        <v>2300</v>
      </c>
      <c r="I201" s="4" t="str">
        <f>_xlfn.XLOOKUP(D201,'Sales Manager'!$A$2:$A$6,'Sales Manager'!$B$2:$B$6,"")</f>
        <v>Emeka Nwosu</v>
      </c>
      <c r="J201" s="12">
        <v>5</v>
      </c>
      <c r="K201" s="12">
        <v>7</v>
      </c>
    </row>
    <row r="202" spans="1:11" x14ac:dyDescent="0.3">
      <c r="A202" s="2">
        <v>201</v>
      </c>
      <c r="B202" s="2">
        <f t="shared" si="15"/>
        <v>103</v>
      </c>
      <c r="C202" s="1" t="str">
        <f>VLOOKUP(B202,Products!A:C,2,FALSE)</f>
        <v>Melon</v>
      </c>
      <c r="D202" s="1" t="str">
        <f t="shared" si="16"/>
        <v>Abuja</v>
      </c>
      <c r="E202" s="3">
        <f t="shared" si="17"/>
        <v>9</v>
      </c>
      <c r="F202" s="1" t="str">
        <f t="shared" si="17"/>
        <v>Sept</v>
      </c>
      <c r="G202" s="11">
        <v>1000</v>
      </c>
      <c r="H202" s="11">
        <v>1000</v>
      </c>
      <c r="I202" s="4" t="str">
        <f>_xlfn.XLOOKUP(D202,'Sales Manager'!$A$2:$A$6,'Sales Manager'!$B$2:$B$6,"")</f>
        <v>Emeka Nwosu</v>
      </c>
      <c r="J202" s="12">
        <v>7</v>
      </c>
      <c r="K202" s="12">
        <v>8</v>
      </c>
    </row>
    <row r="203" spans="1:11" x14ac:dyDescent="0.3">
      <c r="A203" s="2">
        <v>202</v>
      </c>
      <c r="B203" s="2">
        <f t="shared" si="15"/>
        <v>103</v>
      </c>
      <c r="C203" s="1" t="str">
        <f>VLOOKUP(B203,Products!A:C,2,FALSE)</f>
        <v>Melon</v>
      </c>
      <c r="D203" s="1" t="str">
        <f t="shared" si="16"/>
        <v>Abuja</v>
      </c>
      <c r="E203" s="3">
        <f t="shared" si="17"/>
        <v>10</v>
      </c>
      <c r="F203" s="1" t="str">
        <f t="shared" si="17"/>
        <v>Oct</v>
      </c>
      <c r="G203" s="11">
        <v>2500</v>
      </c>
      <c r="H203" s="11">
        <v>2100</v>
      </c>
      <c r="I203" s="4" t="str">
        <f>_xlfn.XLOOKUP(D203,'Sales Manager'!$A$2:$A$6,'Sales Manager'!$B$2:$B$6,"")</f>
        <v>Emeka Nwosu</v>
      </c>
      <c r="J203" s="12">
        <v>7</v>
      </c>
      <c r="K203" s="12">
        <v>6</v>
      </c>
    </row>
    <row r="204" spans="1:11" x14ac:dyDescent="0.3">
      <c r="A204" s="2">
        <v>203</v>
      </c>
      <c r="B204" s="2">
        <f t="shared" si="15"/>
        <v>103</v>
      </c>
      <c r="C204" s="1" t="str">
        <f>VLOOKUP(B204,Products!A:C,2,FALSE)</f>
        <v>Melon</v>
      </c>
      <c r="D204" s="1" t="str">
        <f t="shared" si="16"/>
        <v>Abuja</v>
      </c>
      <c r="E204" s="3">
        <f t="shared" si="17"/>
        <v>11</v>
      </c>
      <c r="F204" s="1" t="str">
        <f t="shared" si="17"/>
        <v>Nov</v>
      </c>
      <c r="G204" s="11">
        <v>333.33333333333331</v>
      </c>
      <c r="H204" s="11">
        <v>133.33333333333331</v>
      </c>
      <c r="I204" s="4" t="str">
        <f>_xlfn.XLOOKUP(D204,'Sales Manager'!$A$2:$A$6,'Sales Manager'!$B$2:$B$6,"")</f>
        <v>Emeka Nwosu</v>
      </c>
      <c r="J204" s="12">
        <v>6</v>
      </c>
      <c r="K204" s="12">
        <v>6</v>
      </c>
    </row>
    <row r="205" spans="1:11" x14ac:dyDescent="0.3">
      <c r="A205" s="2">
        <v>204</v>
      </c>
      <c r="B205" s="2">
        <f t="shared" si="15"/>
        <v>103</v>
      </c>
      <c r="C205" s="1" t="str">
        <f>VLOOKUP(B205,Products!A:C,2,FALSE)</f>
        <v>Melon</v>
      </c>
      <c r="D205" s="1" t="str">
        <f t="shared" si="16"/>
        <v>Abuja</v>
      </c>
      <c r="E205" s="3">
        <f t="shared" si="17"/>
        <v>12</v>
      </c>
      <c r="F205" s="1" t="str">
        <f t="shared" si="17"/>
        <v>Dec</v>
      </c>
      <c r="G205" s="11">
        <v>200</v>
      </c>
      <c r="H205" s="11">
        <v>300</v>
      </c>
      <c r="I205" s="4" t="str">
        <f>_xlfn.XLOOKUP(D205,'Sales Manager'!$A$2:$A$6,'Sales Manager'!$B$2:$B$6,"")</f>
        <v>Emeka Nwosu</v>
      </c>
      <c r="J205" s="12">
        <v>5</v>
      </c>
      <c r="K205" s="12">
        <v>7</v>
      </c>
    </row>
    <row r="206" spans="1:11" x14ac:dyDescent="0.3">
      <c r="A206" s="2">
        <v>205</v>
      </c>
      <c r="B206" s="2">
        <f t="shared" si="15"/>
        <v>103</v>
      </c>
      <c r="C206" s="1" t="str">
        <f>VLOOKUP(B206,Products!A:C,2,FALSE)</f>
        <v>Melon</v>
      </c>
      <c r="D206" s="1" t="str">
        <f t="shared" si="16"/>
        <v>Warri</v>
      </c>
      <c r="E206" s="3">
        <f t="shared" si="17"/>
        <v>1</v>
      </c>
      <c r="F206" s="1" t="str">
        <f t="shared" si="17"/>
        <v>Jan</v>
      </c>
      <c r="G206" s="11">
        <v>1200</v>
      </c>
      <c r="H206" s="11">
        <v>600</v>
      </c>
      <c r="I206" s="4" t="str">
        <f>_xlfn.XLOOKUP(D206,'Sales Manager'!$A$2:$A$6,'Sales Manager'!$B$2:$B$6,"")</f>
        <v>Gbenga Adesanya</v>
      </c>
      <c r="J206" s="12">
        <v>8</v>
      </c>
      <c r="K206" s="12">
        <v>7</v>
      </c>
    </row>
    <row r="207" spans="1:11" x14ac:dyDescent="0.3">
      <c r="A207" s="2">
        <v>206</v>
      </c>
      <c r="B207" s="2">
        <f t="shared" si="15"/>
        <v>103</v>
      </c>
      <c r="C207" s="1" t="str">
        <f>VLOOKUP(B207,Products!A:C,2,FALSE)</f>
        <v>Melon</v>
      </c>
      <c r="D207" s="1" t="str">
        <f t="shared" si="16"/>
        <v>Warri</v>
      </c>
      <c r="E207" s="3">
        <f t="shared" ref="E207:F222" si="18">E195</f>
        <v>2</v>
      </c>
      <c r="F207" s="1" t="str">
        <f t="shared" si="18"/>
        <v>Feb</v>
      </c>
      <c r="G207" s="11">
        <v>2000</v>
      </c>
      <c r="H207" s="11">
        <v>1700</v>
      </c>
      <c r="I207" s="4" t="str">
        <f>_xlfn.XLOOKUP(D207,'Sales Manager'!$A$2:$A$6,'Sales Manager'!$B$2:$B$6,"")</f>
        <v>Gbenga Adesanya</v>
      </c>
      <c r="J207" s="12">
        <v>6</v>
      </c>
      <c r="K207" s="12">
        <v>10</v>
      </c>
    </row>
    <row r="208" spans="1:11" x14ac:dyDescent="0.3">
      <c r="A208" s="2">
        <v>207</v>
      </c>
      <c r="B208" s="2">
        <f t="shared" si="15"/>
        <v>103</v>
      </c>
      <c r="C208" s="1" t="str">
        <f>VLOOKUP(B208,Products!A:C,2,FALSE)</f>
        <v>Melon</v>
      </c>
      <c r="D208" s="1" t="str">
        <f t="shared" si="16"/>
        <v>Warri</v>
      </c>
      <c r="E208" s="3">
        <f t="shared" si="18"/>
        <v>3</v>
      </c>
      <c r="F208" s="1" t="str">
        <f t="shared" si="18"/>
        <v>Mar</v>
      </c>
      <c r="G208" s="11">
        <v>750</v>
      </c>
      <c r="H208" s="11">
        <v>650</v>
      </c>
      <c r="I208" s="4" t="str">
        <f>_xlfn.XLOOKUP(D208,'Sales Manager'!$A$2:$A$6,'Sales Manager'!$B$2:$B$6,"")</f>
        <v>Gbenga Adesanya</v>
      </c>
      <c r="J208" s="12">
        <v>5</v>
      </c>
      <c r="K208" s="12">
        <v>6</v>
      </c>
    </row>
    <row r="209" spans="1:11" x14ac:dyDescent="0.3">
      <c r="A209" s="2">
        <v>208</v>
      </c>
      <c r="B209" s="2">
        <f t="shared" si="15"/>
        <v>103</v>
      </c>
      <c r="C209" s="1" t="str">
        <f>VLOOKUP(B209,Products!A:C,2,FALSE)</f>
        <v>Melon</v>
      </c>
      <c r="D209" s="1" t="str">
        <f t="shared" si="16"/>
        <v>Warri</v>
      </c>
      <c r="E209" s="3">
        <f t="shared" si="18"/>
        <v>4</v>
      </c>
      <c r="F209" s="1" t="str">
        <f t="shared" si="18"/>
        <v>Apr</v>
      </c>
      <c r="G209" s="11">
        <v>1800</v>
      </c>
      <c r="H209" s="11">
        <v>1600</v>
      </c>
      <c r="I209" s="4" t="str">
        <f>_xlfn.XLOOKUP(D209,'Sales Manager'!$A$2:$A$6,'Sales Manager'!$B$2:$B$6,"")</f>
        <v>Gbenga Adesanya</v>
      </c>
      <c r="J209" s="12">
        <v>6</v>
      </c>
      <c r="K209" s="12">
        <v>5</v>
      </c>
    </row>
    <row r="210" spans="1:11" x14ac:dyDescent="0.3">
      <c r="A210" s="2">
        <v>209</v>
      </c>
      <c r="B210" s="2">
        <f t="shared" si="15"/>
        <v>103</v>
      </c>
      <c r="C210" s="1" t="str">
        <f>VLOOKUP(B210,Products!A:C,2,FALSE)</f>
        <v>Melon</v>
      </c>
      <c r="D210" s="1" t="str">
        <f t="shared" si="16"/>
        <v>Warri</v>
      </c>
      <c r="E210" s="3">
        <f t="shared" si="18"/>
        <v>5</v>
      </c>
      <c r="F210" s="1" t="str">
        <f t="shared" si="18"/>
        <v>May</v>
      </c>
      <c r="G210" s="11">
        <v>666.66666666666663</v>
      </c>
      <c r="H210" s="11">
        <v>466.66666666666663</v>
      </c>
      <c r="I210" s="4" t="str">
        <f>_xlfn.XLOOKUP(D210,'Sales Manager'!$A$2:$A$6,'Sales Manager'!$B$2:$B$6,"")</f>
        <v>Gbenga Adesanya</v>
      </c>
      <c r="J210" s="12">
        <v>7</v>
      </c>
      <c r="K210" s="12">
        <v>7</v>
      </c>
    </row>
    <row r="211" spans="1:11" x14ac:dyDescent="0.3">
      <c r="A211" s="2">
        <v>210</v>
      </c>
      <c r="B211" s="2">
        <f t="shared" si="15"/>
        <v>103</v>
      </c>
      <c r="C211" s="1" t="str">
        <f>VLOOKUP(B211,Products!A:C,2,FALSE)</f>
        <v>Melon</v>
      </c>
      <c r="D211" s="1" t="str">
        <f t="shared" si="16"/>
        <v>Warri</v>
      </c>
      <c r="E211" s="3">
        <f t="shared" si="18"/>
        <v>6</v>
      </c>
      <c r="F211" s="1" t="str">
        <f t="shared" si="18"/>
        <v>Jun</v>
      </c>
      <c r="G211" s="11">
        <v>2000</v>
      </c>
      <c r="H211" s="11">
        <v>1700</v>
      </c>
      <c r="I211" s="4" t="str">
        <f>_xlfn.XLOOKUP(D211,'Sales Manager'!$A$2:$A$6,'Sales Manager'!$B$2:$B$6,"")</f>
        <v>Gbenga Adesanya</v>
      </c>
      <c r="J211" s="12">
        <v>8</v>
      </c>
      <c r="K211" s="12">
        <v>6</v>
      </c>
    </row>
    <row r="212" spans="1:11" x14ac:dyDescent="0.3">
      <c r="A212" s="2">
        <v>211</v>
      </c>
      <c r="B212" s="2">
        <f t="shared" si="15"/>
        <v>103</v>
      </c>
      <c r="C212" s="1" t="str">
        <f>VLOOKUP(B212,Products!A:C,2,FALSE)</f>
        <v>Melon</v>
      </c>
      <c r="D212" s="1" t="str">
        <f t="shared" si="16"/>
        <v>Warri</v>
      </c>
      <c r="E212" s="3">
        <f t="shared" si="18"/>
        <v>7</v>
      </c>
      <c r="F212" s="1" t="str">
        <f t="shared" si="18"/>
        <v>Jul</v>
      </c>
      <c r="G212" s="11">
        <v>333.33333333333331</v>
      </c>
      <c r="H212" s="11">
        <v>466.66666666666669</v>
      </c>
      <c r="I212" s="4" t="str">
        <f>_xlfn.XLOOKUP(D212,'Sales Manager'!$A$2:$A$6,'Sales Manager'!$B$2:$B$6,"")</f>
        <v>Gbenga Adesanya</v>
      </c>
      <c r="J212" s="12">
        <v>9</v>
      </c>
      <c r="K212" s="12">
        <v>7</v>
      </c>
    </row>
    <row r="213" spans="1:11" x14ac:dyDescent="0.3">
      <c r="A213" s="2">
        <v>212</v>
      </c>
      <c r="B213" s="2">
        <f t="shared" si="15"/>
        <v>103</v>
      </c>
      <c r="C213" s="1" t="str">
        <f>VLOOKUP(B213,Products!A:C,2,FALSE)</f>
        <v>Melon</v>
      </c>
      <c r="D213" s="1" t="str">
        <f t="shared" si="16"/>
        <v>Warri</v>
      </c>
      <c r="E213" s="3">
        <f t="shared" si="18"/>
        <v>8</v>
      </c>
      <c r="F213" s="1" t="str">
        <f t="shared" si="18"/>
        <v>Aug</v>
      </c>
      <c r="G213" s="11">
        <v>1000</v>
      </c>
      <c r="H213" s="11">
        <v>700</v>
      </c>
      <c r="I213" s="4" t="str">
        <f>_xlfn.XLOOKUP(D213,'Sales Manager'!$A$2:$A$6,'Sales Manager'!$B$2:$B$6,"")</f>
        <v>Gbenga Adesanya</v>
      </c>
      <c r="J213" s="12">
        <v>10</v>
      </c>
      <c r="K213" s="12">
        <v>10</v>
      </c>
    </row>
    <row r="214" spans="1:11" x14ac:dyDescent="0.3">
      <c r="A214" s="2">
        <v>213</v>
      </c>
      <c r="B214" s="2">
        <f t="shared" si="15"/>
        <v>103</v>
      </c>
      <c r="C214" s="1" t="str">
        <f>VLOOKUP(B214,Products!A:C,2,FALSE)</f>
        <v>Melon</v>
      </c>
      <c r="D214" s="1" t="str">
        <f t="shared" si="16"/>
        <v>Warri</v>
      </c>
      <c r="E214" s="3">
        <f t="shared" si="18"/>
        <v>9</v>
      </c>
      <c r="F214" s="1" t="str">
        <f t="shared" si="18"/>
        <v>Sept</v>
      </c>
      <c r="G214" s="11">
        <v>500</v>
      </c>
      <c r="H214" s="11">
        <v>100</v>
      </c>
      <c r="I214" s="4" t="str">
        <f>_xlfn.XLOOKUP(D214,'Sales Manager'!$A$2:$A$6,'Sales Manager'!$B$2:$B$6,"")</f>
        <v>Gbenga Adesanya</v>
      </c>
      <c r="J214" s="12">
        <v>6</v>
      </c>
      <c r="K214" s="12">
        <v>5</v>
      </c>
    </row>
    <row r="215" spans="1:11" x14ac:dyDescent="0.3">
      <c r="A215" s="2">
        <v>214</v>
      </c>
      <c r="B215" s="2">
        <f t="shared" si="15"/>
        <v>103</v>
      </c>
      <c r="C215" s="1" t="str">
        <f>VLOOKUP(B215,Products!A:C,2,FALSE)</f>
        <v>Melon</v>
      </c>
      <c r="D215" s="1" t="str">
        <f t="shared" si="16"/>
        <v>Warri</v>
      </c>
      <c r="E215" s="3">
        <f t="shared" si="18"/>
        <v>10</v>
      </c>
      <c r="F215" s="1" t="str">
        <f t="shared" si="18"/>
        <v>Oct</v>
      </c>
      <c r="G215" s="11">
        <v>1000</v>
      </c>
      <c r="H215" s="11">
        <v>400</v>
      </c>
      <c r="I215" s="4" t="str">
        <f>_xlfn.XLOOKUP(D215,'Sales Manager'!$A$2:$A$6,'Sales Manager'!$B$2:$B$6,"")</f>
        <v>Gbenga Adesanya</v>
      </c>
      <c r="J215" s="12">
        <v>7</v>
      </c>
      <c r="K215" s="12">
        <v>8</v>
      </c>
    </row>
    <row r="216" spans="1:11" x14ac:dyDescent="0.3">
      <c r="A216" s="2">
        <v>215</v>
      </c>
      <c r="B216" s="2">
        <f t="shared" si="15"/>
        <v>103</v>
      </c>
      <c r="C216" s="1" t="str">
        <f>VLOOKUP(B216,Products!A:C,2,FALSE)</f>
        <v>Melon</v>
      </c>
      <c r="D216" s="1" t="str">
        <f t="shared" si="16"/>
        <v>Warri</v>
      </c>
      <c r="E216" s="3">
        <f t="shared" si="18"/>
        <v>11</v>
      </c>
      <c r="F216" s="1" t="str">
        <f t="shared" si="18"/>
        <v>Nov</v>
      </c>
      <c r="G216" s="11">
        <v>1250</v>
      </c>
      <c r="H216" s="11">
        <v>850</v>
      </c>
      <c r="I216" s="4" t="str">
        <f>_xlfn.XLOOKUP(D216,'Sales Manager'!$A$2:$A$6,'Sales Manager'!$B$2:$B$6,"")</f>
        <v>Gbenga Adesanya</v>
      </c>
      <c r="J216" s="12">
        <v>6</v>
      </c>
      <c r="K216" s="12">
        <v>9</v>
      </c>
    </row>
    <row r="217" spans="1:11" x14ac:dyDescent="0.3">
      <c r="A217" s="2">
        <v>216</v>
      </c>
      <c r="B217" s="2">
        <f t="shared" si="15"/>
        <v>103</v>
      </c>
      <c r="C217" s="1" t="str">
        <f>VLOOKUP(B217,Products!A:C,2,FALSE)</f>
        <v>Melon</v>
      </c>
      <c r="D217" s="1" t="str">
        <f t="shared" si="16"/>
        <v>Warri</v>
      </c>
      <c r="E217" s="3">
        <f t="shared" si="18"/>
        <v>12</v>
      </c>
      <c r="F217" s="1" t="str">
        <f t="shared" si="18"/>
        <v>Dec</v>
      </c>
      <c r="G217" s="11">
        <v>1200</v>
      </c>
      <c r="H217" s="11">
        <v>700</v>
      </c>
      <c r="I217" s="4" t="str">
        <f>_xlfn.XLOOKUP(D217,'Sales Manager'!$A$2:$A$6,'Sales Manager'!$B$2:$B$6,"")</f>
        <v>Gbenga Adesanya</v>
      </c>
      <c r="J217" s="12">
        <v>5</v>
      </c>
      <c r="K217" s="12">
        <v>8</v>
      </c>
    </row>
    <row r="218" spans="1:11" x14ac:dyDescent="0.3">
      <c r="A218" s="2">
        <v>217</v>
      </c>
      <c r="B218" s="2">
        <f t="shared" si="15"/>
        <v>103</v>
      </c>
      <c r="C218" s="1" t="str">
        <f>VLOOKUP(B218,Products!A:C,2,FALSE)</f>
        <v>Melon</v>
      </c>
      <c r="D218" s="1" t="str">
        <f t="shared" si="16"/>
        <v>Kaduna</v>
      </c>
      <c r="E218" s="3">
        <f t="shared" si="18"/>
        <v>1</v>
      </c>
      <c r="F218" s="1" t="str">
        <f t="shared" si="18"/>
        <v>Jan</v>
      </c>
      <c r="G218" s="11">
        <v>400</v>
      </c>
      <c r="H218" s="11">
        <v>300</v>
      </c>
      <c r="I218" s="4" t="str">
        <f>_xlfn.XLOOKUP(D218,'Sales Manager'!$A$2:$A$6,'Sales Manager'!$B$2:$B$6,"")</f>
        <v>Musa Garba</v>
      </c>
      <c r="J218" s="12">
        <v>7</v>
      </c>
      <c r="K218" s="12">
        <v>7</v>
      </c>
    </row>
    <row r="219" spans="1:11" x14ac:dyDescent="0.3">
      <c r="A219" s="2">
        <v>218</v>
      </c>
      <c r="B219" s="2">
        <f t="shared" si="15"/>
        <v>103</v>
      </c>
      <c r="C219" s="1" t="str">
        <f>VLOOKUP(B219,Products!A:C,2,FALSE)</f>
        <v>Melon</v>
      </c>
      <c r="D219" s="1" t="str">
        <f t="shared" si="16"/>
        <v>Kaduna</v>
      </c>
      <c r="E219" s="3">
        <f t="shared" si="18"/>
        <v>2</v>
      </c>
      <c r="F219" s="1" t="str">
        <f t="shared" si="18"/>
        <v>Feb</v>
      </c>
      <c r="G219" s="11">
        <v>1400</v>
      </c>
      <c r="H219" s="11">
        <v>1200</v>
      </c>
      <c r="I219" s="4" t="str">
        <f>_xlfn.XLOOKUP(D219,'Sales Manager'!$A$2:$A$6,'Sales Manager'!$B$2:$B$6,"")</f>
        <v>Musa Garba</v>
      </c>
      <c r="J219" s="12">
        <v>6</v>
      </c>
      <c r="K219" s="12">
        <v>8</v>
      </c>
    </row>
    <row r="220" spans="1:11" x14ac:dyDescent="0.3">
      <c r="A220" s="2">
        <v>219</v>
      </c>
      <c r="B220" s="2">
        <f t="shared" si="15"/>
        <v>103</v>
      </c>
      <c r="C220" s="1" t="str">
        <f>VLOOKUP(B220,Products!A:C,2,FALSE)</f>
        <v>Melon</v>
      </c>
      <c r="D220" s="1" t="str">
        <f t="shared" si="16"/>
        <v>Kaduna</v>
      </c>
      <c r="E220" s="3">
        <f t="shared" si="18"/>
        <v>3</v>
      </c>
      <c r="F220" s="1" t="str">
        <f t="shared" si="18"/>
        <v>Mar</v>
      </c>
      <c r="G220" s="11">
        <v>1000</v>
      </c>
      <c r="H220" s="11">
        <v>900</v>
      </c>
      <c r="I220" s="4" t="str">
        <f>_xlfn.XLOOKUP(D220,'Sales Manager'!$A$2:$A$6,'Sales Manager'!$B$2:$B$6,"")</f>
        <v>Musa Garba</v>
      </c>
      <c r="J220" s="12">
        <v>9</v>
      </c>
      <c r="K220" s="12">
        <v>5</v>
      </c>
    </row>
    <row r="221" spans="1:11" x14ac:dyDescent="0.3">
      <c r="A221" s="2">
        <v>220</v>
      </c>
      <c r="B221" s="2">
        <f t="shared" si="15"/>
        <v>103</v>
      </c>
      <c r="C221" s="1" t="str">
        <f>VLOOKUP(B221,Products!A:C,2,FALSE)</f>
        <v>Melon</v>
      </c>
      <c r="D221" s="1" t="str">
        <f t="shared" si="16"/>
        <v>Kaduna</v>
      </c>
      <c r="E221" s="3">
        <f t="shared" si="18"/>
        <v>4</v>
      </c>
      <c r="F221" s="1" t="str">
        <f t="shared" si="18"/>
        <v>Apr</v>
      </c>
      <c r="G221" s="11">
        <v>2000</v>
      </c>
      <c r="H221" s="11">
        <v>1600</v>
      </c>
      <c r="I221" s="4" t="str">
        <f>_xlfn.XLOOKUP(D221,'Sales Manager'!$A$2:$A$6,'Sales Manager'!$B$2:$B$6,"")</f>
        <v>Musa Garba</v>
      </c>
      <c r="J221" s="12">
        <v>6</v>
      </c>
      <c r="K221" s="12">
        <v>6</v>
      </c>
    </row>
    <row r="222" spans="1:11" x14ac:dyDescent="0.3">
      <c r="A222" s="2">
        <v>221</v>
      </c>
      <c r="B222" s="2">
        <f t="shared" si="15"/>
        <v>103</v>
      </c>
      <c r="C222" s="1" t="str">
        <f>VLOOKUP(B222,Products!A:C,2,FALSE)</f>
        <v>Melon</v>
      </c>
      <c r="D222" s="1" t="str">
        <f t="shared" si="16"/>
        <v>Kaduna</v>
      </c>
      <c r="E222" s="3">
        <f t="shared" si="18"/>
        <v>5</v>
      </c>
      <c r="F222" s="1" t="str">
        <f t="shared" si="18"/>
        <v>May</v>
      </c>
      <c r="G222" s="11">
        <v>2333.3333333333335</v>
      </c>
      <c r="H222" s="11">
        <v>2333.3333333333335</v>
      </c>
      <c r="I222" s="4" t="str">
        <f>_xlfn.XLOOKUP(D222,'Sales Manager'!$A$2:$A$6,'Sales Manager'!$B$2:$B$6,"")</f>
        <v>Musa Garba</v>
      </c>
      <c r="J222" s="12">
        <v>8</v>
      </c>
      <c r="K222" s="12">
        <v>10</v>
      </c>
    </row>
    <row r="223" spans="1:11" x14ac:dyDescent="0.3">
      <c r="A223" s="2">
        <v>222</v>
      </c>
      <c r="B223" s="2">
        <f t="shared" si="15"/>
        <v>103</v>
      </c>
      <c r="C223" s="1" t="str">
        <f>VLOOKUP(B223,Products!A:C,2,FALSE)</f>
        <v>Melon</v>
      </c>
      <c r="D223" s="1" t="str">
        <f t="shared" si="16"/>
        <v>Kaduna</v>
      </c>
      <c r="E223" s="3">
        <f t="shared" ref="E223:F238" si="19">E211</f>
        <v>6</v>
      </c>
      <c r="F223" s="1" t="str">
        <f t="shared" si="19"/>
        <v>Jun</v>
      </c>
      <c r="G223" s="11">
        <v>500</v>
      </c>
      <c r="H223" s="11">
        <v>300</v>
      </c>
      <c r="I223" s="4" t="str">
        <f>_xlfn.XLOOKUP(D223,'Sales Manager'!$A$2:$A$6,'Sales Manager'!$B$2:$B$6,"")</f>
        <v>Musa Garba</v>
      </c>
      <c r="J223" s="12">
        <v>8</v>
      </c>
      <c r="K223" s="12">
        <v>6</v>
      </c>
    </row>
    <row r="224" spans="1:11" x14ac:dyDescent="0.3">
      <c r="A224" s="2">
        <v>223</v>
      </c>
      <c r="B224" s="2">
        <f t="shared" si="15"/>
        <v>103</v>
      </c>
      <c r="C224" s="1" t="str">
        <f>VLOOKUP(B224,Products!A:C,2,FALSE)</f>
        <v>Melon</v>
      </c>
      <c r="D224" s="1" t="str">
        <f t="shared" si="16"/>
        <v>Kaduna</v>
      </c>
      <c r="E224" s="3">
        <f t="shared" si="19"/>
        <v>7</v>
      </c>
      <c r="F224" s="1" t="str">
        <f t="shared" si="19"/>
        <v>Jul</v>
      </c>
      <c r="G224" s="11">
        <v>2333.3333333333335</v>
      </c>
      <c r="H224" s="11">
        <v>2233.3333333333335</v>
      </c>
      <c r="I224" s="4" t="str">
        <f>_xlfn.XLOOKUP(D224,'Sales Manager'!$A$2:$A$6,'Sales Manager'!$B$2:$B$6,"")</f>
        <v>Musa Garba</v>
      </c>
      <c r="J224" s="12">
        <v>10</v>
      </c>
      <c r="K224" s="12">
        <v>6</v>
      </c>
    </row>
    <row r="225" spans="1:11" x14ac:dyDescent="0.3">
      <c r="A225" s="2">
        <v>224</v>
      </c>
      <c r="B225" s="2">
        <f t="shared" si="15"/>
        <v>103</v>
      </c>
      <c r="C225" s="1" t="str">
        <f>VLOOKUP(B225,Products!A:C,2,FALSE)</f>
        <v>Melon</v>
      </c>
      <c r="D225" s="1" t="str">
        <f t="shared" si="16"/>
        <v>Kaduna</v>
      </c>
      <c r="E225" s="3">
        <f t="shared" si="19"/>
        <v>8</v>
      </c>
      <c r="F225" s="1" t="str">
        <f t="shared" si="19"/>
        <v>Aug</v>
      </c>
      <c r="G225" s="11">
        <v>1333.3333333333333</v>
      </c>
      <c r="H225" s="11">
        <v>833.33333333333326</v>
      </c>
      <c r="I225" s="4" t="str">
        <f>_xlfn.XLOOKUP(D225,'Sales Manager'!$A$2:$A$6,'Sales Manager'!$B$2:$B$6,"")</f>
        <v>Musa Garba</v>
      </c>
      <c r="J225" s="12">
        <v>5</v>
      </c>
      <c r="K225" s="12">
        <v>10</v>
      </c>
    </row>
    <row r="226" spans="1:11" x14ac:dyDescent="0.3">
      <c r="A226" s="2">
        <v>225</v>
      </c>
      <c r="B226" s="2">
        <f t="shared" si="15"/>
        <v>103</v>
      </c>
      <c r="C226" s="1" t="str">
        <f>VLOOKUP(B226,Products!A:C,2,FALSE)</f>
        <v>Melon</v>
      </c>
      <c r="D226" s="1" t="str">
        <f t="shared" si="16"/>
        <v>Kaduna</v>
      </c>
      <c r="E226" s="3">
        <f t="shared" si="19"/>
        <v>9</v>
      </c>
      <c r="F226" s="1" t="str">
        <f t="shared" si="19"/>
        <v>Sept</v>
      </c>
      <c r="G226" s="11">
        <v>1000</v>
      </c>
      <c r="H226" s="11">
        <v>700</v>
      </c>
      <c r="I226" s="4" t="str">
        <f>_xlfn.XLOOKUP(D226,'Sales Manager'!$A$2:$A$6,'Sales Manager'!$B$2:$B$6,"")</f>
        <v>Musa Garba</v>
      </c>
      <c r="J226" s="12">
        <v>7</v>
      </c>
      <c r="K226" s="12">
        <v>10</v>
      </c>
    </row>
    <row r="227" spans="1:11" x14ac:dyDescent="0.3">
      <c r="A227" s="2">
        <v>226</v>
      </c>
      <c r="B227" s="2">
        <f t="shared" si="15"/>
        <v>103</v>
      </c>
      <c r="C227" s="1" t="str">
        <f>VLOOKUP(B227,Products!A:C,2,FALSE)</f>
        <v>Melon</v>
      </c>
      <c r="D227" s="1" t="str">
        <f t="shared" si="16"/>
        <v>Kaduna</v>
      </c>
      <c r="E227" s="3">
        <f t="shared" si="19"/>
        <v>10</v>
      </c>
      <c r="F227" s="1" t="str">
        <f t="shared" si="19"/>
        <v>Oct</v>
      </c>
      <c r="G227" s="11">
        <v>200</v>
      </c>
      <c r="H227" s="11">
        <v>300</v>
      </c>
      <c r="I227" s="4" t="str">
        <f>_xlfn.XLOOKUP(D227,'Sales Manager'!$A$2:$A$6,'Sales Manager'!$B$2:$B$6,"")</f>
        <v>Musa Garba</v>
      </c>
      <c r="J227" s="12">
        <v>10</v>
      </c>
      <c r="K227" s="12">
        <v>7</v>
      </c>
    </row>
    <row r="228" spans="1:11" x14ac:dyDescent="0.3">
      <c r="A228" s="2">
        <v>227</v>
      </c>
      <c r="B228" s="2">
        <f t="shared" si="15"/>
        <v>103</v>
      </c>
      <c r="C228" s="1" t="str">
        <f>VLOOKUP(B228,Products!A:C,2,FALSE)</f>
        <v>Melon</v>
      </c>
      <c r="D228" s="1" t="str">
        <f t="shared" si="16"/>
        <v>Kaduna</v>
      </c>
      <c r="E228" s="3">
        <f t="shared" si="19"/>
        <v>11</v>
      </c>
      <c r="F228" s="1" t="str">
        <f t="shared" si="19"/>
        <v>Nov</v>
      </c>
      <c r="G228" s="11">
        <v>1750</v>
      </c>
      <c r="H228" s="11">
        <v>1150</v>
      </c>
      <c r="I228" s="4" t="str">
        <f>_xlfn.XLOOKUP(D228,'Sales Manager'!$A$2:$A$6,'Sales Manager'!$B$2:$B$6,"")</f>
        <v>Musa Garba</v>
      </c>
      <c r="J228" s="12">
        <v>7</v>
      </c>
      <c r="K228" s="12">
        <v>9</v>
      </c>
    </row>
    <row r="229" spans="1:11" x14ac:dyDescent="0.3">
      <c r="A229" s="2">
        <v>228</v>
      </c>
      <c r="B229" s="2">
        <f t="shared" si="15"/>
        <v>103</v>
      </c>
      <c r="C229" s="1" t="str">
        <f>VLOOKUP(B229,Products!A:C,2,FALSE)</f>
        <v>Melon</v>
      </c>
      <c r="D229" s="1" t="str">
        <f t="shared" si="16"/>
        <v>Kaduna</v>
      </c>
      <c r="E229" s="3">
        <f t="shared" si="19"/>
        <v>12</v>
      </c>
      <c r="F229" s="1" t="str">
        <f t="shared" si="19"/>
        <v>Dec</v>
      </c>
      <c r="G229" s="11">
        <v>3000</v>
      </c>
      <c r="H229" s="11">
        <v>2700</v>
      </c>
      <c r="I229" s="4" t="str">
        <f>_xlfn.XLOOKUP(D229,'Sales Manager'!$A$2:$A$6,'Sales Manager'!$B$2:$B$6,"")</f>
        <v>Musa Garba</v>
      </c>
      <c r="J229" s="12">
        <v>8</v>
      </c>
      <c r="K229" s="12">
        <v>6</v>
      </c>
    </row>
    <row r="230" spans="1:11" x14ac:dyDescent="0.3">
      <c r="A230" s="2">
        <v>229</v>
      </c>
      <c r="B230" s="2">
        <f t="shared" si="15"/>
        <v>103</v>
      </c>
      <c r="C230" s="1" t="str">
        <f>VLOOKUP(B230,Products!A:C,2,FALSE)</f>
        <v>Melon</v>
      </c>
      <c r="D230" s="1" t="str">
        <f t="shared" si="16"/>
        <v>Ibadan</v>
      </c>
      <c r="E230" s="3">
        <f t="shared" si="19"/>
        <v>1</v>
      </c>
      <c r="F230" s="1" t="str">
        <f t="shared" si="19"/>
        <v>Jan</v>
      </c>
      <c r="G230" s="11">
        <v>1250</v>
      </c>
      <c r="H230" s="11">
        <v>1250</v>
      </c>
      <c r="I230" s="4" t="str">
        <f>_xlfn.XLOOKUP(D230,'Sales Manager'!$A$2:$A$6,'Sales Manager'!$B$2:$B$6,"")</f>
        <v>Funmi Adeyemi</v>
      </c>
      <c r="J230" s="12">
        <v>8</v>
      </c>
      <c r="K230" s="12">
        <v>5</v>
      </c>
    </row>
    <row r="231" spans="1:11" x14ac:dyDescent="0.3">
      <c r="A231" s="2">
        <v>230</v>
      </c>
      <c r="B231" s="2">
        <f t="shared" si="15"/>
        <v>103</v>
      </c>
      <c r="C231" s="1" t="str">
        <f>VLOOKUP(B231,Products!A:C,2,FALSE)</f>
        <v>Melon</v>
      </c>
      <c r="D231" s="1" t="str">
        <f t="shared" si="16"/>
        <v>Ibadan</v>
      </c>
      <c r="E231" s="3">
        <f t="shared" si="19"/>
        <v>2</v>
      </c>
      <c r="F231" s="1" t="str">
        <f t="shared" si="19"/>
        <v>Feb</v>
      </c>
      <c r="G231" s="11">
        <v>400</v>
      </c>
      <c r="H231" s="11">
        <v>200</v>
      </c>
      <c r="I231" s="4" t="str">
        <f>_xlfn.XLOOKUP(D231,'Sales Manager'!$A$2:$A$6,'Sales Manager'!$B$2:$B$6,"")</f>
        <v>Funmi Adeyemi</v>
      </c>
      <c r="J231" s="12">
        <v>5</v>
      </c>
      <c r="K231" s="12">
        <v>7</v>
      </c>
    </row>
    <row r="232" spans="1:11" x14ac:dyDescent="0.3">
      <c r="A232" s="2">
        <v>231</v>
      </c>
      <c r="B232" s="2">
        <f t="shared" si="15"/>
        <v>103</v>
      </c>
      <c r="C232" s="1" t="str">
        <f>VLOOKUP(B232,Products!A:C,2,FALSE)</f>
        <v>Melon</v>
      </c>
      <c r="D232" s="1" t="str">
        <f t="shared" si="16"/>
        <v>Ibadan</v>
      </c>
      <c r="E232" s="3">
        <f t="shared" si="19"/>
        <v>3</v>
      </c>
      <c r="F232" s="1" t="str">
        <f t="shared" si="19"/>
        <v>Mar</v>
      </c>
      <c r="G232" s="11">
        <v>800</v>
      </c>
      <c r="H232" s="11">
        <v>200</v>
      </c>
      <c r="I232" s="4" t="str">
        <f>_xlfn.XLOOKUP(D232,'Sales Manager'!$A$2:$A$6,'Sales Manager'!$B$2:$B$6,"")</f>
        <v>Funmi Adeyemi</v>
      </c>
      <c r="J232" s="12">
        <v>6</v>
      </c>
      <c r="K232" s="12">
        <v>7</v>
      </c>
    </row>
    <row r="233" spans="1:11" x14ac:dyDescent="0.3">
      <c r="A233" s="2">
        <v>232</v>
      </c>
      <c r="B233" s="2">
        <f t="shared" si="15"/>
        <v>103</v>
      </c>
      <c r="C233" s="1" t="str">
        <f>VLOOKUP(B233,Products!A:C,2,FALSE)</f>
        <v>Melon</v>
      </c>
      <c r="D233" s="1" t="str">
        <f t="shared" si="16"/>
        <v>Ibadan</v>
      </c>
      <c r="E233" s="3">
        <f t="shared" si="19"/>
        <v>4</v>
      </c>
      <c r="F233" s="1" t="str">
        <f t="shared" si="19"/>
        <v>Apr</v>
      </c>
      <c r="G233" s="11">
        <v>333.33333333333331</v>
      </c>
      <c r="H233" s="11">
        <v>133.33333333333331</v>
      </c>
      <c r="I233" s="4" t="str">
        <f>_xlfn.XLOOKUP(D233,'Sales Manager'!$A$2:$A$6,'Sales Manager'!$B$2:$B$6,"")</f>
        <v>Funmi Adeyemi</v>
      </c>
      <c r="J233" s="12">
        <v>5</v>
      </c>
      <c r="K233" s="12">
        <v>7</v>
      </c>
    </row>
    <row r="234" spans="1:11" x14ac:dyDescent="0.3">
      <c r="A234" s="2">
        <v>233</v>
      </c>
      <c r="B234" s="2">
        <f t="shared" si="15"/>
        <v>103</v>
      </c>
      <c r="C234" s="1" t="str">
        <f>VLOOKUP(B234,Products!A:C,2,FALSE)</f>
        <v>Melon</v>
      </c>
      <c r="D234" s="1" t="str">
        <f t="shared" si="16"/>
        <v>Ibadan</v>
      </c>
      <c r="E234" s="3">
        <f t="shared" si="19"/>
        <v>5</v>
      </c>
      <c r="F234" s="1" t="str">
        <f t="shared" si="19"/>
        <v>May</v>
      </c>
      <c r="G234" s="11">
        <v>1000</v>
      </c>
      <c r="H234" s="11">
        <v>1000</v>
      </c>
      <c r="I234" s="4" t="str">
        <f>_xlfn.XLOOKUP(D234,'Sales Manager'!$A$2:$A$6,'Sales Manager'!$B$2:$B$6,"")</f>
        <v>Funmi Adeyemi</v>
      </c>
      <c r="J234" s="12">
        <v>6</v>
      </c>
      <c r="K234" s="12">
        <v>10</v>
      </c>
    </row>
    <row r="235" spans="1:11" x14ac:dyDescent="0.3">
      <c r="A235" s="2">
        <v>234</v>
      </c>
      <c r="B235" s="2">
        <f t="shared" si="15"/>
        <v>103</v>
      </c>
      <c r="C235" s="1" t="str">
        <f>VLOOKUP(B235,Products!A:C,2,FALSE)</f>
        <v>Melon</v>
      </c>
      <c r="D235" s="1" t="str">
        <f t="shared" si="16"/>
        <v>Ibadan</v>
      </c>
      <c r="E235" s="3">
        <f t="shared" si="19"/>
        <v>6</v>
      </c>
      <c r="F235" s="1" t="str">
        <f t="shared" si="19"/>
        <v>Jun</v>
      </c>
      <c r="G235" s="11">
        <v>2333.3333333333335</v>
      </c>
      <c r="H235" s="11">
        <v>2333.3333333333335</v>
      </c>
      <c r="I235" s="4" t="str">
        <f>_xlfn.XLOOKUP(D235,'Sales Manager'!$A$2:$A$6,'Sales Manager'!$B$2:$B$6,"")</f>
        <v>Funmi Adeyemi</v>
      </c>
      <c r="J235" s="12">
        <v>9</v>
      </c>
      <c r="K235" s="12">
        <v>5</v>
      </c>
    </row>
    <row r="236" spans="1:11" x14ac:dyDescent="0.3">
      <c r="A236" s="2">
        <v>235</v>
      </c>
      <c r="B236" s="2">
        <f t="shared" si="15"/>
        <v>103</v>
      </c>
      <c r="C236" s="1" t="str">
        <f>VLOOKUP(B236,Products!A:C,2,FALSE)</f>
        <v>Melon</v>
      </c>
      <c r="D236" s="1" t="str">
        <f t="shared" si="16"/>
        <v>Ibadan</v>
      </c>
      <c r="E236" s="3">
        <f t="shared" si="19"/>
        <v>7</v>
      </c>
      <c r="F236" s="1" t="str">
        <f t="shared" si="19"/>
        <v>Jul</v>
      </c>
      <c r="G236" s="11">
        <v>3000</v>
      </c>
      <c r="H236" s="11">
        <v>2900</v>
      </c>
      <c r="I236" s="4" t="str">
        <f>_xlfn.XLOOKUP(D236,'Sales Manager'!$A$2:$A$6,'Sales Manager'!$B$2:$B$6,"")</f>
        <v>Funmi Adeyemi</v>
      </c>
      <c r="J236" s="12">
        <v>8</v>
      </c>
      <c r="K236" s="12">
        <v>8</v>
      </c>
    </row>
    <row r="237" spans="1:11" x14ac:dyDescent="0.3">
      <c r="A237" s="2">
        <v>236</v>
      </c>
      <c r="B237" s="2">
        <f t="shared" si="15"/>
        <v>103</v>
      </c>
      <c r="C237" s="1" t="str">
        <f>VLOOKUP(B237,Products!A:C,2,FALSE)</f>
        <v>Melon</v>
      </c>
      <c r="D237" s="1" t="str">
        <f t="shared" si="16"/>
        <v>Ibadan</v>
      </c>
      <c r="E237" s="3">
        <f t="shared" si="19"/>
        <v>8</v>
      </c>
      <c r="F237" s="1" t="str">
        <f t="shared" si="19"/>
        <v>Aug</v>
      </c>
      <c r="G237" s="11">
        <v>1000</v>
      </c>
      <c r="H237" s="11">
        <v>600</v>
      </c>
      <c r="I237" s="4" t="str">
        <f>_xlfn.XLOOKUP(D237,'Sales Manager'!$A$2:$A$6,'Sales Manager'!$B$2:$B$6,"")</f>
        <v>Funmi Adeyemi</v>
      </c>
      <c r="J237" s="12">
        <v>8</v>
      </c>
      <c r="K237" s="12">
        <v>9</v>
      </c>
    </row>
    <row r="238" spans="1:11" x14ac:dyDescent="0.3">
      <c r="A238" s="2">
        <v>237</v>
      </c>
      <c r="B238" s="2">
        <f t="shared" si="15"/>
        <v>103</v>
      </c>
      <c r="C238" s="1" t="str">
        <f>VLOOKUP(B238,Products!A:C,2,FALSE)</f>
        <v>Melon</v>
      </c>
      <c r="D238" s="1" t="str">
        <f t="shared" si="16"/>
        <v>Ibadan</v>
      </c>
      <c r="E238" s="3">
        <f t="shared" si="19"/>
        <v>9</v>
      </c>
      <c r="F238" s="1" t="str">
        <f t="shared" si="19"/>
        <v>Sept</v>
      </c>
      <c r="G238" s="11">
        <v>1000</v>
      </c>
      <c r="H238" s="11">
        <v>600</v>
      </c>
      <c r="I238" s="4" t="str">
        <f>_xlfn.XLOOKUP(D238,'Sales Manager'!$A$2:$A$6,'Sales Manager'!$B$2:$B$6,"")</f>
        <v>Funmi Adeyemi</v>
      </c>
      <c r="J238" s="12">
        <v>7</v>
      </c>
      <c r="K238" s="12">
        <v>8</v>
      </c>
    </row>
    <row r="239" spans="1:11" x14ac:dyDescent="0.3">
      <c r="A239" s="2">
        <v>238</v>
      </c>
      <c r="B239" s="2">
        <f t="shared" si="15"/>
        <v>103</v>
      </c>
      <c r="C239" s="1" t="str">
        <f>VLOOKUP(B239,Products!A:C,2,FALSE)</f>
        <v>Melon</v>
      </c>
      <c r="D239" s="1" t="str">
        <f t="shared" si="16"/>
        <v>Ibadan</v>
      </c>
      <c r="E239" s="3">
        <f t="shared" ref="E239:F254" si="20">E227</f>
        <v>10</v>
      </c>
      <c r="F239" s="1" t="str">
        <f t="shared" si="20"/>
        <v>Oct</v>
      </c>
      <c r="G239" s="11">
        <v>1666.6666666666667</v>
      </c>
      <c r="H239" s="11">
        <v>966.66666666666674</v>
      </c>
      <c r="I239" s="4" t="str">
        <f>_xlfn.XLOOKUP(D239,'Sales Manager'!$A$2:$A$6,'Sales Manager'!$B$2:$B$6,"")</f>
        <v>Funmi Adeyemi</v>
      </c>
      <c r="J239" s="12">
        <v>8</v>
      </c>
      <c r="K239" s="12">
        <v>9</v>
      </c>
    </row>
    <row r="240" spans="1:11" x14ac:dyDescent="0.3">
      <c r="A240" s="2">
        <v>239</v>
      </c>
      <c r="B240" s="2">
        <f t="shared" si="15"/>
        <v>103</v>
      </c>
      <c r="C240" s="1" t="str">
        <f>VLOOKUP(B240,Products!A:C,2,FALSE)</f>
        <v>Melon</v>
      </c>
      <c r="D240" s="1" t="str">
        <f t="shared" si="16"/>
        <v>Ibadan</v>
      </c>
      <c r="E240" s="3">
        <f t="shared" si="20"/>
        <v>11</v>
      </c>
      <c r="F240" s="1" t="str">
        <f t="shared" si="20"/>
        <v>Nov</v>
      </c>
      <c r="G240" s="11">
        <v>500</v>
      </c>
      <c r="H240" s="11">
        <v>500</v>
      </c>
      <c r="I240" s="4" t="str">
        <f>_xlfn.XLOOKUP(D240,'Sales Manager'!$A$2:$A$6,'Sales Manager'!$B$2:$B$6,"")</f>
        <v>Funmi Adeyemi</v>
      </c>
      <c r="J240" s="12">
        <v>10</v>
      </c>
      <c r="K240" s="12">
        <v>6</v>
      </c>
    </row>
    <row r="241" spans="1:11" x14ac:dyDescent="0.3">
      <c r="A241" s="2">
        <v>240</v>
      </c>
      <c r="B241" s="2">
        <f t="shared" si="15"/>
        <v>103</v>
      </c>
      <c r="C241" s="1" t="str">
        <f>VLOOKUP(B241,Products!A:C,2,FALSE)</f>
        <v>Melon</v>
      </c>
      <c r="D241" s="1" t="str">
        <f t="shared" si="16"/>
        <v>Ibadan</v>
      </c>
      <c r="E241" s="3">
        <f t="shared" si="20"/>
        <v>12</v>
      </c>
      <c r="F241" s="1" t="str">
        <f t="shared" si="20"/>
        <v>Dec</v>
      </c>
      <c r="G241" s="11">
        <v>1600</v>
      </c>
      <c r="H241" s="11">
        <v>1300</v>
      </c>
      <c r="I241" s="4" t="str">
        <f>_xlfn.XLOOKUP(D241,'Sales Manager'!$A$2:$A$6,'Sales Manager'!$B$2:$B$6,"")</f>
        <v>Funmi Adeyemi</v>
      </c>
      <c r="J241" s="12">
        <v>7</v>
      </c>
      <c r="K241" s="12">
        <v>7</v>
      </c>
    </row>
    <row r="242" spans="1:11" x14ac:dyDescent="0.3">
      <c r="A242" s="2">
        <v>241</v>
      </c>
      <c r="B242" s="2">
        <f t="shared" si="15"/>
        <v>104</v>
      </c>
      <c r="C242" s="1" t="str">
        <f>VLOOKUP(B242,Products!A:C,2,FALSE)</f>
        <v>Apple</v>
      </c>
      <c r="D242" s="1" t="str">
        <f t="shared" si="16"/>
        <v>Lagos</v>
      </c>
      <c r="E242" s="3">
        <f t="shared" si="20"/>
        <v>1</v>
      </c>
      <c r="F242" s="1" t="str">
        <f t="shared" si="20"/>
        <v>Jan</v>
      </c>
      <c r="G242" s="11">
        <v>400</v>
      </c>
      <c r="H242" s="11">
        <v>300</v>
      </c>
      <c r="I242" s="4" t="str">
        <f>_xlfn.XLOOKUP(D242,'Sales Manager'!$A$2:$A$6,'Sales Manager'!$B$2:$B$6,"")</f>
        <v>Adaora Okafor</v>
      </c>
      <c r="J242" s="12">
        <v>5</v>
      </c>
      <c r="K242" s="12">
        <v>5</v>
      </c>
    </row>
    <row r="243" spans="1:11" x14ac:dyDescent="0.3">
      <c r="A243" s="2">
        <v>242</v>
      </c>
      <c r="B243" s="2">
        <f t="shared" si="15"/>
        <v>104</v>
      </c>
      <c r="C243" s="1" t="str">
        <f>VLOOKUP(B243,Products!A:C,2,FALSE)</f>
        <v>Apple</v>
      </c>
      <c r="D243" s="1" t="str">
        <f t="shared" si="16"/>
        <v>Lagos</v>
      </c>
      <c r="E243" s="3">
        <f t="shared" si="20"/>
        <v>2</v>
      </c>
      <c r="F243" s="1" t="str">
        <f t="shared" si="20"/>
        <v>Feb</v>
      </c>
      <c r="G243" s="11">
        <v>2000</v>
      </c>
      <c r="H243" s="11">
        <v>1500</v>
      </c>
      <c r="I243" s="4" t="str">
        <f>_xlfn.XLOOKUP(D243,'Sales Manager'!$A$2:$A$6,'Sales Manager'!$B$2:$B$6,"")</f>
        <v>Adaora Okafor</v>
      </c>
      <c r="J243" s="12">
        <v>5</v>
      </c>
      <c r="K243" s="12">
        <v>6</v>
      </c>
    </row>
    <row r="244" spans="1:11" x14ac:dyDescent="0.3">
      <c r="A244" s="2">
        <v>243</v>
      </c>
      <c r="B244" s="2">
        <f t="shared" si="15"/>
        <v>104</v>
      </c>
      <c r="C244" s="1" t="str">
        <f>VLOOKUP(B244,Products!A:C,2,FALSE)</f>
        <v>Apple</v>
      </c>
      <c r="D244" s="1" t="str">
        <f t="shared" si="16"/>
        <v>Lagos</v>
      </c>
      <c r="E244" s="3">
        <f t="shared" si="20"/>
        <v>3</v>
      </c>
      <c r="F244" s="1" t="str">
        <f t="shared" si="20"/>
        <v>Mar</v>
      </c>
      <c r="G244" s="11">
        <v>200</v>
      </c>
      <c r="H244" s="11">
        <v>700</v>
      </c>
      <c r="I244" s="4" t="str">
        <f>_xlfn.XLOOKUP(D244,'Sales Manager'!$A$2:$A$6,'Sales Manager'!$B$2:$B$6,"")</f>
        <v>Adaora Okafor</v>
      </c>
      <c r="J244" s="12">
        <v>6</v>
      </c>
      <c r="K244" s="12">
        <v>10</v>
      </c>
    </row>
    <row r="245" spans="1:11" x14ac:dyDescent="0.3">
      <c r="A245" s="2">
        <v>244</v>
      </c>
      <c r="B245" s="2">
        <f t="shared" si="15"/>
        <v>104</v>
      </c>
      <c r="C245" s="1" t="str">
        <f>VLOOKUP(B245,Products!A:C,2,FALSE)</f>
        <v>Apple</v>
      </c>
      <c r="D245" s="1" t="str">
        <f t="shared" si="16"/>
        <v>Lagos</v>
      </c>
      <c r="E245" s="3">
        <f t="shared" si="20"/>
        <v>4</v>
      </c>
      <c r="F245" s="1" t="str">
        <f t="shared" si="20"/>
        <v>Apr</v>
      </c>
      <c r="G245" s="11">
        <v>500</v>
      </c>
      <c r="H245" s="11">
        <v>300</v>
      </c>
      <c r="I245" s="4" t="str">
        <f>_xlfn.XLOOKUP(D245,'Sales Manager'!$A$2:$A$6,'Sales Manager'!$B$2:$B$6,"")</f>
        <v>Adaora Okafor</v>
      </c>
      <c r="J245" s="12">
        <v>6</v>
      </c>
      <c r="K245" s="12">
        <v>7</v>
      </c>
    </row>
    <row r="246" spans="1:11" x14ac:dyDescent="0.3">
      <c r="A246" s="2">
        <v>245</v>
      </c>
      <c r="B246" s="2">
        <f t="shared" si="15"/>
        <v>104</v>
      </c>
      <c r="C246" s="1" t="str">
        <f>VLOOKUP(B246,Products!A:C,2,FALSE)</f>
        <v>Apple</v>
      </c>
      <c r="D246" s="1" t="str">
        <f t="shared" si="16"/>
        <v>Lagos</v>
      </c>
      <c r="E246" s="3">
        <f t="shared" si="20"/>
        <v>5</v>
      </c>
      <c r="F246" s="1" t="str">
        <f t="shared" si="20"/>
        <v>May</v>
      </c>
      <c r="G246" s="11">
        <v>600</v>
      </c>
      <c r="H246" s="11">
        <v>300</v>
      </c>
      <c r="I246" s="4" t="str">
        <f>_xlfn.XLOOKUP(D246,'Sales Manager'!$A$2:$A$6,'Sales Manager'!$B$2:$B$6,"")</f>
        <v>Adaora Okafor</v>
      </c>
      <c r="J246" s="12">
        <v>7</v>
      </c>
      <c r="K246" s="12">
        <v>5</v>
      </c>
    </row>
    <row r="247" spans="1:11" x14ac:dyDescent="0.3">
      <c r="A247" s="2">
        <v>246</v>
      </c>
      <c r="B247" s="2">
        <f t="shared" si="15"/>
        <v>104</v>
      </c>
      <c r="C247" s="1" t="str">
        <f>VLOOKUP(B247,Products!A:C,2,FALSE)</f>
        <v>Apple</v>
      </c>
      <c r="D247" s="1" t="str">
        <f t="shared" si="16"/>
        <v>Lagos</v>
      </c>
      <c r="E247" s="3">
        <f t="shared" si="20"/>
        <v>6</v>
      </c>
      <c r="F247" s="1" t="str">
        <f t="shared" si="20"/>
        <v>Jun</v>
      </c>
      <c r="G247" s="11">
        <v>3333.3333333333335</v>
      </c>
      <c r="H247" s="11">
        <v>3133.3333333333335</v>
      </c>
      <c r="I247" s="4" t="str">
        <f>_xlfn.XLOOKUP(D247,'Sales Manager'!$A$2:$A$6,'Sales Manager'!$B$2:$B$6,"")</f>
        <v>Adaora Okafor</v>
      </c>
      <c r="J247" s="12">
        <v>7</v>
      </c>
      <c r="K247" s="12">
        <v>7</v>
      </c>
    </row>
    <row r="248" spans="1:11" x14ac:dyDescent="0.3">
      <c r="A248" s="2">
        <v>247</v>
      </c>
      <c r="B248" s="2">
        <f t="shared" si="15"/>
        <v>104</v>
      </c>
      <c r="C248" s="1" t="str">
        <f>VLOOKUP(B248,Products!A:C,2,FALSE)</f>
        <v>Apple</v>
      </c>
      <c r="D248" s="1" t="str">
        <f t="shared" si="16"/>
        <v>Lagos</v>
      </c>
      <c r="E248" s="3">
        <f t="shared" si="20"/>
        <v>7</v>
      </c>
      <c r="F248" s="1" t="str">
        <f t="shared" si="20"/>
        <v>Jul</v>
      </c>
      <c r="G248" s="11">
        <v>500</v>
      </c>
      <c r="H248" s="11">
        <v>400</v>
      </c>
      <c r="I248" s="4" t="str">
        <f>_xlfn.XLOOKUP(D248,'Sales Manager'!$A$2:$A$6,'Sales Manager'!$B$2:$B$6,"")</f>
        <v>Adaora Okafor</v>
      </c>
      <c r="J248" s="12">
        <v>10</v>
      </c>
      <c r="K248" s="12">
        <v>9</v>
      </c>
    </row>
    <row r="249" spans="1:11" x14ac:dyDescent="0.3">
      <c r="A249" s="2">
        <v>248</v>
      </c>
      <c r="B249" s="2">
        <f t="shared" si="15"/>
        <v>104</v>
      </c>
      <c r="C249" s="1" t="str">
        <f>VLOOKUP(B249,Products!A:C,2,FALSE)</f>
        <v>Apple</v>
      </c>
      <c r="D249" s="1" t="str">
        <f t="shared" si="16"/>
        <v>Lagos</v>
      </c>
      <c r="E249" s="3">
        <f t="shared" si="20"/>
        <v>8</v>
      </c>
      <c r="F249" s="1" t="str">
        <f t="shared" si="20"/>
        <v>Aug</v>
      </c>
      <c r="G249" s="11">
        <v>1500</v>
      </c>
      <c r="H249" s="11">
        <v>1200</v>
      </c>
      <c r="I249" s="4" t="str">
        <f>_xlfn.XLOOKUP(D249,'Sales Manager'!$A$2:$A$6,'Sales Manager'!$B$2:$B$6,"")</f>
        <v>Adaora Okafor</v>
      </c>
      <c r="J249" s="12">
        <v>10</v>
      </c>
      <c r="K249" s="12">
        <v>7</v>
      </c>
    </row>
    <row r="250" spans="1:11" x14ac:dyDescent="0.3">
      <c r="A250" s="2">
        <v>249</v>
      </c>
      <c r="B250" s="2">
        <f t="shared" si="15"/>
        <v>104</v>
      </c>
      <c r="C250" s="1" t="str">
        <f>VLOOKUP(B250,Products!A:C,2,FALSE)</f>
        <v>Apple</v>
      </c>
      <c r="D250" s="1" t="str">
        <f t="shared" si="16"/>
        <v>Lagos</v>
      </c>
      <c r="E250" s="3">
        <f t="shared" si="20"/>
        <v>9</v>
      </c>
      <c r="F250" s="1" t="str">
        <f t="shared" si="20"/>
        <v>Sept</v>
      </c>
      <c r="G250" s="11">
        <v>4000</v>
      </c>
      <c r="H250" s="11">
        <v>3700</v>
      </c>
      <c r="I250" s="4" t="str">
        <f>_xlfn.XLOOKUP(D250,'Sales Manager'!$A$2:$A$6,'Sales Manager'!$B$2:$B$6,"")</f>
        <v>Adaora Okafor</v>
      </c>
      <c r="J250" s="12">
        <v>5</v>
      </c>
      <c r="K250" s="12">
        <v>7</v>
      </c>
    </row>
    <row r="251" spans="1:11" x14ac:dyDescent="0.3">
      <c r="A251" s="2">
        <v>250</v>
      </c>
      <c r="B251" s="2">
        <f t="shared" si="15"/>
        <v>104</v>
      </c>
      <c r="C251" s="1" t="str">
        <f>VLOOKUP(B251,Products!A:C,2,FALSE)</f>
        <v>Apple</v>
      </c>
      <c r="D251" s="1" t="str">
        <f t="shared" si="16"/>
        <v>Lagos</v>
      </c>
      <c r="E251" s="3">
        <f t="shared" si="20"/>
        <v>10</v>
      </c>
      <c r="F251" s="1" t="str">
        <f t="shared" si="20"/>
        <v>Oct</v>
      </c>
      <c r="G251" s="11">
        <v>600</v>
      </c>
      <c r="H251" s="11">
        <v>400</v>
      </c>
      <c r="I251" s="4" t="str">
        <f>_xlfn.XLOOKUP(D251,'Sales Manager'!$A$2:$A$6,'Sales Manager'!$B$2:$B$6,"")</f>
        <v>Adaora Okafor</v>
      </c>
      <c r="J251" s="12">
        <v>7</v>
      </c>
      <c r="K251" s="12">
        <v>9</v>
      </c>
    </row>
    <row r="252" spans="1:11" x14ac:dyDescent="0.3">
      <c r="A252" s="2">
        <v>251</v>
      </c>
      <c r="B252" s="2">
        <f t="shared" si="15"/>
        <v>104</v>
      </c>
      <c r="C252" s="1" t="str">
        <f>VLOOKUP(B252,Products!A:C,2,FALSE)</f>
        <v>Apple</v>
      </c>
      <c r="D252" s="1" t="str">
        <f t="shared" si="16"/>
        <v>Lagos</v>
      </c>
      <c r="E252" s="3">
        <f t="shared" si="20"/>
        <v>11</v>
      </c>
      <c r="F252" s="1" t="str">
        <f t="shared" si="20"/>
        <v>Nov</v>
      </c>
      <c r="G252" s="11">
        <v>250</v>
      </c>
      <c r="H252" s="11">
        <v>150</v>
      </c>
      <c r="I252" s="4" t="str">
        <f>_xlfn.XLOOKUP(D252,'Sales Manager'!$A$2:$A$6,'Sales Manager'!$B$2:$B$6,"")</f>
        <v>Adaora Okafor</v>
      </c>
      <c r="J252" s="12">
        <v>7</v>
      </c>
      <c r="K252" s="12">
        <v>10</v>
      </c>
    </row>
    <row r="253" spans="1:11" x14ac:dyDescent="0.3">
      <c r="A253" s="2">
        <v>252</v>
      </c>
      <c r="B253" s="2">
        <f t="shared" si="15"/>
        <v>104</v>
      </c>
      <c r="C253" s="1" t="str">
        <f>VLOOKUP(B253,Products!A:C,2,FALSE)</f>
        <v>Apple</v>
      </c>
      <c r="D253" s="1" t="str">
        <f t="shared" si="16"/>
        <v>Lagos</v>
      </c>
      <c r="E253" s="3">
        <f t="shared" si="20"/>
        <v>12</v>
      </c>
      <c r="F253" s="1" t="str">
        <f t="shared" si="20"/>
        <v>Dec</v>
      </c>
      <c r="G253" s="11">
        <v>1500</v>
      </c>
      <c r="H253" s="11">
        <v>900</v>
      </c>
      <c r="I253" s="4" t="str">
        <f>_xlfn.XLOOKUP(D253,'Sales Manager'!$A$2:$A$6,'Sales Manager'!$B$2:$B$6,"")</f>
        <v>Adaora Okafor</v>
      </c>
      <c r="J253" s="12">
        <v>6</v>
      </c>
      <c r="K253" s="12">
        <v>9</v>
      </c>
    </row>
    <row r="254" spans="1:11" x14ac:dyDescent="0.3">
      <c r="A254" s="2">
        <v>253</v>
      </c>
      <c r="B254" s="2">
        <f t="shared" si="15"/>
        <v>104</v>
      </c>
      <c r="C254" s="1" t="str">
        <f>VLOOKUP(B254,Products!A:C,2,FALSE)</f>
        <v>Apple</v>
      </c>
      <c r="D254" s="1" t="str">
        <f t="shared" si="16"/>
        <v>Abuja</v>
      </c>
      <c r="E254" s="3">
        <f t="shared" si="20"/>
        <v>1</v>
      </c>
      <c r="F254" s="1" t="str">
        <f t="shared" si="20"/>
        <v>Jan</v>
      </c>
      <c r="G254" s="11">
        <v>1500</v>
      </c>
      <c r="H254" s="11">
        <v>1300</v>
      </c>
      <c r="I254" s="4" t="str">
        <f>_xlfn.XLOOKUP(D254,'Sales Manager'!$A$2:$A$6,'Sales Manager'!$B$2:$B$6,"")</f>
        <v>Emeka Nwosu</v>
      </c>
      <c r="J254" s="12">
        <v>5</v>
      </c>
      <c r="K254" s="12">
        <v>9</v>
      </c>
    </row>
    <row r="255" spans="1:11" x14ac:dyDescent="0.3">
      <c r="A255" s="2">
        <v>254</v>
      </c>
      <c r="B255" s="2">
        <f t="shared" ref="B255:B318" si="21">B195+1</f>
        <v>104</v>
      </c>
      <c r="C255" s="1" t="str">
        <f>VLOOKUP(B255,Products!A:C,2,FALSE)</f>
        <v>Apple</v>
      </c>
      <c r="D255" s="1" t="str">
        <f t="shared" ref="D255:D318" si="22">D195</f>
        <v>Abuja</v>
      </c>
      <c r="E255" s="3">
        <f t="shared" ref="E255:F270" si="23">E243</f>
        <v>2</v>
      </c>
      <c r="F255" s="1" t="str">
        <f t="shared" si="23"/>
        <v>Feb</v>
      </c>
      <c r="G255" s="11">
        <v>666.66666666666663</v>
      </c>
      <c r="H255" s="11">
        <v>266.66666666666663</v>
      </c>
      <c r="I255" s="4" t="str">
        <f>_xlfn.XLOOKUP(D255,'Sales Manager'!$A$2:$A$6,'Sales Manager'!$B$2:$B$6,"")</f>
        <v>Emeka Nwosu</v>
      </c>
      <c r="J255" s="12">
        <v>9</v>
      </c>
      <c r="K255" s="12">
        <v>8</v>
      </c>
    </row>
    <row r="256" spans="1:11" x14ac:dyDescent="0.3">
      <c r="A256" s="2">
        <v>255</v>
      </c>
      <c r="B256" s="2">
        <f t="shared" si="21"/>
        <v>104</v>
      </c>
      <c r="C256" s="1" t="str">
        <f>VLOOKUP(B256,Products!A:C,2,FALSE)</f>
        <v>Apple</v>
      </c>
      <c r="D256" s="1" t="str">
        <f t="shared" si="22"/>
        <v>Abuja</v>
      </c>
      <c r="E256" s="3">
        <f t="shared" si="23"/>
        <v>3</v>
      </c>
      <c r="F256" s="1" t="str">
        <f t="shared" si="23"/>
        <v>Mar</v>
      </c>
      <c r="G256" s="11">
        <v>2000</v>
      </c>
      <c r="H256" s="11">
        <v>1500</v>
      </c>
      <c r="I256" s="4" t="str">
        <f>_xlfn.XLOOKUP(D256,'Sales Manager'!$A$2:$A$6,'Sales Manager'!$B$2:$B$6,"")</f>
        <v>Emeka Nwosu</v>
      </c>
      <c r="J256" s="12">
        <v>9</v>
      </c>
      <c r="K256" s="12">
        <v>9</v>
      </c>
    </row>
    <row r="257" spans="1:11" x14ac:dyDescent="0.3">
      <c r="A257" s="2">
        <v>256</v>
      </c>
      <c r="B257" s="2">
        <f t="shared" si="21"/>
        <v>104</v>
      </c>
      <c r="C257" s="1" t="str">
        <f>VLOOKUP(B257,Products!A:C,2,FALSE)</f>
        <v>Apple</v>
      </c>
      <c r="D257" s="1" t="str">
        <f t="shared" si="22"/>
        <v>Abuja</v>
      </c>
      <c r="E257" s="3">
        <f t="shared" si="23"/>
        <v>4</v>
      </c>
      <c r="F257" s="1" t="str">
        <f t="shared" si="23"/>
        <v>Apr</v>
      </c>
      <c r="G257" s="11">
        <v>1666.6666666666667</v>
      </c>
      <c r="H257" s="11">
        <v>1166.6666666666667</v>
      </c>
      <c r="I257" s="4" t="str">
        <f>_xlfn.XLOOKUP(D257,'Sales Manager'!$A$2:$A$6,'Sales Manager'!$B$2:$B$6,"")</f>
        <v>Emeka Nwosu</v>
      </c>
      <c r="J257" s="12">
        <v>6</v>
      </c>
      <c r="K257" s="12">
        <v>6</v>
      </c>
    </row>
    <row r="258" spans="1:11" x14ac:dyDescent="0.3">
      <c r="A258" s="2">
        <v>257</v>
      </c>
      <c r="B258" s="2">
        <f t="shared" si="21"/>
        <v>104</v>
      </c>
      <c r="C258" s="1" t="str">
        <f>VLOOKUP(B258,Products!A:C,2,FALSE)</f>
        <v>Apple</v>
      </c>
      <c r="D258" s="1" t="str">
        <f t="shared" si="22"/>
        <v>Abuja</v>
      </c>
      <c r="E258" s="3">
        <f t="shared" si="23"/>
        <v>5</v>
      </c>
      <c r="F258" s="1" t="str">
        <f t="shared" si="23"/>
        <v>May</v>
      </c>
      <c r="G258" s="11">
        <v>1250</v>
      </c>
      <c r="H258" s="11">
        <v>750</v>
      </c>
      <c r="I258" s="4" t="str">
        <f>_xlfn.XLOOKUP(D258,'Sales Manager'!$A$2:$A$6,'Sales Manager'!$B$2:$B$6,"")</f>
        <v>Emeka Nwosu</v>
      </c>
      <c r="J258" s="12">
        <v>6</v>
      </c>
      <c r="K258" s="12">
        <v>9</v>
      </c>
    </row>
    <row r="259" spans="1:11" x14ac:dyDescent="0.3">
      <c r="A259" s="2">
        <v>258</v>
      </c>
      <c r="B259" s="2">
        <f t="shared" si="21"/>
        <v>104</v>
      </c>
      <c r="C259" s="1" t="str">
        <f>VLOOKUP(B259,Products!A:C,2,FALSE)</f>
        <v>Apple</v>
      </c>
      <c r="D259" s="1" t="str">
        <f t="shared" si="22"/>
        <v>Abuja</v>
      </c>
      <c r="E259" s="3">
        <f t="shared" si="23"/>
        <v>6</v>
      </c>
      <c r="F259" s="1" t="str">
        <f t="shared" si="23"/>
        <v>Jun</v>
      </c>
      <c r="G259" s="11">
        <v>1666.6666666666667</v>
      </c>
      <c r="H259" s="11">
        <v>1466.6666666666667</v>
      </c>
      <c r="I259" s="4" t="str">
        <f>_xlfn.XLOOKUP(D259,'Sales Manager'!$A$2:$A$6,'Sales Manager'!$B$2:$B$6,"")</f>
        <v>Emeka Nwosu</v>
      </c>
      <c r="J259" s="12">
        <v>7</v>
      </c>
      <c r="K259" s="12">
        <v>9</v>
      </c>
    </row>
    <row r="260" spans="1:11" x14ac:dyDescent="0.3">
      <c r="A260" s="2">
        <v>259</v>
      </c>
      <c r="B260" s="2">
        <f t="shared" si="21"/>
        <v>104</v>
      </c>
      <c r="C260" s="1" t="str">
        <f>VLOOKUP(B260,Products!A:C,2,FALSE)</f>
        <v>Apple</v>
      </c>
      <c r="D260" s="1" t="str">
        <f t="shared" si="22"/>
        <v>Abuja</v>
      </c>
      <c r="E260" s="3">
        <f t="shared" si="23"/>
        <v>7</v>
      </c>
      <c r="F260" s="1" t="str">
        <f t="shared" si="23"/>
        <v>Jul</v>
      </c>
      <c r="G260" s="11">
        <v>1666.6666666666667</v>
      </c>
      <c r="H260" s="11">
        <v>1366.6666666666667</v>
      </c>
      <c r="I260" s="4" t="str">
        <f>_xlfn.XLOOKUP(D260,'Sales Manager'!$A$2:$A$6,'Sales Manager'!$B$2:$B$6,"")</f>
        <v>Emeka Nwosu</v>
      </c>
      <c r="J260" s="12">
        <v>7</v>
      </c>
      <c r="K260" s="12">
        <v>10</v>
      </c>
    </row>
    <row r="261" spans="1:11" x14ac:dyDescent="0.3">
      <c r="A261" s="2">
        <v>260</v>
      </c>
      <c r="B261" s="2">
        <f t="shared" si="21"/>
        <v>104</v>
      </c>
      <c r="C261" s="1" t="str">
        <f>VLOOKUP(B261,Products!A:C,2,FALSE)</f>
        <v>Apple</v>
      </c>
      <c r="D261" s="1" t="str">
        <f t="shared" si="22"/>
        <v>Abuja</v>
      </c>
      <c r="E261" s="3">
        <f t="shared" si="23"/>
        <v>8</v>
      </c>
      <c r="F261" s="1" t="str">
        <f t="shared" si="23"/>
        <v>Aug</v>
      </c>
      <c r="G261" s="11">
        <v>666.66666666666663</v>
      </c>
      <c r="H261" s="11">
        <v>666.66666666666663</v>
      </c>
      <c r="I261" s="4" t="str">
        <f>_xlfn.XLOOKUP(D261,'Sales Manager'!$A$2:$A$6,'Sales Manager'!$B$2:$B$6,"")</f>
        <v>Emeka Nwosu</v>
      </c>
      <c r="J261" s="12">
        <v>9</v>
      </c>
      <c r="K261" s="12">
        <v>5</v>
      </c>
    </row>
    <row r="262" spans="1:11" x14ac:dyDescent="0.3">
      <c r="A262" s="2">
        <v>261</v>
      </c>
      <c r="B262" s="2">
        <f t="shared" si="21"/>
        <v>104</v>
      </c>
      <c r="C262" s="1" t="str">
        <f>VLOOKUP(B262,Products!A:C,2,FALSE)</f>
        <v>Apple</v>
      </c>
      <c r="D262" s="1" t="str">
        <f t="shared" si="22"/>
        <v>Abuja</v>
      </c>
      <c r="E262" s="3">
        <f t="shared" si="23"/>
        <v>9</v>
      </c>
      <c r="F262" s="1" t="str">
        <f t="shared" si="23"/>
        <v>Sept</v>
      </c>
      <c r="G262" s="11">
        <v>800</v>
      </c>
      <c r="H262" s="11">
        <v>600</v>
      </c>
      <c r="I262" s="4" t="str">
        <f>_xlfn.XLOOKUP(D262,'Sales Manager'!$A$2:$A$6,'Sales Manager'!$B$2:$B$6,"")</f>
        <v>Emeka Nwosu</v>
      </c>
      <c r="J262" s="12">
        <v>8</v>
      </c>
      <c r="K262" s="12">
        <v>8</v>
      </c>
    </row>
    <row r="263" spans="1:11" x14ac:dyDescent="0.3">
      <c r="A263" s="2">
        <v>262</v>
      </c>
      <c r="B263" s="2">
        <f t="shared" si="21"/>
        <v>104</v>
      </c>
      <c r="C263" s="1" t="str">
        <f>VLOOKUP(B263,Products!A:C,2,FALSE)</f>
        <v>Apple</v>
      </c>
      <c r="D263" s="1" t="str">
        <f t="shared" si="22"/>
        <v>Abuja</v>
      </c>
      <c r="E263" s="3">
        <f t="shared" si="23"/>
        <v>10</v>
      </c>
      <c r="F263" s="1" t="str">
        <f t="shared" si="23"/>
        <v>Oct</v>
      </c>
      <c r="G263" s="11">
        <v>1500</v>
      </c>
      <c r="H263" s="11">
        <v>1500</v>
      </c>
      <c r="I263" s="4" t="str">
        <f>_xlfn.XLOOKUP(D263,'Sales Manager'!$A$2:$A$6,'Sales Manager'!$B$2:$B$6,"")</f>
        <v>Emeka Nwosu</v>
      </c>
      <c r="J263" s="12">
        <v>6</v>
      </c>
      <c r="K263" s="12">
        <v>6</v>
      </c>
    </row>
    <row r="264" spans="1:11" x14ac:dyDescent="0.3">
      <c r="A264" s="2">
        <v>263</v>
      </c>
      <c r="B264" s="2">
        <f t="shared" si="21"/>
        <v>104</v>
      </c>
      <c r="C264" s="1" t="str">
        <f>VLOOKUP(B264,Products!A:C,2,FALSE)</f>
        <v>Apple</v>
      </c>
      <c r="D264" s="1" t="str">
        <f t="shared" si="22"/>
        <v>Abuja</v>
      </c>
      <c r="E264" s="3">
        <f t="shared" si="23"/>
        <v>11</v>
      </c>
      <c r="F264" s="1" t="str">
        <f t="shared" si="23"/>
        <v>Nov</v>
      </c>
      <c r="G264" s="11">
        <v>500</v>
      </c>
      <c r="H264" s="11">
        <v>300</v>
      </c>
      <c r="I264" s="4" t="str">
        <f>_xlfn.XLOOKUP(D264,'Sales Manager'!$A$2:$A$6,'Sales Manager'!$B$2:$B$6,"")</f>
        <v>Emeka Nwosu</v>
      </c>
      <c r="J264" s="12">
        <v>8</v>
      </c>
      <c r="K264" s="12">
        <v>10</v>
      </c>
    </row>
    <row r="265" spans="1:11" x14ac:dyDescent="0.3">
      <c r="A265" s="2">
        <v>264</v>
      </c>
      <c r="B265" s="2">
        <f t="shared" si="21"/>
        <v>104</v>
      </c>
      <c r="C265" s="1" t="str">
        <f>VLOOKUP(B265,Products!A:C,2,FALSE)</f>
        <v>Apple</v>
      </c>
      <c r="D265" s="1" t="str">
        <f t="shared" si="22"/>
        <v>Abuja</v>
      </c>
      <c r="E265" s="3">
        <f t="shared" si="23"/>
        <v>12</v>
      </c>
      <c r="F265" s="1" t="str">
        <f t="shared" si="23"/>
        <v>Dec</v>
      </c>
      <c r="G265" s="11">
        <v>1400</v>
      </c>
      <c r="H265" s="11">
        <v>1200</v>
      </c>
      <c r="I265" s="4" t="str">
        <f>_xlfn.XLOOKUP(D265,'Sales Manager'!$A$2:$A$6,'Sales Manager'!$B$2:$B$6,"")</f>
        <v>Emeka Nwosu</v>
      </c>
      <c r="J265" s="12">
        <v>5</v>
      </c>
      <c r="K265" s="12">
        <v>5</v>
      </c>
    </row>
    <row r="266" spans="1:11" x14ac:dyDescent="0.3">
      <c r="A266" s="2">
        <v>265</v>
      </c>
      <c r="B266" s="2">
        <f t="shared" si="21"/>
        <v>104</v>
      </c>
      <c r="C266" s="1" t="str">
        <f>VLOOKUP(B266,Products!A:C,2,FALSE)</f>
        <v>Apple</v>
      </c>
      <c r="D266" s="1" t="str">
        <f t="shared" si="22"/>
        <v>Warri</v>
      </c>
      <c r="E266" s="3">
        <f t="shared" si="23"/>
        <v>1</v>
      </c>
      <c r="F266" s="1" t="str">
        <f t="shared" si="23"/>
        <v>Jan</v>
      </c>
      <c r="G266" s="11">
        <v>1000</v>
      </c>
      <c r="H266" s="11">
        <v>700</v>
      </c>
      <c r="I266" s="4" t="str">
        <f>_xlfn.XLOOKUP(D266,'Sales Manager'!$A$2:$A$6,'Sales Manager'!$B$2:$B$6,"")</f>
        <v>Gbenga Adesanya</v>
      </c>
      <c r="J266" s="12">
        <v>8</v>
      </c>
      <c r="K266" s="12">
        <v>5</v>
      </c>
    </row>
    <row r="267" spans="1:11" x14ac:dyDescent="0.3">
      <c r="A267" s="2">
        <v>266</v>
      </c>
      <c r="B267" s="2">
        <f t="shared" si="21"/>
        <v>104</v>
      </c>
      <c r="C267" s="1" t="str">
        <f>VLOOKUP(B267,Products!A:C,2,FALSE)</f>
        <v>Apple</v>
      </c>
      <c r="D267" s="1" t="str">
        <f t="shared" si="22"/>
        <v>Warri</v>
      </c>
      <c r="E267" s="3">
        <f t="shared" si="23"/>
        <v>2</v>
      </c>
      <c r="F267" s="1" t="str">
        <f t="shared" si="23"/>
        <v>Feb</v>
      </c>
      <c r="G267" s="11">
        <v>1800</v>
      </c>
      <c r="H267" s="11">
        <v>1700</v>
      </c>
      <c r="I267" s="4" t="str">
        <f>_xlfn.XLOOKUP(D267,'Sales Manager'!$A$2:$A$6,'Sales Manager'!$B$2:$B$6,"")</f>
        <v>Gbenga Adesanya</v>
      </c>
      <c r="J267" s="12">
        <v>6</v>
      </c>
      <c r="K267" s="12">
        <v>5</v>
      </c>
    </row>
    <row r="268" spans="1:11" x14ac:dyDescent="0.3">
      <c r="A268" s="2">
        <v>267</v>
      </c>
      <c r="B268" s="2">
        <f t="shared" si="21"/>
        <v>104</v>
      </c>
      <c r="C268" s="1" t="str">
        <f>VLOOKUP(B268,Products!A:C,2,FALSE)</f>
        <v>Apple</v>
      </c>
      <c r="D268" s="1" t="str">
        <f t="shared" si="22"/>
        <v>Warri</v>
      </c>
      <c r="E268" s="3">
        <f t="shared" si="23"/>
        <v>3</v>
      </c>
      <c r="F268" s="1" t="str">
        <f t="shared" si="23"/>
        <v>Mar</v>
      </c>
      <c r="G268" s="11">
        <v>333.33333333333331</v>
      </c>
      <c r="H268" s="11">
        <v>333.33333333333331</v>
      </c>
      <c r="I268" s="4" t="str">
        <f>_xlfn.XLOOKUP(D268,'Sales Manager'!$A$2:$A$6,'Sales Manager'!$B$2:$B$6,"")</f>
        <v>Gbenga Adesanya</v>
      </c>
      <c r="J268" s="12">
        <v>8</v>
      </c>
      <c r="K268" s="12">
        <v>7</v>
      </c>
    </row>
    <row r="269" spans="1:11" x14ac:dyDescent="0.3">
      <c r="A269" s="2">
        <v>268</v>
      </c>
      <c r="B269" s="2">
        <f t="shared" si="21"/>
        <v>104</v>
      </c>
      <c r="C269" s="1" t="str">
        <f>VLOOKUP(B269,Products!A:C,2,FALSE)</f>
        <v>Apple</v>
      </c>
      <c r="D269" s="1" t="str">
        <f t="shared" si="22"/>
        <v>Warri</v>
      </c>
      <c r="E269" s="3">
        <f t="shared" si="23"/>
        <v>4</v>
      </c>
      <c r="F269" s="1" t="str">
        <f t="shared" si="23"/>
        <v>Apr</v>
      </c>
      <c r="G269" s="11">
        <v>1333.3333333333333</v>
      </c>
      <c r="H269" s="11">
        <v>733.33333333333326</v>
      </c>
      <c r="I269" s="4" t="str">
        <f>_xlfn.XLOOKUP(D269,'Sales Manager'!$A$2:$A$6,'Sales Manager'!$B$2:$B$6,"")</f>
        <v>Gbenga Adesanya</v>
      </c>
      <c r="J269" s="12">
        <v>10</v>
      </c>
      <c r="K269" s="12">
        <v>7</v>
      </c>
    </row>
    <row r="270" spans="1:11" x14ac:dyDescent="0.3">
      <c r="A270" s="2">
        <v>269</v>
      </c>
      <c r="B270" s="2">
        <f t="shared" si="21"/>
        <v>104</v>
      </c>
      <c r="C270" s="1" t="str">
        <f>VLOOKUP(B270,Products!A:C,2,FALSE)</f>
        <v>Apple</v>
      </c>
      <c r="D270" s="1" t="str">
        <f t="shared" si="22"/>
        <v>Warri</v>
      </c>
      <c r="E270" s="3">
        <f t="shared" si="23"/>
        <v>5</v>
      </c>
      <c r="F270" s="1" t="str">
        <f t="shared" si="23"/>
        <v>May</v>
      </c>
      <c r="G270" s="11">
        <v>3500</v>
      </c>
      <c r="H270" s="11">
        <v>3200</v>
      </c>
      <c r="I270" s="4" t="str">
        <f>_xlfn.XLOOKUP(D270,'Sales Manager'!$A$2:$A$6,'Sales Manager'!$B$2:$B$6,"")</f>
        <v>Gbenga Adesanya</v>
      </c>
      <c r="J270" s="12">
        <v>5</v>
      </c>
      <c r="K270" s="12">
        <v>6</v>
      </c>
    </row>
    <row r="271" spans="1:11" x14ac:dyDescent="0.3">
      <c r="A271" s="2">
        <v>270</v>
      </c>
      <c r="B271" s="2">
        <f t="shared" si="21"/>
        <v>104</v>
      </c>
      <c r="C271" s="1" t="str">
        <f>VLOOKUP(B271,Products!A:C,2,FALSE)</f>
        <v>Apple</v>
      </c>
      <c r="D271" s="1" t="str">
        <f t="shared" si="22"/>
        <v>Warri</v>
      </c>
      <c r="E271" s="3">
        <f t="shared" ref="E271:F286" si="24">E259</f>
        <v>6</v>
      </c>
      <c r="F271" s="1" t="str">
        <f t="shared" si="24"/>
        <v>Jun</v>
      </c>
      <c r="G271" s="11">
        <v>3500</v>
      </c>
      <c r="H271" s="11">
        <v>3100</v>
      </c>
      <c r="I271" s="4" t="str">
        <f>_xlfn.XLOOKUP(D271,'Sales Manager'!$A$2:$A$6,'Sales Manager'!$B$2:$B$6,"")</f>
        <v>Gbenga Adesanya</v>
      </c>
      <c r="J271" s="12">
        <v>8</v>
      </c>
      <c r="K271" s="12">
        <v>6</v>
      </c>
    </row>
    <row r="272" spans="1:11" x14ac:dyDescent="0.3">
      <c r="A272" s="2">
        <v>271</v>
      </c>
      <c r="B272" s="2">
        <f t="shared" si="21"/>
        <v>104</v>
      </c>
      <c r="C272" s="1" t="str">
        <f>VLOOKUP(B272,Products!A:C,2,FALSE)</f>
        <v>Apple</v>
      </c>
      <c r="D272" s="1" t="str">
        <f t="shared" si="22"/>
        <v>Warri</v>
      </c>
      <c r="E272" s="3">
        <f t="shared" si="24"/>
        <v>7</v>
      </c>
      <c r="F272" s="1" t="str">
        <f t="shared" si="24"/>
        <v>Jul</v>
      </c>
      <c r="G272" s="11">
        <v>1000</v>
      </c>
      <c r="H272" s="11">
        <v>200</v>
      </c>
      <c r="I272" s="4" t="str">
        <f>_xlfn.XLOOKUP(D272,'Sales Manager'!$A$2:$A$6,'Sales Manager'!$B$2:$B$6,"")</f>
        <v>Gbenga Adesanya</v>
      </c>
      <c r="J272" s="12">
        <v>5</v>
      </c>
      <c r="K272" s="12">
        <v>9</v>
      </c>
    </row>
    <row r="273" spans="1:11" x14ac:dyDescent="0.3">
      <c r="A273" s="2">
        <v>272</v>
      </c>
      <c r="B273" s="2">
        <f t="shared" si="21"/>
        <v>104</v>
      </c>
      <c r="C273" s="1" t="str">
        <f>VLOOKUP(B273,Products!A:C,2,FALSE)</f>
        <v>Apple</v>
      </c>
      <c r="D273" s="1" t="str">
        <f t="shared" si="22"/>
        <v>Warri</v>
      </c>
      <c r="E273" s="3">
        <f t="shared" si="24"/>
        <v>8</v>
      </c>
      <c r="F273" s="1" t="str">
        <f t="shared" si="24"/>
        <v>Aug</v>
      </c>
      <c r="G273" s="11">
        <v>200</v>
      </c>
      <c r="H273" s="11">
        <v>100</v>
      </c>
      <c r="I273" s="4" t="str">
        <f>_xlfn.XLOOKUP(D273,'Sales Manager'!$A$2:$A$6,'Sales Manager'!$B$2:$B$6,"")</f>
        <v>Gbenga Adesanya</v>
      </c>
      <c r="J273" s="12">
        <v>10</v>
      </c>
      <c r="K273" s="12">
        <v>10</v>
      </c>
    </row>
    <row r="274" spans="1:11" x14ac:dyDescent="0.3">
      <c r="A274" s="2">
        <v>273</v>
      </c>
      <c r="B274" s="2">
        <f t="shared" si="21"/>
        <v>104</v>
      </c>
      <c r="C274" s="1" t="str">
        <f>VLOOKUP(B274,Products!A:C,2,FALSE)</f>
        <v>Apple</v>
      </c>
      <c r="D274" s="1" t="str">
        <f t="shared" si="22"/>
        <v>Warri</v>
      </c>
      <c r="E274" s="3">
        <f t="shared" si="24"/>
        <v>9</v>
      </c>
      <c r="F274" s="1" t="str">
        <f t="shared" si="24"/>
        <v>Sept</v>
      </c>
      <c r="G274" s="11">
        <v>1000</v>
      </c>
      <c r="H274" s="11">
        <v>1000</v>
      </c>
      <c r="I274" s="4" t="str">
        <f>_xlfn.XLOOKUP(D274,'Sales Manager'!$A$2:$A$6,'Sales Manager'!$B$2:$B$6,"")</f>
        <v>Gbenga Adesanya</v>
      </c>
      <c r="J274" s="12">
        <v>6</v>
      </c>
      <c r="K274" s="12">
        <v>6</v>
      </c>
    </row>
    <row r="275" spans="1:11" x14ac:dyDescent="0.3">
      <c r="A275" s="2">
        <v>274</v>
      </c>
      <c r="B275" s="2">
        <f t="shared" si="21"/>
        <v>104</v>
      </c>
      <c r="C275" s="1" t="str">
        <f>VLOOKUP(B275,Products!A:C,2,FALSE)</f>
        <v>Apple</v>
      </c>
      <c r="D275" s="1" t="str">
        <f t="shared" si="22"/>
        <v>Warri</v>
      </c>
      <c r="E275" s="3">
        <f t="shared" si="24"/>
        <v>10</v>
      </c>
      <c r="F275" s="1" t="str">
        <f t="shared" si="24"/>
        <v>Oct</v>
      </c>
      <c r="G275" s="11">
        <v>1400</v>
      </c>
      <c r="H275" s="11">
        <v>1400</v>
      </c>
      <c r="I275" s="4" t="str">
        <f>_xlfn.XLOOKUP(D275,'Sales Manager'!$A$2:$A$6,'Sales Manager'!$B$2:$B$6,"")</f>
        <v>Gbenga Adesanya</v>
      </c>
      <c r="J275" s="12">
        <v>9</v>
      </c>
      <c r="K275" s="12">
        <v>9</v>
      </c>
    </row>
    <row r="276" spans="1:11" x14ac:dyDescent="0.3">
      <c r="A276" s="2">
        <v>275</v>
      </c>
      <c r="B276" s="2">
        <f t="shared" si="21"/>
        <v>104</v>
      </c>
      <c r="C276" s="1" t="str">
        <f>VLOOKUP(B276,Products!A:C,2,FALSE)</f>
        <v>Apple</v>
      </c>
      <c r="D276" s="1" t="str">
        <f t="shared" si="22"/>
        <v>Warri</v>
      </c>
      <c r="E276" s="3">
        <f t="shared" si="24"/>
        <v>11</v>
      </c>
      <c r="F276" s="1" t="str">
        <f t="shared" si="24"/>
        <v>Nov</v>
      </c>
      <c r="G276" s="11">
        <v>4500</v>
      </c>
      <c r="H276" s="11">
        <v>4000</v>
      </c>
      <c r="I276" s="4" t="str">
        <f>_xlfn.XLOOKUP(D276,'Sales Manager'!$A$2:$A$6,'Sales Manager'!$B$2:$B$6,"")</f>
        <v>Gbenga Adesanya</v>
      </c>
      <c r="J276" s="12">
        <v>10</v>
      </c>
      <c r="K276" s="12">
        <v>6</v>
      </c>
    </row>
    <row r="277" spans="1:11" x14ac:dyDescent="0.3">
      <c r="A277" s="2">
        <v>276</v>
      </c>
      <c r="B277" s="2">
        <f t="shared" si="21"/>
        <v>104</v>
      </c>
      <c r="C277" s="1" t="str">
        <f>VLOOKUP(B277,Products!A:C,2,FALSE)</f>
        <v>Apple</v>
      </c>
      <c r="D277" s="1" t="str">
        <f t="shared" si="22"/>
        <v>Warri</v>
      </c>
      <c r="E277" s="3">
        <f t="shared" si="24"/>
        <v>12</v>
      </c>
      <c r="F277" s="1" t="str">
        <f t="shared" si="24"/>
        <v>Dec</v>
      </c>
      <c r="G277" s="11">
        <v>1500</v>
      </c>
      <c r="H277" s="11">
        <v>1400</v>
      </c>
      <c r="I277" s="4" t="str">
        <f>_xlfn.XLOOKUP(D277,'Sales Manager'!$A$2:$A$6,'Sales Manager'!$B$2:$B$6,"")</f>
        <v>Gbenga Adesanya</v>
      </c>
      <c r="J277" s="12">
        <v>7</v>
      </c>
      <c r="K277" s="12">
        <v>8</v>
      </c>
    </row>
    <row r="278" spans="1:11" x14ac:dyDescent="0.3">
      <c r="A278" s="2">
        <v>277</v>
      </c>
      <c r="B278" s="2">
        <f t="shared" si="21"/>
        <v>104</v>
      </c>
      <c r="C278" s="1" t="str">
        <f>VLOOKUP(B278,Products!A:C,2,FALSE)</f>
        <v>Apple</v>
      </c>
      <c r="D278" s="1" t="str">
        <f t="shared" si="22"/>
        <v>Kaduna</v>
      </c>
      <c r="E278" s="3">
        <f t="shared" si="24"/>
        <v>1</v>
      </c>
      <c r="F278" s="1" t="str">
        <f t="shared" si="24"/>
        <v>Jan</v>
      </c>
      <c r="G278" s="11">
        <v>1000</v>
      </c>
      <c r="H278" s="11">
        <v>900</v>
      </c>
      <c r="I278" s="4" t="str">
        <f>_xlfn.XLOOKUP(D278,'Sales Manager'!$A$2:$A$6,'Sales Manager'!$B$2:$B$6,"")</f>
        <v>Musa Garba</v>
      </c>
      <c r="J278" s="12">
        <v>9</v>
      </c>
      <c r="K278" s="12">
        <v>9</v>
      </c>
    </row>
    <row r="279" spans="1:11" x14ac:dyDescent="0.3">
      <c r="A279" s="2">
        <v>278</v>
      </c>
      <c r="B279" s="2">
        <f t="shared" si="21"/>
        <v>104</v>
      </c>
      <c r="C279" s="1" t="str">
        <f>VLOOKUP(B279,Products!A:C,2,FALSE)</f>
        <v>Apple</v>
      </c>
      <c r="D279" s="1" t="str">
        <f t="shared" si="22"/>
        <v>Kaduna</v>
      </c>
      <c r="E279" s="3">
        <f t="shared" si="24"/>
        <v>2</v>
      </c>
      <c r="F279" s="1" t="str">
        <f t="shared" si="24"/>
        <v>Feb</v>
      </c>
      <c r="G279" s="11">
        <v>200</v>
      </c>
      <c r="H279" s="11">
        <v>200</v>
      </c>
      <c r="I279" s="4" t="str">
        <f>_xlfn.XLOOKUP(D279,'Sales Manager'!$A$2:$A$6,'Sales Manager'!$B$2:$B$6,"")</f>
        <v>Musa Garba</v>
      </c>
      <c r="J279" s="12">
        <v>7</v>
      </c>
      <c r="K279" s="12">
        <v>6</v>
      </c>
    </row>
    <row r="280" spans="1:11" x14ac:dyDescent="0.3">
      <c r="A280" s="2">
        <v>279</v>
      </c>
      <c r="B280" s="2">
        <f t="shared" si="21"/>
        <v>104</v>
      </c>
      <c r="C280" s="1" t="str">
        <f>VLOOKUP(B280,Products!A:C,2,FALSE)</f>
        <v>Apple</v>
      </c>
      <c r="D280" s="1" t="str">
        <f t="shared" si="22"/>
        <v>Kaduna</v>
      </c>
      <c r="E280" s="3">
        <f t="shared" si="24"/>
        <v>3</v>
      </c>
      <c r="F280" s="1" t="str">
        <f t="shared" si="24"/>
        <v>Mar</v>
      </c>
      <c r="G280" s="11">
        <v>1000</v>
      </c>
      <c r="H280" s="11">
        <v>1000</v>
      </c>
      <c r="I280" s="4" t="str">
        <f>_xlfn.XLOOKUP(D280,'Sales Manager'!$A$2:$A$6,'Sales Manager'!$B$2:$B$6,"")</f>
        <v>Musa Garba</v>
      </c>
      <c r="J280" s="12">
        <v>10</v>
      </c>
      <c r="K280" s="12">
        <v>5</v>
      </c>
    </row>
    <row r="281" spans="1:11" x14ac:dyDescent="0.3">
      <c r="A281" s="2">
        <v>280</v>
      </c>
      <c r="B281" s="2">
        <f t="shared" si="21"/>
        <v>104</v>
      </c>
      <c r="C281" s="1" t="str">
        <f>VLOOKUP(B281,Products!A:C,2,FALSE)</f>
        <v>Apple</v>
      </c>
      <c r="D281" s="1" t="str">
        <f t="shared" si="22"/>
        <v>Kaduna</v>
      </c>
      <c r="E281" s="3">
        <f t="shared" si="24"/>
        <v>4</v>
      </c>
      <c r="F281" s="1" t="str">
        <f t="shared" si="24"/>
        <v>Apr</v>
      </c>
      <c r="G281" s="11">
        <v>400</v>
      </c>
      <c r="H281" s="11">
        <v>300</v>
      </c>
      <c r="I281" s="4" t="str">
        <f>_xlfn.XLOOKUP(D281,'Sales Manager'!$A$2:$A$6,'Sales Manager'!$B$2:$B$6,"")</f>
        <v>Musa Garba</v>
      </c>
      <c r="J281" s="12">
        <v>8</v>
      </c>
      <c r="K281" s="12">
        <v>7</v>
      </c>
    </row>
    <row r="282" spans="1:11" x14ac:dyDescent="0.3">
      <c r="A282" s="2">
        <v>281</v>
      </c>
      <c r="B282" s="2">
        <f t="shared" si="21"/>
        <v>104</v>
      </c>
      <c r="C282" s="1" t="str">
        <f>VLOOKUP(B282,Products!A:C,2,FALSE)</f>
        <v>Apple</v>
      </c>
      <c r="D282" s="1" t="str">
        <f t="shared" si="22"/>
        <v>Kaduna</v>
      </c>
      <c r="E282" s="3">
        <f t="shared" si="24"/>
        <v>5</v>
      </c>
      <c r="F282" s="1" t="str">
        <f t="shared" si="24"/>
        <v>May</v>
      </c>
      <c r="G282" s="11">
        <v>600</v>
      </c>
      <c r="H282" s="11">
        <v>200</v>
      </c>
      <c r="I282" s="4" t="str">
        <f>_xlfn.XLOOKUP(D282,'Sales Manager'!$A$2:$A$6,'Sales Manager'!$B$2:$B$6,"")</f>
        <v>Musa Garba</v>
      </c>
      <c r="J282" s="12">
        <v>9</v>
      </c>
      <c r="K282" s="12">
        <v>10</v>
      </c>
    </row>
    <row r="283" spans="1:11" x14ac:dyDescent="0.3">
      <c r="A283" s="2">
        <v>282</v>
      </c>
      <c r="B283" s="2">
        <f t="shared" si="21"/>
        <v>104</v>
      </c>
      <c r="C283" s="1" t="str">
        <f>VLOOKUP(B283,Products!A:C,2,FALSE)</f>
        <v>Apple</v>
      </c>
      <c r="D283" s="1" t="str">
        <f t="shared" si="22"/>
        <v>Kaduna</v>
      </c>
      <c r="E283" s="3">
        <f t="shared" si="24"/>
        <v>6</v>
      </c>
      <c r="F283" s="1" t="str">
        <f t="shared" si="24"/>
        <v>Jun</v>
      </c>
      <c r="G283" s="11">
        <v>800</v>
      </c>
      <c r="H283" s="11">
        <v>400</v>
      </c>
      <c r="I283" s="4" t="str">
        <f>_xlfn.XLOOKUP(D283,'Sales Manager'!$A$2:$A$6,'Sales Manager'!$B$2:$B$6,"")</f>
        <v>Musa Garba</v>
      </c>
      <c r="J283" s="12">
        <v>8</v>
      </c>
      <c r="K283" s="12">
        <v>6</v>
      </c>
    </row>
    <row r="284" spans="1:11" x14ac:dyDescent="0.3">
      <c r="A284" s="2">
        <v>283</v>
      </c>
      <c r="B284" s="2">
        <f t="shared" si="21"/>
        <v>104</v>
      </c>
      <c r="C284" s="1" t="str">
        <f>VLOOKUP(B284,Products!A:C,2,FALSE)</f>
        <v>Apple</v>
      </c>
      <c r="D284" s="1" t="str">
        <f t="shared" si="22"/>
        <v>Kaduna</v>
      </c>
      <c r="E284" s="3">
        <f t="shared" si="24"/>
        <v>7</v>
      </c>
      <c r="F284" s="1" t="str">
        <f t="shared" si="24"/>
        <v>Jul</v>
      </c>
      <c r="G284" s="11">
        <v>500</v>
      </c>
      <c r="H284" s="11">
        <v>400</v>
      </c>
      <c r="I284" s="4" t="str">
        <f>_xlfn.XLOOKUP(D284,'Sales Manager'!$A$2:$A$6,'Sales Manager'!$B$2:$B$6,"")</f>
        <v>Musa Garba</v>
      </c>
      <c r="J284" s="12">
        <v>8</v>
      </c>
      <c r="K284" s="12">
        <v>6</v>
      </c>
    </row>
    <row r="285" spans="1:11" x14ac:dyDescent="0.3">
      <c r="A285" s="2">
        <v>284</v>
      </c>
      <c r="B285" s="2">
        <f t="shared" si="21"/>
        <v>104</v>
      </c>
      <c r="C285" s="1" t="str">
        <f>VLOOKUP(B285,Products!A:C,2,FALSE)</f>
        <v>Apple</v>
      </c>
      <c r="D285" s="1" t="str">
        <f t="shared" si="22"/>
        <v>Kaduna</v>
      </c>
      <c r="E285" s="3">
        <f t="shared" si="24"/>
        <v>8</v>
      </c>
      <c r="F285" s="1" t="str">
        <f t="shared" si="24"/>
        <v>Aug</v>
      </c>
      <c r="G285" s="11">
        <v>1500</v>
      </c>
      <c r="H285" s="11">
        <v>1400</v>
      </c>
      <c r="I285" s="4" t="str">
        <f>_xlfn.XLOOKUP(D285,'Sales Manager'!$A$2:$A$6,'Sales Manager'!$B$2:$B$6,"")</f>
        <v>Musa Garba</v>
      </c>
      <c r="J285" s="12">
        <v>10</v>
      </c>
      <c r="K285" s="12">
        <v>7</v>
      </c>
    </row>
    <row r="286" spans="1:11" x14ac:dyDescent="0.3">
      <c r="A286" s="2">
        <v>285</v>
      </c>
      <c r="B286" s="2">
        <f t="shared" si="21"/>
        <v>104</v>
      </c>
      <c r="C286" s="1" t="str">
        <f>VLOOKUP(B286,Products!A:C,2,FALSE)</f>
        <v>Apple</v>
      </c>
      <c r="D286" s="1" t="str">
        <f t="shared" si="22"/>
        <v>Kaduna</v>
      </c>
      <c r="E286" s="3">
        <f t="shared" si="24"/>
        <v>9</v>
      </c>
      <c r="F286" s="1" t="str">
        <f t="shared" si="24"/>
        <v>Sept</v>
      </c>
      <c r="G286" s="11">
        <v>4500</v>
      </c>
      <c r="H286" s="11">
        <v>4300</v>
      </c>
      <c r="I286" s="4" t="str">
        <f>_xlfn.XLOOKUP(D286,'Sales Manager'!$A$2:$A$6,'Sales Manager'!$B$2:$B$6,"")</f>
        <v>Musa Garba</v>
      </c>
      <c r="J286" s="12">
        <v>7</v>
      </c>
      <c r="K286" s="12">
        <v>8</v>
      </c>
    </row>
    <row r="287" spans="1:11" x14ac:dyDescent="0.3">
      <c r="A287" s="2">
        <v>286</v>
      </c>
      <c r="B287" s="2">
        <f t="shared" si="21"/>
        <v>104</v>
      </c>
      <c r="C287" s="1" t="str">
        <f>VLOOKUP(B287,Products!A:C,2,FALSE)</f>
        <v>Apple</v>
      </c>
      <c r="D287" s="1" t="str">
        <f t="shared" si="22"/>
        <v>Kaduna</v>
      </c>
      <c r="E287" s="3">
        <f t="shared" ref="E287:F302" si="25">E275</f>
        <v>10</v>
      </c>
      <c r="F287" s="1" t="str">
        <f t="shared" si="25"/>
        <v>Oct</v>
      </c>
      <c r="G287" s="11">
        <v>1250</v>
      </c>
      <c r="H287" s="11">
        <v>1050</v>
      </c>
      <c r="I287" s="4" t="str">
        <f>_xlfn.XLOOKUP(D287,'Sales Manager'!$A$2:$A$6,'Sales Manager'!$B$2:$B$6,"")</f>
        <v>Musa Garba</v>
      </c>
      <c r="J287" s="12">
        <v>6</v>
      </c>
      <c r="K287" s="12">
        <v>5</v>
      </c>
    </row>
    <row r="288" spans="1:11" x14ac:dyDescent="0.3">
      <c r="A288" s="2">
        <v>287</v>
      </c>
      <c r="B288" s="2">
        <f t="shared" si="21"/>
        <v>104</v>
      </c>
      <c r="C288" s="1" t="str">
        <f>VLOOKUP(B288,Products!A:C,2,FALSE)</f>
        <v>Apple</v>
      </c>
      <c r="D288" s="1" t="str">
        <f t="shared" si="22"/>
        <v>Kaduna</v>
      </c>
      <c r="E288" s="3">
        <f t="shared" si="25"/>
        <v>11</v>
      </c>
      <c r="F288" s="1" t="str">
        <f t="shared" si="25"/>
        <v>Nov</v>
      </c>
      <c r="G288" s="11">
        <v>1750</v>
      </c>
      <c r="H288" s="11">
        <v>950</v>
      </c>
      <c r="I288" s="4" t="str">
        <f>_xlfn.XLOOKUP(D288,'Sales Manager'!$A$2:$A$6,'Sales Manager'!$B$2:$B$6,"")</f>
        <v>Musa Garba</v>
      </c>
      <c r="J288" s="12">
        <v>5</v>
      </c>
      <c r="K288" s="12">
        <v>9</v>
      </c>
    </row>
    <row r="289" spans="1:11" x14ac:dyDescent="0.3">
      <c r="A289" s="2">
        <v>288</v>
      </c>
      <c r="B289" s="2">
        <f t="shared" si="21"/>
        <v>104</v>
      </c>
      <c r="C289" s="1" t="str">
        <f>VLOOKUP(B289,Products!A:C,2,FALSE)</f>
        <v>Apple</v>
      </c>
      <c r="D289" s="1" t="str">
        <f t="shared" si="22"/>
        <v>Kaduna</v>
      </c>
      <c r="E289" s="3">
        <f t="shared" si="25"/>
        <v>12</v>
      </c>
      <c r="F289" s="1" t="str">
        <f t="shared" si="25"/>
        <v>Dec</v>
      </c>
      <c r="G289" s="11">
        <v>2250</v>
      </c>
      <c r="H289" s="11">
        <v>2150</v>
      </c>
      <c r="I289" s="4" t="str">
        <f>_xlfn.XLOOKUP(D289,'Sales Manager'!$A$2:$A$6,'Sales Manager'!$B$2:$B$6,"")</f>
        <v>Musa Garba</v>
      </c>
      <c r="J289" s="12">
        <v>9</v>
      </c>
      <c r="K289" s="12">
        <v>5</v>
      </c>
    </row>
    <row r="290" spans="1:11" x14ac:dyDescent="0.3">
      <c r="A290" s="2">
        <v>289</v>
      </c>
      <c r="B290" s="2">
        <f t="shared" si="21"/>
        <v>104</v>
      </c>
      <c r="C290" s="1" t="str">
        <f>VLOOKUP(B290,Products!A:C,2,FALSE)</f>
        <v>Apple</v>
      </c>
      <c r="D290" s="1" t="str">
        <f t="shared" si="22"/>
        <v>Ibadan</v>
      </c>
      <c r="E290" s="3">
        <f t="shared" si="25"/>
        <v>1</v>
      </c>
      <c r="F290" s="1" t="str">
        <f t="shared" si="25"/>
        <v>Jan</v>
      </c>
      <c r="G290" s="11">
        <v>666.66666666666663</v>
      </c>
      <c r="H290" s="11">
        <v>666.66666666666663</v>
      </c>
      <c r="I290" s="4" t="str">
        <f>_xlfn.XLOOKUP(D290,'Sales Manager'!$A$2:$A$6,'Sales Manager'!$B$2:$B$6,"")</f>
        <v>Funmi Adeyemi</v>
      </c>
      <c r="J290" s="12">
        <v>5</v>
      </c>
      <c r="K290" s="12">
        <v>7</v>
      </c>
    </row>
    <row r="291" spans="1:11" x14ac:dyDescent="0.3">
      <c r="A291" s="2">
        <v>290</v>
      </c>
      <c r="B291" s="2">
        <f t="shared" si="21"/>
        <v>104</v>
      </c>
      <c r="C291" s="1" t="str">
        <f>VLOOKUP(B291,Products!A:C,2,FALSE)</f>
        <v>Apple</v>
      </c>
      <c r="D291" s="1" t="str">
        <f t="shared" si="22"/>
        <v>Ibadan</v>
      </c>
      <c r="E291" s="3">
        <f t="shared" si="25"/>
        <v>2</v>
      </c>
      <c r="F291" s="1" t="str">
        <f t="shared" si="25"/>
        <v>Feb</v>
      </c>
      <c r="G291" s="11">
        <v>2333.3333333333335</v>
      </c>
      <c r="H291" s="11">
        <v>2033.3333333333335</v>
      </c>
      <c r="I291" s="4" t="str">
        <f>_xlfn.XLOOKUP(D291,'Sales Manager'!$A$2:$A$6,'Sales Manager'!$B$2:$B$6,"")</f>
        <v>Funmi Adeyemi</v>
      </c>
      <c r="J291" s="12">
        <v>5</v>
      </c>
      <c r="K291" s="12">
        <v>8</v>
      </c>
    </row>
    <row r="292" spans="1:11" x14ac:dyDescent="0.3">
      <c r="A292" s="2">
        <v>291</v>
      </c>
      <c r="B292" s="2">
        <f t="shared" si="21"/>
        <v>104</v>
      </c>
      <c r="C292" s="1" t="str">
        <f>VLOOKUP(B292,Products!A:C,2,FALSE)</f>
        <v>Apple</v>
      </c>
      <c r="D292" s="1" t="str">
        <f t="shared" si="22"/>
        <v>Ibadan</v>
      </c>
      <c r="E292" s="3">
        <f t="shared" si="25"/>
        <v>3</v>
      </c>
      <c r="F292" s="1" t="str">
        <f t="shared" si="25"/>
        <v>Mar</v>
      </c>
      <c r="G292" s="11">
        <v>2500</v>
      </c>
      <c r="H292" s="11">
        <v>2500</v>
      </c>
      <c r="I292" s="4" t="str">
        <f>_xlfn.XLOOKUP(D292,'Sales Manager'!$A$2:$A$6,'Sales Manager'!$B$2:$B$6,"")</f>
        <v>Funmi Adeyemi</v>
      </c>
      <c r="J292" s="12">
        <v>6</v>
      </c>
      <c r="K292" s="12">
        <v>5</v>
      </c>
    </row>
    <row r="293" spans="1:11" x14ac:dyDescent="0.3">
      <c r="A293" s="2">
        <v>292</v>
      </c>
      <c r="B293" s="2">
        <f t="shared" si="21"/>
        <v>104</v>
      </c>
      <c r="C293" s="1" t="str">
        <f>VLOOKUP(B293,Products!A:C,2,FALSE)</f>
        <v>Apple</v>
      </c>
      <c r="D293" s="1" t="str">
        <f t="shared" si="22"/>
        <v>Ibadan</v>
      </c>
      <c r="E293" s="3">
        <f t="shared" si="25"/>
        <v>4</v>
      </c>
      <c r="F293" s="1" t="str">
        <f t="shared" si="25"/>
        <v>Apr</v>
      </c>
      <c r="G293" s="11">
        <v>600</v>
      </c>
      <c r="H293" s="11">
        <v>400</v>
      </c>
      <c r="I293" s="4" t="str">
        <f>_xlfn.XLOOKUP(D293,'Sales Manager'!$A$2:$A$6,'Sales Manager'!$B$2:$B$6,"")</f>
        <v>Funmi Adeyemi</v>
      </c>
      <c r="J293" s="12">
        <v>10</v>
      </c>
      <c r="K293" s="12">
        <v>7</v>
      </c>
    </row>
    <row r="294" spans="1:11" x14ac:dyDescent="0.3">
      <c r="A294" s="2">
        <v>293</v>
      </c>
      <c r="B294" s="2">
        <f t="shared" si="21"/>
        <v>104</v>
      </c>
      <c r="C294" s="1" t="str">
        <f>VLOOKUP(B294,Products!A:C,2,FALSE)</f>
        <v>Apple</v>
      </c>
      <c r="D294" s="1" t="str">
        <f t="shared" si="22"/>
        <v>Ibadan</v>
      </c>
      <c r="E294" s="3">
        <f t="shared" si="25"/>
        <v>5</v>
      </c>
      <c r="F294" s="1" t="str">
        <f t="shared" si="25"/>
        <v>May</v>
      </c>
      <c r="G294" s="11">
        <v>800</v>
      </c>
      <c r="H294" s="11">
        <v>200</v>
      </c>
      <c r="I294" s="4" t="str">
        <f>_xlfn.XLOOKUP(D294,'Sales Manager'!$A$2:$A$6,'Sales Manager'!$B$2:$B$6,"")</f>
        <v>Funmi Adeyemi</v>
      </c>
      <c r="J294" s="12">
        <v>10</v>
      </c>
      <c r="K294" s="12">
        <v>7</v>
      </c>
    </row>
    <row r="295" spans="1:11" x14ac:dyDescent="0.3">
      <c r="A295" s="2">
        <v>294</v>
      </c>
      <c r="B295" s="2">
        <f t="shared" si="21"/>
        <v>104</v>
      </c>
      <c r="C295" s="1" t="str">
        <f>VLOOKUP(B295,Products!A:C,2,FALSE)</f>
        <v>Apple</v>
      </c>
      <c r="D295" s="1" t="str">
        <f t="shared" si="22"/>
        <v>Ibadan</v>
      </c>
      <c r="E295" s="3">
        <f t="shared" si="25"/>
        <v>6</v>
      </c>
      <c r="F295" s="1" t="str">
        <f t="shared" si="25"/>
        <v>Jun</v>
      </c>
      <c r="G295" s="11">
        <v>333.33333333333331</v>
      </c>
      <c r="H295" s="11">
        <v>133.33333333333331</v>
      </c>
      <c r="I295" s="4" t="str">
        <f>_xlfn.XLOOKUP(D295,'Sales Manager'!$A$2:$A$6,'Sales Manager'!$B$2:$B$6,"")</f>
        <v>Funmi Adeyemi</v>
      </c>
      <c r="J295" s="12">
        <v>5</v>
      </c>
      <c r="K295" s="12">
        <v>9</v>
      </c>
    </row>
    <row r="296" spans="1:11" x14ac:dyDescent="0.3">
      <c r="A296" s="2">
        <v>295</v>
      </c>
      <c r="B296" s="2">
        <f t="shared" si="21"/>
        <v>104</v>
      </c>
      <c r="C296" s="1" t="str">
        <f>VLOOKUP(B296,Products!A:C,2,FALSE)</f>
        <v>Apple</v>
      </c>
      <c r="D296" s="1" t="str">
        <f t="shared" si="22"/>
        <v>Ibadan</v>
      </c>
      <c r="E296" s="3">
        <f t="shared" si="25"/>
        <v>7</v>
      </c>
      <c r="F296" s="1" t="str">
        <f t="shared" si="25"/>
        <v>Jul</v>
      </c>
      <c r="G296" s="11">
        <v>500</v>
      </c>
      <c r="H296" s="11">
        <v>200</v>
      </c>
      <c r="I296" s="4" t="str">
        <f>_xlfn.XLOOKUP(D296,'Sales Manager'!$A$2:$A$6,'Sales Manager'!$B$2:$B$6,"")</f>
        <v>Funmi Adeyemi</v>
      </c>
      <c r="J296" s="12">
        <v>6</v>
      </c>
      <c r="K296" s="12">
        <v>8</v>
      </c>
    </row>
    <row r="297" spans="1:11" x14ac:dyDescent="0.3">
      <c r="A297" s="2">
        <v>296</v>
      </c>
      <c r="B297" s="2">
        <f t="shared" si="21"/>
        <v>104</v>
      </c>
      <c r="C297" s="1" t="str">
        <f>VLOOKUP(B297,Products!A:C,2,FALSE)</f>
        <v>Apple</v>
      </c>
      <c r="D297" s="1" t="str">
        <f t="shared" si="22"/>
        <v>Ibadan</v>
      </c>
      <c r="E297" s="3">
        <f t="shared" si="25"/>
        <v>8</v>
      </c>
      <c r="F297" s="1" t="str">
        <f t="shared" si="25"/>
        <v>Aug</v>
      </c>
      <c r="G297" s="11">
        <v>2333.3333333333335</v>
      </c>
      <c r="H297" s="11">
        <v>2133.3333333333335</v>
      </c>
      <c r="I297" s="4" t="str">
        <f>_xlfn.XLOOKUP(D297,'Sales Manager'!$A$2:$A$6,'Sales Manager'!$B$2:$B$6,"")</f>
        <v>Funmi Adeyemi</v>
      </c>
      <c r="J297" s="12">
        <v>8</v>
      </c>
      <c r="K297" s="12">
        <v>6</v>
      </c>
    </row>
    <row r="298" spans="1:11" x14ac:dyDescent="0.3">
      <c r="A298" s="2">
        <v>297</v>
      </c>
      <c r="B298" s="2">
        <f t="shared" si="21"/>
        <v>104</v>
      </c>
      <c r="C298" s="1" t="str">
        <f>VLOOKUP(B298,Products!A:C,2,FALSE)</f>
        <v>Apple</v>
      </c>
      <c r="D298" s="1" t="str">
        <f t="shared" si="22"/>
        <v>Ibadan</v>
      </c>
      <c r="E298" s="3">
        <f t="shared" si="25"/>
        <v>9</v>
      </c>
      <c r="F298" s="1" t="str">
        <f t="shared" si="25"/>
        <v>Sept</v>
      </c>
      <c r="G298" s="11">
        <v>1200</v>
      </c>
      <c r="H298" s="11">
        <v>800</v>
      </c>
      <c r="I298" s="4" t="str">
        <f>_xlfn.XLOOKUP(D298,'Sales Manager'!$A$2:$A$6,'Sales Manager'!$B$2:$B$6,"")</f>
        <v>Funmi Adeyemi</v>
      </c>
      <c r="J298" s="12">
        <v>6</v>
      </c>
      <c r="K298" s="12">
        <v>8</v>
      </c>
    </row>
    <row r="299" spans="1:11" x14ac:dyDescent="0.3">
      <c r="A299" s="2">
        <v>298</v>
      </c>
      <c r="B299" s="2">
        <f t="shared" si="21"/>
        <v>104</v>
      </c>
      <c r="C299" s="1" t="str">
        <f>VLOOKUP(B299,Products!A:C,2,FALSE)</f>
        <v>Apple</v>
      </c>
      <c r="D299" s="1" t="str">
        <f t="shared" si="22"/>
        <v>Ibadan</v>
      </c>
      <c r="E299" s="3">
        <f t="shared" si="25"/>
        <v>10</v>
      </c>
      <c r="F299" s="1" t="str">
        <f t="shared" si="25"/>
        <v>Oct</v>
      </c>
      <c r="G299" s="11">
        <v>800</v>
      </c>
      <c r="H299" s="11">
        <v>100</v>
      </c>
      <c r="I299" s="4" t="str">
        <f>_xlfn.XLOOKUP(D299,'Sales Manager'!$A$2:$A$6,'Sales Manager'!$B$2:$B$6,"")</f>
        <v>Funmi Adeyemi</v>
      </c>
      <c r="J299" s="12">
        <v>5</v>
      </c>
      <c r="K299" s="12">
        <v>8</v>
      </c>
    </row>
    <row r="300" spans="1:11" x14ac:dyDescent="0.3">
      <c r="A300" s="2">
        <v>299</v>
      </c>
      <c r="B300" s="2">
        <f t="shared" si="21"/>
        <v>104</v>
      </c>
      <c r="C300" s="1" t="str">
        <f>VLOOKUP(B300,Products!A:C,2,FALSE)</f>
        <v>Apple</v>
      </c>
      <c r="D300" s="1" t="str">
        <f t="shared" si="22"/>
        <v>Ibadan</v>
      </c>
      <c r="E300" s="3">
        <f t="shared" si="25"/>
        <v>11</v>
      </c>
      <c r="F300" s="1" t="str">
        <f t="shared" si="25"/>
        <v>Nov</v>
      </c>
      <c r="G300" s="11">
        <v>2500</v>
      </c>
      <c r="H300" s="11">
        <v>2400</v>
      </c>
      <c r="I300" s="4" t="str">
        <f>_xlfn.XLOOKUP(D300,'Sales Manager'!$A$2:$A$6,'Sales Manager'!$B$2:$B$6,"")</f>
        <v>Funmi Adeyemi</v>
      </c>
      <c r="J300" s="12">
        <v>10</v>
      </c>
      <c r="K300" s="12">
        <v>7</v>
      </c>
    </row>
    <row r="301" spans="1:11" x14ac:dyDescent="0.3">
      <c r="A301" s="2">
        <v>300</v>
      </c>
      <c r="B301" s="2">
        <f t="shared" si="21"/>
        <v>104</v>
      </c>
      <c r="C301" s="1" t="str">
        <f>VLOOKUP(B301,Products!A:C,2,FALSE)</f>
        <v>Apple</v>
      </c>
      <c r="D301" s="1" t="str">
        <f t="shared" si="22"/>
        <v>Ibadan</v>
      </c>
      <c r="E301" s="3">
        <f t="shared" si="25"/>
        <v>12</v>
      </c>
      <c r="F301" s="1" t="str">
        <f t="shared" si="25"/>
        <v>Dec</v>
      </c>
      <c r="G301" s="11">
        <v>1750</v>
      </c>
      <c r="H301" s="11">
        <v>1550</v>
      </c>
      <c r="I301" s="4" t="str">
        <f>_xlfn.XLOOKUP(D301,'Sales Manager'!$A$2:$A$6,'Sales Manager'!$B$2:$B$6,"")</f>
        <v>Funmi Adeyemi</v>
      </c>
      <c r="J301" s="12">
        <v>10</v>
      </c>
      <c r="K301" s="12">
        <v>9</v>
      </c>
    </row>
    <row r="302" spans="1:11" x14ac:dyDescent="0.3">
      <c r="A302" s="2">
        <v>301</v>
      </c>
      <c r="B302" s="2">
        <f t="shared" si="21"/>
        <v>105</v>
      </c>
      <c r="C302" s="1" t="str">
        <f>VLOOKUP(B302,Products!A:C,2,FALSE)</f>
        <v>Avocado</v>
      </c>
      <c r="D302" s="1" t="str">
        <f t="shared" si="22"/>
        <v>Lagos</v>
      </c>
      <c r="E302" s="3">
        <f t="shared" si="25"/>
        <v>1</v>
      </c>
      <c r="F302" s="1" t="str">
        <f t="shared" si="25"/>
        <v>Jan</v>
      </c>
      <c r="G302" s="11">
        <v>500</v>
      </c>
      <c r="H302" s="11">
        <v>400</v>
      </c>
      <c r="I302" s="4" t="str">
        <f>_xlfn.XLOOKUP(D302,'Sales Manager'!$A$2:$A$6,'Sales Manager'!$B$2:$B$6,"")</f>
        <v>Adaora Okafor</v>
      </c>
      <c r="J302" s="12">
        <v>9</v>
      </c>
      <c r="K302" s="12">
        <v>8</v>
      </c>
    </row>
    <row r="303" spans="1:11" x14ac:dyDescent="0.3">
      <c r="A303" s="2">
        <v>302</v>
      </c>
      <c r="B303" s="2">
        <f t="shared" si="21"/>
        <v>105</v>
      </c>
      <c r="C303" s="1" t="str">
        <f>VLOOKUP(B303,Products!A:C,2,FALSE)</f>
        <v>Avocado</v>
      </c>
      <c r="D303" s="1" t="str">
        <f t="shared" si="22"/>
        <v>Lagos</v>
      </c>
      <c r="E303" s="3">
        <f t="shared" ref="E303:F318" si="26">E291</f>
        <v>2</v>
      </c>
      <c r="F303" s="1" t="str">
        <f t="shared" si="26"/>
        <v>Feb</v>
      </c>
      <c r="G303" s="11">
        <v>1500</v>
      </c>
      <c r="H303" s="11">
        <v>700</v>
      </c>
      <c r="I303" s="4" t="str">
        <f>_xlfn.XLOOKUP(D303,'Sales Manager'!$A$2:$A$6,'Sales Manager'!$B$2:$B$6,"")</f>
        <v>Adaora Okafor</v>
      </c>
      <c r="J303" s="12">
        <v>10</v>
      </c>
      <c r="K303" s="12">
        <v>9</v>
      </c>
    </row>
    <row r="304" spans="1:11" x14ac:dyDescent="0.3">
      <c r="A304" s="2">
        <v>303</v>
      </c>
      <c r="B304" s="2">
        <f t="shared" si="21"/>
        <v>105</v>
      </c>
      <c r="C304" s="1" t="str">
        <f>VLOOKUP(B304,Products!A:C,2,FALSE)</f>
        <v>Avocado</v>
      </c>
      <c r="D304" s="1" t="str">
        <f t="shared" si="22"/>
        <v>Lagos</v>
      </c>
      <c r="E304" s="3">
        <f t="shared" si="26"/>
        <v>3</v>
      </c>
      <c r="F304" s="1" t="str">
        <f t="shared" si="26"/>
        <v>Mar</v>
      </c>
      <c r="G304" s="11">
        <v>1400</v>
      </c>
      <c r="H304" s="11">
        <v>900</v>
      </c>
      <c r="I304" s="4" t="str">
        <f>_xlfn.XLOOKUP(D304,'Sales Manager'!$A$2:$A$6,'Sales Manager'!$B$2:$B$6,"")</f>
        <v>Adaora Okafor</v>
      </c>
      <c r="J304" s="12">
        <v>9</v>
      </c>
      <c r="K304" s="12">
        <v>6</v>
      </c>
    </row>
    <row r="305" spans="1:11" x14ac:dyDescent="0.3">
      <c r="A305" s="2">
        <v>304</v>
      </c>
      <c r="B305" s="2">
        <f t="shared" si="21"/>
        <v>105</v>
      </c>
      <c r="C305" s="1" t="str">
        <f>VLOOKUP(B305,Products!A:C,2,FALSE)</f>
        <v>Avocado</v>
      </c>
      <c r="D305" s="1" t="str">
        <f t="shared" si="22"/>
        <v>Lagos</v>
      </c>
      <c r="E305" s="3">
        <f t="shared" si="26"/>
        <v>4</v>
      </c>
      <c r="F305" s="1" t="str">
        <f t="shared" si="26"/>
        <v>Apr</v>
      </c>
      <c r="G305" s="11">
        <v>1000</v>
      </c>
      <c r="H305" s="11">
        <v>700</v>
      </c>
      <c r="I305" s="4" t="str">
        <f>_xlfn.XLOOKUP(D305,'Sales Manager'!$A$2:$A$6,'Sales Manager'!$B$2:$B$6,"")</f>
        <v>Adaora Okafor</v>
      </c>
      <c r="J305" s="12">
        <v>6</v>
      </c>
      <c r="K305" s="12">
        <v>10</v>
      </c>
    </row>
    <row r="306" spans="1:11" x14ac:dyDescent="0.3">
      <c r="A306" s="2">
        <v>305</v>
      </c>
      <c r="B306" s="2">
        <f t="shared" si="21"/>
        <v>105</v>
      </c>
      <c r="C306" s="1" t="str">
        <f>VLOOKUP(B306,Products!A:C,2,FALSE)</f>
        <v>Avocado</v>
      </c>
      <c r="D306" s="1" t="str">
        <f t="shared" si="22"/>
        <v>Lagos</v>
      </c>
      <c r="E306" s="3">
        <f t="shared" si="26"/>
        <v>5</v>
      </c>
      <c r="F306" s="1" t="str">
        <f t="shared" si="26"/>
        <v>May</v>
      </c>
      <c r="G306" s="11">
        <v>400</v>
      </c>
      <c r="H306" s="11">
        <v>200</v>
      </c>
      <c r="I306" s="4" t="str">
        <f>_xlfn.XLOOKUP(D306,'Sales Manager'!$A$2:$A$6,'Sales Manager'!$B$2:$B$6,"")</f>
        <v>Adaora Okafor</v>
      </c>
      <c r="J306" s="12">
        <v>5</v>
      </c>
      <c r="K306" s="12">
        <v>5</v>
      </c>
    </row>
    <row r="307" spans="1:11" x14ac:dyDescent="0.3">
      <c r="A307" s="2">
        <v>306</v>
      </c>
      <c r="B307" s="2">
        <f t="shared" si="21"/>
        <v>105</v>
      </c>
      <c r="C307" s="1" t="str">
        <f>VLOOKUP(B307,Products!A:C,2,FALSE)</f>
        <v>Avocado</v>
      </c>
      <c r="D307" s="1" t="str">
        <f t="shared" si="22"/>
        <v>Lagos</v>
      </c>
      <c r="E307" s="3">
        <f t="shared" si="26"/>
        <v>6</v>
      </c>
      <c r="F307" s="1" t="str">
        <f t="shared" si="26"/>
        <v>Jun</v>
      </c>
      <c r="G307" s="11">
        <v>800</v>
      </c>
      <c r="H307" s="11">
        <v>200</v>
      </c>
      <c r="I307" s="4" t="str">
        <f>_xlfn.XLOOKUP(D307,'Sales Manager'!$A$2:$A$6,'Sales Manager'!$B$2:$B$6,"")</f>
        <v>Adaora Okafor</v>
      </c>
      <c r="J307" s="12">
        <v>5</v>
      </c>
      <c r="K307" s="12">
        <v>9</v>
      </c>
    </row>
    <row r="308" spans="1:11" x14ac:dyDescent="0.3">
      <c r="A308" s="2">
        <v>307</v>
      </c>
      <c r="B308" s="2">
        <f t="shared" si="21"/>
        <v>105</v>
      </c>
      <c r="C308" s="1" t="str">
        <f>VLOOKUP(B308,Products!A:C,2,FALSE)</f>
        <v>Avocado</v>
      </c>
      <c r="D308" s="1" t="str">
        <f t="shared" si="22"/>
        <v>Lagos</v>
      </c>
      <c r="E308" s="3">
        <f t="shared" si="26"/>
        <v>7</v>
      </c>
      <c r="F308" s="1" t="str">
        <f t="shared" si="26"/>
        <v>Jul</v>
      </c>
      <c r="G308" s="11">
        <v>1333.3333333333333</v>
      </c>
      <c r="H308" s="11">
        <v>933.33333333333326</v>
      </c>
      <c r="I308" s="4" t="str">
        <f>_xlfn.XLOOKUP(D308,'Sales Manager'!$A$2:$A$6,'Sales Manager'!$B$2:$B$6,"")</f>
        <v>Adaora Okafor</v>
      </c>
      <c r="J308" s="12">
        <v>9</v>
      </c>
      <c r="K308" s="12">
        <v>5</v>
      </c>
    </row>
    <row r="309" spans="1:11" x14ac:dyDescent="0.3">
      <c r="A309" s="2">
        <v>308</v>
      </c>
      <c r="B309" s="2">
        <f t="shared" si="21"/>
        <v>105</v>
      </c>
      <c r="C309" s="1" t="str">
        <f>VLOOKUP(B309,Products!A:C,2,FALSE)</f>
        <v>Avocado</v>
      </c>
      <c r="D309" s="1" t="str">
        <f t="shared" si="22"/>
        <v>Lagos</v>
      </c>
      <c r="E309" s="3">
        <f t="shared" si="26"/>
        <v>8</v>
      </c>
      <c r="F309" s="1" t="str">
        <f t="shared" si="26"/>
        <v>Aug</v>
      </c>
      <c r="G309" s="11">
        <v>1333.3333333333333</v>
      </c>
      <c r="H309" s="11">
        <v>1233.3333333333333</v>
      </c>
      <c r="I309" s="4" t="str">
        <f>_xlfn.XLOOKUP(D309,'Sales Manager'!$A$2:$A$6,'Sales Manager'!$B$2:$B$6,"")</f>
        <v>Adaora Okafor</v>
      </c>
      <c r="J309" s="12">
        <v>6</v>
      </c>
      <c r="K309" s="12">
        <v>7</v>
      </c>
    </row>
    <row r="310" spans="1:11" x14ac:dyDescent="0.3">
      <c r="A310" s="2">
        <v>309</v>
      </c>
      <c r="B310" s="2">
        <f t="shared" si="21"/>
        <v>105</v>
      </c>
      <c r="C310" s="1" t="str">
        <f>VLOOKUP(B310,Products!A:C,2,FALSE)</f>
        <v>Avocado</v>
      </c>
      <c r="D310" s="1" t="str">
        <f t="shared" si="22"/>
        <v>Lagos</v>
      </c>
      <c r="E310" s="3">
        <f t="shared" si="26"/>
        <v>9</v>
      </c>
      <c r="F310" s="1" t="str">
        <f t="shared" si="26"/>
        <v>Sept</v>
      </c>
      <c r="G310" s="11">
        <v>1750</v>
      </c>
      <c r="H310" s="11">
        <v>1550</v>
      </c>
      <c r="I310" s="4" t="str">
        <f>_xlfn.XLOOKUP(D310,'Sales Manager'!$A$2:$A$6,'Sales Manager'!$B$2:$B$6,"")</f>
        <v>Adaora Okafor</v>
      </c>
      <c r="J310" s="12">
        <v>6</v>
      </c>
      <c r="K310" s="12">
        <v>7</v>
      </c>
    </row>
    <row r="311" spans="1:11" x14ac:dyDescent="0.3">
      <c r="A311" s="2">
        <v>310</v>
      </c>
      <c r="B311" s="2">
        <f t="shared" si="21"/>
        <v>105</v>
      </c>
      <c r="C311" s="1" t="str">
        <f>VLOOKUP(B311,Products!A:C,2,FALSE)</f>
        <v>Avocado</v>
      </c>
      <c r="D311" s="1" t="str">
        <f t="shared" si="22"/>
        <v>Lagos</v>
      </c>
      <c r="E311" s="3">
        <f t="shared" si="26"/>
        <v>10</v>
      </c>
      <c r="F311" s="1" t="str">
        <f t="shared" si="26"/>
        <v>Oct</v>
      </c>
      <c r="G311" s="11">
        <v>1000</v>
      </c>
      <c r="H311" s="11">
        <v>900</v>
      </c>
      <c r="I311" s="4" t="str">
        <f>_xlfn.XLOOKUP(D311,'Sales Manager'!$A$2:$A$6,'Sales Manager'!$B$2:$B$6,"")</f>
        <v>Adaora Okafor</v>
      </c>
      <c r="J311" s="12">
        <v>5</v>
      </c>
      <c r="K311" s="12">
        <v>6</v>
      </c>
    </row>
    <row r="312" spans="1:11" x14ac:dyDescent="0.3">
      <c r="A312" s="2">
        <v>311</v>
      </c>
      <c r="B312" s="2">
        <f t="shared" si="21"/>
        <v>105</v>
      </c>
      <c r="C312" s="1" t="str">
        <f>VLOOKUP(B312,Products!A:C,2,FALSE)</f>
        <v>Avocado</v>
      </c>
      <c r="D312" s="1" t="str">
        <f t="shared" si="22"/>
        <v>Lagos</v>
      </c>
      <c r="E312" s="3">
        <f t="shared" si="26"/>
        <v>11</v>
      </c>
      <c r="F312" s="1" t="str">
        <f t="shared" si="26"/>
        <v>Nov</v>
      </c>
      <c r="G312" s="11">
        <v>1666.6666666666667</v>
      </c>
      <c r="H312" s="11">
        <v>966.66666666666674</v>
      </c>
      <c r="I312" s="4" t="str">
        <f>_xlfn.XLOOKUP(D312,'Sales Manager'!$A$2:$A$6,'Sales Manager'!$B$2:$B$6,"")</f>
        <v>Adaora Okafor</v>
      </c>
      <c r="J312" s="12">
        <v>6</v>
      </c>
      <c r="K312" s="12">
        <v>8</v>
      </c>
    </row>
    <row r="313" spans="1:11" x14ac:dyDescent="0.3">
      <c r="A313" s="2">
        <v>312</v>
      </c>
      <c r="B313" s="2">
        <f t="shared" si="21"/>
        <v>105</v>
      </c>
      <c r="C313" s="1" t="str">
        <f>VLOOKUP(B313,Products!A:C,2,FALSE)</f>
        <v>Avocado</v>
      </c>
      <c r="D313" s="1" t="str">
        <f t="shared" si="22"/>
        <v>Lagos</v>
      </c>
      <c r="E313" s="3">
        <f t="shared" si="26"/>
        <v>12</v>
      </c>
      <c r="F313" s="1" t="str">
        <f t="shared" si="26"/>
        <v>Dec</v>
      </c>
      <c r="G313" s="11">
        <v>800</v>
      </c>
      <c r="H313" s="11">
        <v>700</v>
      </c>
      <c r="I313" s="4" t="str">
        <f>_xlfn.XLOOKUP(D313,'Sales Manager'!$A$2:$A$6,'Sales Manager'!$B$2:$B$6,"")</f>
        <v>Adaora Okafor</v>
      </c>
      <c r="J313" s="12">
        <v>9</v>
      </c>
      <c r="K313" s="12">
        <v>6</v>
      </c>
    </row>
    <row r="314" spans="1:11" x14ac:dyDescent="0.3">
      <c r="A314" s="2">
        <v>313</v>
      </c>
      <c r="B314" s="2">
        <f t="shared" si="21"/>
        <v>105</v>
      </c>
      <c r="C314" s="1" t="str">
        <f>VLOOKUP(B314,Products!A:C,2,FALSE)</f>
        <v>Avocado</v>
      </c>
      <c r="D314" s="1" t="str">
        <f t="shared" si="22"/>
        <v>Abuja</v>
      </c>
      <c r="E314" s="3">
        <f t="shared" si="26"/>
        <v>1</v>
      </c>
      <c r="F314" s="1" t="str">
        <f t="shared" si="26"/>
        <v>Jan</v>
      </c>
      <c r="G314" s="11">
        <v>1250</v>
      </c>
      <c r="H314" s="11">
        <v>1250</v>
      </c>
      <c r="I314" s="4" t="str">
        <f>_xlfn.XLOOKUP(D314,'Sales Manager'!$A$2:$A$6,'Sales Manager'!$B$2:$B$6,"")</f>
        <v>Emeka Nwosu</v>
      </c>
      <c r="J314" s="12">
        <v>5</v>
      </c>
      <c r="K314" s="12">
        <v>7</v>
      </c>
    </row>
    <row r="315" spans="1:11" x14ac:dyDescent="0.3">
      <c r="A315" s="2">
        <v>314</v>
      </c>
      <c r="B315" s="2">
        <f t="shared" si="21"/>
        <v>105</v>
      </c>
      <c r="C315" s="1" t="str">
        <f>VLOOKUP(B315,Products!A:C,2,FALSE)</f>
        <v>Avocado</v>
      </c>
      <c r="D315" s="1" t="str">
        <f t="shared" si="22"/>
        <v>Abuja</v>
      </c>
      <c r="E315" s="3">
        <f t="shared" si="26"/>
        <v>2</v>
      </c>
      <c r="F315" s="1" t="str">
        <f t="shared" si="26"/>
        <v>Feb</v>
      </c>
      <c r="G315" s="11">
        <v>800</v>
      </c>
      <c r="H315" s="11">
        <v>800</v>
      </c>
      <c r="I315" s="4" t="str">
        <f>_xlfn.XLOOKUP(D315,'Sales Manager'!$A$2:$A$6,'Sales Manager'!$B$2:$B$6,"")</f>
        <v>Emeka Nwosu</v>
      </c>
      <c r="J315" s="12">
        <v>8</v>
      </c>
      <c r="K315" s="12">
        <v>9</v>
      </c>
    </row>
    <row r="316" spans="1:11" x14ac:dyDescent="0.3">
      <c r="A316" s="2">
        <v>315</v>
      </c>
      <c r="B316" s="2">
        <f t="shared" si="21"/>
        <v>105</v>
      </c>
      <c r="C316" s="1" t="str">
        <f>VLOOKUP(B316,Products!A:C,2,FALSE)</f>
        <v>Avocado</v>
      </c>
      <c r="D316" s="1" t="str">
        <f t="shared" si="22"/>
        <v>Abuja</v>
      </c>
      <c r="E316" s="3">
        <f t="shared" si="26"/>
        <v>3</v>
      </c>
      <c r="F316" s="1" t="str">
        <f t="shared" si="26"/>
        <v>Mar</v>
      </c>
      <c r="G316" s="11">
        <v>2333.3333333333335</v>
      </c>
      <c r="H316" s="11">
        <v>2233.3333333333335</v>
      </c>
      <c r="I316" s="4" t="str">
        <f>_xlfn.XLOOKUP(D316,'Sales Manager'!$A$2:$A$6,'Sales Manager'!$B$2:$B$6,"")</f>
        <v>Emeka Nwosu</v>
      </c>
      <c r="J316" s="12">
        <v>8</v>
      </c>
      <c r="K316" s="12">
        <v>6</v>
      </c>
    </row>
    <row r="317" spans="1:11" x14ac:dyDescent="0.3">
      <c r="A317" s="2">
        <v>316</v>
      </c>
      <c r="B317" s="2">
        <f t="shared" si="21"/>
        <v>105</v>
      </c>
      <c r="C317" s="1" t="str">
        <f>VLOOKUP(B317,Products!A:C,2,FALSE)</f>
        <v>Avocado</v>
      </c>
      <c r="D317" s="1" t="str">
        <f t="shared" si="22"/>
        <v>Abuja</v>
      </c>
      <c r="E317" s="3">
        <f t="shared" si="26"/>
        <v>4</v>
      </c>
      <c r="F317" s="1" t="str">
        <f t="shared" si="26"/>
        <v>Apr</v>
      </c>
      <c r="G317" s="11">
        <v>2500</v>
      </c>
      <c r="H317" s="11">
        <v>1700</v>
      </c>
      <c r="I317" s="4" t="str">
        <f>_xlfn.XLOOKUP(D317,'Sales Manager'!$A$2:$A$6,'Sales Manager'!$B$2:$B$6,"")</f>
        <v>Emeka Nwosu</v>
      </c>
      <c r="J317" s="12">
        <v>10</v>
      </c>
      <c r="K317" s="12">
        <v>9</v>
      </c>
    </row>
    <row r="318" spans="1:11" x14ac:dyDescent="0.3">
      <c r="A318" s="2">
        <v>317</v>
      </c>
      <c r="B318" s="2">
        <f t="shared" si="21"/>
        <v>105</v>
      </c>
      <c r="C318" s="1" t="str">
        <f>VLOOKUP(B318,Products!A:C,2,FALSE)</f>
        <v>Avocado</v>
      </c>
      <c r="D318" s="1" t="str">
        <f t="shared" si="22"/>
        <v>Abuja</v>
      </c>
      <c r="E318" s="3">
        <f t="shared" si="26"/>
        <v>5</v>
      </c>
      <c r="F318" s="1" t="str">
        <f t="shared" si="26"/>
        <v>May</v>
      </c>
      <c r="G318" s="11">
        <v>2000</v>
      </c>
      <c r="H318" s="11">
        <v>1800</v>
      </c>
      <c r="I318" s="4" t="str">
        <f>_xlfn.XLOOKUP(D318,'Sales Manager'!$A$2:$A$6,'Sales Manager'!$B$2:$B$6,"")</f>
        <v>Emeka Nwosu</v>
      </c>
      <c r="J318" s="12">
        <v>9</v>
      </c>
      <c r="K318" s="12">
        <v>8</v>
      </c>
    </row>
    <row r="319" spans="1:11" x14ac:dyDescent="0.3">
      <c r="A319" s="2">
        <v>318</v>
      </c>
      <c r="B319" s="2">
        <f t="shared" ref="B319:B382" si="27">B259+1</f>
        <v>105</v>
      </c>
      <c r="C319" s="1" t="str">
        <f>VLOOKUP(B319,Products!A:C,2,FALSE)</f>
        <v>Avocado</v>
      </c>
      <c r="D319" s="1" t="str">
        <f t="shared" ref="D319:D382" si="28">D259</f>
        <v>Abuja</v>
      </c>
      <c r="E319" s="3">
        <f t="shared" ref="E319:F334" si="29">E307</f>
        <v>6</v>
      </c>
      <c r="F319" s="1" t="str">
        <f t="shared" si="29"/>
        <v>Jun</v>
      </c>
      <c r="G319" s="11">
        <v>250</v>
      </c>
      <c r="H319" s="11">
        <v>850</v>
      </c>
      <c r="I319" s="4" t="str">
        <f>_xlfn.XLOOKUP(D319,'Sales Manager'!$A$2:$A$6,'Sales Manager'!$B$2:$B$6,"")</f>
        <v>Emeka Nwosu</v>
      </c>
      <c r="J319" s="12">
        <v>6</v>
      </c>
      <c r="K319" s="12">
        <v>10</v>
      </c>
    </row>
    <row r="320" spans="1:11" x14ac:dyDescent="0.3">
      <c r="A320" s="2">
        <v>319</v>
      </c>
      <c r="B320" s="2">
        <f t="shared" si="27"/>
        <v>105</v>
      </c>
      <c r="C320" s="1" t="str">
        <f>VLOOKUP(B320,Products!A:C,2,FALSE)</f>
        <v>Avocado</v>
      </c>
      <c r="D320" s="1" t="str">
        <f t="shared" si="28"/>
        <v>Abuja</v>
      </c>
      <c r="E320" s="3">
        <f t="shared" si="29"/>
        <v>7</v>
      </c>
      <c r="F320" s="1" t="str">
        <f t="shared" si="29"/>
        <v>Jul</v>
      </c>
      <c r="G320" s="11">
        <v>1500</v>
      </c>
      <c r="H320" s="11">
        <v>1100</v>
      </c>
      <c r="I320" s="4" t="str">
        <f>_xlfn.XLOOKUP(D320,'Sales Manager'!$A$2:$A$6,'Sales Manager'!$B$2:$B$6,"")</f>
        <v>Emeka Nwosu</v>
      </c>
      <c r="J320" s="12">
        <v>8</v>
      </c>
      <c r="K320" s="12">
        <v>7</v>
      </c>
    </row>
    <row r="321" spans="1:11" x14ac:dyDescent="0.3">
      <c r="A321" s="2">
        <v>320</v>
      </c>
      <c r="B321" s="2">
        <f t="shared" si="27"/>
        <v>105</v>
      </c>
      <c r="C321" s="1" t="str">
        <f>VLOOKUP(B321,Products!A:C,2,FALSE)</f>
        <v>Avocado</v>
      </c>
      <c r="D321" s="1" t="str">
        <f t="shared" si="28"/>
        <v>Abuja</v>
      </c>
      <c r="E321" s="3">
        <f t="shared" si="29"/>
        <v>8</v>
      </c>
      <c r="F321" s="1" t="str">
        <f t="shared" si="29"/>
        <v>Aug</v>
      </c>
      <c r="G321" s="11">
        <v>1666.6666666666667</v>
      </c>
      <c r="H321" s="11">
        <v>1266.6666666666667</v>
      </c>
      <c r="I321" s="4" t="str">
        <f>_xlfn.XLOOKUP(D321,'Sales Manager'!$A$2:$A$6,'Sales Manager'!$B$2:$B$6,"")</f>
        <v>Emeka Nwosu</v>
      </c>
      <c r="J321" s="12">
        <v>8</v>
      </c>
      <c r="K321" s="12">
        <v>5</v>
      </c>
    </row>
    <row r="322" spans="1:11" x14ac:dyDescent="0.3">
      <c r="A322" s="2">
        <v>321</v>
      </c>
      <c r="B322" s="2">
        <f t="shared" si="27"/>
        <v>105</v>
      </c>
      <c r="C322" s="1" t="str">
        <f>VLOOKUP(B322,Products!A:C,2,FALSE)</f>
        <v>Avocado</v>
      </c>
      <c r="D322" s="1" t="str">
        <f t="shared" si="28"/>
        <v>Abuja</v>
      </c>
      <c r="E322" s="3">
        <f t="shared" si="29"/>
        <v>9</v>
      </c>
      <c r="F322" s="1" t="str">
        <f t="shared" si="29"/>
        <v>Sept</v>
      </c>
      <c r="G322" s="11">
        <v>500</v>
      </c>
      <c r="H322" s="11">
        <v>500</v>
      </c>
      <c r="I322" s="4" t="str">
        <f>_xlfn.XLOOKUP(D322,'Sales Manager'!$A$2:$A$6,'Sales Manager'!$B$2:$B$6,"")</f>
        <v>Emeka Nwosu</v>
      </c>
      <c r="J322" s="12">
        <v>10</v>
      </c>
      <c r="K322" s="12">
        <v>6</v>
      </c>
    </row>
    <row r="323" spans="1:11" x14ac:dyDescent="0.3">
      <c r="A323" s="2">
        <v>322</v>
      </c>
      <c r="B323" s="2">
        <f t="shared" si="27"/>
        <v>105</v>
      </c>
      <c r="C323" s="1" t="str">
        <f>VLOOKUP(B323,Products!A:C,2,FALSE)</f>
        <v>Avocado</v>
      </c>
      <c r="D323" s="1" t="str">
        <f t="shared" si="28"/>
        <v>Abuja</v>
      </c>
      <c r="E323" s="3">
        <f t="shared" si="29"/>
        <v>10</v>
      </c>
      <c r="F323" s="1" t="str">
        <f t="shared" si="29"/>
        <v>Oct</v>
      </c>
      <c r="G323" s="11">
        <v>1000</v>
      </c>
      <c r="H323" s="11">
        <v>800</v>
      </c>
      <c r="I323" s="4" t="str">
        <f>_xlfn.XLOOKUP(D323,'Sales Manager'!$A$2:$A$6,'Sales Manager'!$B$2:$B$6,"")</f>
        <v>Emeka Nwosu</v>
      </c>
      <c r="J323" s="12">
        <v>6</v>
      </c>
      <c r="K323" s="12">
        <v>10</v>
      </c>
    </row>
    <row r="324" spans="1:11" x14ac:dyDescent="0.3">
      <c r="A324" s="2">
        <v>323</v>
      </c>
      <c r="B324" s="2">
        <f t="shared" si="27"/>
        <v>105</v>
      </c>
      <c r="C324" s="1" t="str">
        <f>VLOOKUP(B324,Products!A:C,2,FALSE)</f>
        <v>Avocado</v>
      </c>
      <c r="D324" s="1" t="str">
        <f t="shared" si="28"/>
        <v>Abuja</v>
      </c>
      <c r="E324" s="3">
        <f t="shared" si="29"/>
        <v>11</v>
      </c>
      <c r="F324" s="1" t="str">
        <f t="shared" si="29"/>
        <v>Nov</v>
      </c>
      <c r="G324" s="11">
        <v>1500</v>
      </c>
      <c r="H324" s="11">
        <v>1100</v>
      </c>
      <c r="I324" s="4" t="str">
        <f>_xlfn.XLOOKUP(D324,'Sales Manager'!$A$2:$A$6,'Sales Manager'!$B$2:$B$6,"")</f>
        <v>Emeka Nwosu</v>
      </c>
      <c r="J324" s="12">
        <v>10</v>
      </c>
      <c r="K324" s="12">
        <v>9</v>
      </c>
    </row>
    <row r="325" spans="1:11" x14ac:dyDescent="0.3">
      <c r="A325" s="2">
        <v>324</v>
      </c>
      <c r="B325" s="2">
        <f t="shared" si="27"/>
        <v>105</v>
      </c>
      <c r="C325" s="1" t="str">
        <f>VLOOKUP(B325,Products!A:C,2,FALSE)</f>
        <v>Avocado</v>
      </c>
      <c r="D325" s="1" t="str">
        <f t="shared" si="28"/>
        <v>Abuja</v>
      </c>
      <c r="E325" s="3">
        <f t="shared" si="29"/>
        <v>12</v>
      </c>
      <c r="F325" s="1" t="str">
        <f t="shared" si="29"/>
        <v>Dec</v>
      </c>
      <c r="G325" s="11">
        <v>1500</v>
      </c>
      <c r="H325" s="11">
        <v>1100</v>
      </c>
      <c r="I325" s="4" t="str">
        <f>_xlfn.XLOOKUP(D325,'Sales Manager'!$A$2:$A$6,'Sales Manager'!$B$2:$B$6,"")</f>
        <v>Emeka Nwosu</v>
      </c>
      <c r="J325" s="12">
        <v>9</v>
      </c>
      <c r="K325" s="12">
        <v>9</v>
      </c>
    </row>
    <row r="326" spans="1:11" x14ac:dyDescent="0.3">
      <c r="A326" s="2">
        <v>325</v>
      </c>
      <c r="B326" s="2">
        <f t="shared" si="27"/>
        <v>105</v>
      </c>
      <c r="C326" s="1" t="str">
        <f>VLOOKUP(B326,Products!A:C,2,FALSE)</f>
        <v>Avocado</v>
      </c>
      <c r="D326" s="1" t="str">
        <f t="shared" si="28"/>
        <v>Warri</v>
      </c>
      <c r="E326" s="3">
        <f t="shared" si="29"/>
        <v>1</v>
      </c>
      <c r="F326" s="1" t="str">
        <f t="shared" si="29"/>
        <v>Jan</v>
      </c>
      <c r="G326" s="11">
        <v>2500</v>
      </c>
      <c r="H326" s="11">
        <v>2000</v>
      </c>
      <c r="I326" s="4" t="str">
        <f>_xlfn.XLOOKUP(D326,'Sales Manager'!$A$2:$A$6,'Sales Manager'!$B$2:$B$6,"")</f>
        <v>Gbenga Adesanya</v>
      </c>
      <c r="J326" s="12">
        <v>9</v>
      </c>
      <c r="K326" s="12">
        <v>6</v>
      </c>
    </row>
    <row r="327" spans="1:11" x14ac:dyDescent="0.3">
      <c r="A327" s="2">
        <v>326</v>
      </c>
      <c r="B327" s="2">
        <f t="shared" si="27"/>
        <v>105</v>
      </c>
      <c r="C327" s="1" t="str">
        <f>VLOOKUP(B327,Products!A:C,2,FALSE)</f>
        <v>Avocado</v>
      </c>
      <c r="D327" s="1" t="str">
        <f t="shared" si="28"/>
        <v>Warri</v>
      </c>
      <c r="E327" s="3">
        <f t="shared" si="29"/>
        <v>2</v>
      </c>
      <c r="F327" s="1" t="str">
        <f t="shared" si="29"/>
        <v>Feb</v>
      </c>
      <c r="G327" s="11">
        <v>2000</v>
      </c>
      <c r="H327" s="11">
        <v>1500</v>
      </c>
      <c r="I327" s="4" t="str">
        <f>_xlfn.XLOOKUP(D327,'Sales Manager'!$A$2:$A$6,'Sales Manager'!$B$2:$B$6,"")</f>
        <v>Gbenga Adesanya</v>
      </c>
      <c r="J327" s="12">
        <v>9</v>
      </c>
      <c r="K327" s="12">
        <v>9</v>
      </c>
    </row>
    <row r="328" spans="1:11" x14ac:dyDescent="0.3">
      <c r="A328" s="2">
        <v>327</v>
      </c>
      <c r="B328" s="2">
        <f t="shared" si="27"/>
        <v>105</v>
      </c>
      <c r="C328" s="1" t="str">
        <f>VLOOKUP(B328,Products!A:C,2,FALSE)</f>
        <v>Avocado</v>
      </c>
      <c r="D328" s="1" t="str">
        <f t="shared" si="28"/>
        <v>Warri</v>
      </c>
      <c r="E328" s="3">
        <f t="shared" si="29"/>
        <v>3</v>
      </c>
      <c r="F328" s="1" t="str">
        <f t="shared" si="29"/>
        <v>Mar</v>
      </c>
      <c r="G328" s="11">
        <v>1000</v>
      </c>
      <c r="H328" s="11">
        <v>700</v>
      </c>
      <c r="I328" s="4" t="str">
        <f>_xlfn.XLOOKUP(D328,'Sales Manager'!$A$2:$A$6,'Sales Manager'!$B$2:$B$6,"")</f>
        <v>Gbenga Adesanya</v>
      </c>
      <c r="J328" s="12">
        <v>6</v>
      </c>
      <c r="K328" s="12">
        <v>5</v>
      </c>
    </row>
    <row r="329" spans="1:11" x14ac:dyDescent="0.3">
      <c r="A329" s="2">
        <v>328</v>
      </c>
      <c r="B329" s="2">
        <f t="shared" si="27"/>
        <v>105</v>
      </c>
      <c r="C329" s="1" t="str">
        <f>VLOOKUP(B329,Products!A:C,2,FALSE)</f>
        <v>Avocado</v>
      </c>
      <c r="D329" s="1" t="str">
        <f t="shared" si="28"/>
        <v>Warri</v>
      </c>
      <c r="E329" s="3">
        <f t="shared" si="29"/>
        <v>4</v>
      </c>
      <c r="F329" s="1" t="str">
        <f t="shared" si="29"/>
        <v>Apr</v>
      </c>
      <c r="G329" s="11">
        <v>750</v>
      </c>
      <c r="H329" s="11">
        <v>350</v>
      </c>
      <c r="I329" s="4" t="str">
        <f>_xlfn.XLOOKUP(D329,'Sales Manager'!$A$2:$A$6,'Sales Manager'!$B$2:$B$6,"")</f>
        <v>Gbenga Adesanya</v>
      </c>
      <c r="J329" s="12">
        <v>9</v>
      </c>
      <c r="K329" s="12">
        <v>5</v>
      </c>
    </row>
    <row r="330" spans="1:11" x14ac:dyDescent="0.3">
      <c r="A330" s="2">
        <v>329</v>
      </c>
      <c r="B330" s="2">
        <f t="shared" si="27"/>
        <v>105</v>
      </c>
      <c r="C330" s="1" t="str">
        <f>VLOOKUP(B330,Products!A:C,2,FALSE)</f>
        <v>Avocado</v>
      </c>
      <c r="D330" s="1" t="str">
        <f t="shared" si="28"/>
        <v>Warri</v>
      </c>
      <c r="E330" s="3">
        <f t="shared" si="29"/>
        <v>5</v>
      </c>
      <c r="F330" s="1" t="str">
        <f t="shared" si="29"/>
        <v>May</v>
      </c>
      <c r="G330" s="11">
        <v>1000</v>
      </c>
      <c r="H330" s="11">
        <v>900</v>
      </c>
      <c r="I330" s="4" t="str">
        <f>_xlfn.XLOOKUP(D330,'Sales Manager'!$A$2:$A$6,'Sales Manager'!$B$2:$B$6,"")</f>
        <v>Gbenga Adesanya</v>
      </c>
      <c r="J330" s="12">
        <v>6</v>
      </c>
      <c r="K330" s="12">
        <v>8</v>
      </c>
    </row>
    <row r="331" spans="1:11" x14ac:dyDescent="0.3">
      <c r="A331" s="2">
        <v>330</v>
      </c>
      <c r="B331" s="2">
        <f t="shared" si="27"/>
        <v>105</v>
      </c>
      <c r="C331" s="1" t="str">
        <f>VLOOKUP(B331,Products!A:C,2,FALSE)</f>
        <v>Avocado</v>
      </c>
      <c r="D331" s="1" t="str">
        <f t="shared" si="28"/>
        <v>Warri</v>
      </c>
      <c r="E331" s="3">
        <f t="shared" si="29"/>
        <v>6</v>
      </c>
      <c r="F331" s="1" t="str">
        <f t="shared" si="29"/>
        <v>Jun</v>
      </c>
      <c r="G331" s="11">
        <v>5000</v>
      </c>
      <c r="H331" s="11">
        <v>4800</v>
      </c>
      <c r="I331" s="4" t="str">
        <f>_xlfn.XLOOKUP(D331,'Sales Manager'!$A$2:$A$6,'Sales Manager'!$B$2:$B$6,"")</f>
        <v>Gbenga Adesanya</v>
      </c>
      <c r="J331" s="12">
        <v>7</v>
      </c>
      <c r="K331" s="12">
        <v>9</v>
      </c>
    </row>
    <row r="332" spans="1:11" x14ac:dyDescent="0.3">
      <c r="A332" s="2">
        <v>331</v>
      </c>
      <c r="B332" s="2">
        <f t="shared" si="27"/>
        <v>105</v>
      </c>
      <c r="C332" s="1" t="str">
        <f>VLOOKUP(B332,Products!A:C,2,FALSE)</f>
        <v>Avocado</v>
      </c>
      <c r="D332" s="1" t="str">
        <f t="shared" si="28"/>
        <v>Warri</v>
      </c>
      <c r="E332" s="3">
        <f t="shared" si="29"/>
        <v>7</v>
      </c>
      <c r="F332" s="1" t="str">
        <f t="shared" si="29"/>
        <v>Jul</v>
      </c>
      <c r="G332" s="11">
        <v>750</v>
      </c>
      <c r="H332" s="11">
        <v>550</v>
      </c>
      <c r="I332" s="4" t="str">
        <f>_xlfn.XLOOKUP(D332,'Sales Manager'!$A$2:$A$6,'Sales Manager'!$B$2:$B$6,"")</f>
        <v>Gbenga Adesanya</v>
      </c>
      <c r="J332" s="12">
        <v>7</v>
      </c>
      <c r="K332" s="12">
        <v>6</v>
      </c>
    </row>
    <row r="333" spans="1:11" x14ac:dyDescent="0.3">
      <c r="A333" s="2">
        <v>332</v>
      </c>
      <c r="B333" s="2">
        <f t="shared" si="27"/>
        <v>105</v>
      </c>
      <c r="C333" s="1" t="str">
        <f>VLOOKUP(B333,Products!A:C,2,FALSE)</f>
        <v>Avocado</v>
      </c>
      <c r="D333" s="1" t="str">
        <f t="shared" si="28"/>
        <v>Warri</v>
      </c>
      <c r="E333" s="3">
        <f t="shared" si="29"/>
        <v>8</v>
      </c>
      <c r="F333" s="1" t="str">
        <f t="shared" si="29"/>
        <v>Aug</v>
      </c>
      <c r="G333" s="11">
        <v>1000</v>
      </c>
      <c r="H333" s="11">
        <v>700</v>
      </c>
      <c r="I333" s="4" t="str">
        <f>_xlfn.XLOOKUP(D333,'Sales Manager'!$A$2:$A$6,'Sales Manager'!$B$2:$B$6,"")</f>
        <v>Gbenga Adesanya</v>
      </c>
      <c r="J333" s="12">
        <v>9</v>
      </c>
      <c r="K333" s="12">
        <v>5</v>
      </c>
    </row>
    <row r="334" spans="1:11" x14ac:dyDescent="0.3">
      <c r="A334" s="2">
        <v>333</v>
      </c>
      <c r="B334" s="2">
        <f t="shared" si="27"/>
        <v>105</v>
      </c>
      <c r="C334" s="1" t="str">
        <f>VLOOKUP(B334,Products!A:C,2,FALSE)</f>
        <v>Avocado</v>
      </c>
      <c r="D334" s="1" t="str">
        <f t="shared" si="28"/>
        <v>Warri</v>
      </c>
      <c r="E334" s="3">
        <f t="shared" si="29"/>
        <v>9</v>
      </c>
      <c r="F334" s="1" t="str">
        <f t="shared" si="29"/>
        <v>Sept</v>
      </c>
      <c r="G334" s="11">
        <v>666.66666666666663</v>
      </c>
      <c r="H334" s="11">
        <v>566.66666666666663</v>
      </c>
      <c r="I334" s="4" t="str">
        <f>_xlfn.XLOOKUP(D334,'Sales Manager'!$A$2:$A$6,'Sales Manager'!$B$2:$B$6,"")</f>
        <v>Gbenga Adesanya</v>
      </c>
      <c r="J334" s="12">
        <v>5</v>
      </c>
      <c r="K334" s="12">
        <v>5</v>
      </c>
    </row>
    <row r="335" spans="1:11" x14ac:dyDescent="0.3">
      <c r="A335" s="2">
        <v>334</v>
      </c>
      <c r="B335" s="2">
        <f t="shared" si="27"/>
        <v>105</v>
      </c>
      <c r="C335" s="1" t="str">
        <f>VLOOKUP(B335,Products!A:C,2,FALSE)</f>
        <v>Avocado</v>
      </c>
      <c r="D335" s="1" t="str">
        <f t="shared" si="28"/>
        <v>Warri</v>
      </c>
      <c r="E335" s="3">
        <f t="shared" ref="E335:F350" si="30">E323</f>
        <v>10</v>
      </c>
      <c r="F335" s="1" t="str">
        <f t="shared" si="30"/>
        <v>Oct</v>
      </c>
      <c r="G335" s="11">
        <v>2000</v>
      </c>
      <c r="H335" s="11">
        <v>2000</v>
      </c>
      <c r="I335" s="4" t="str">
        <f>_xlfn.XLOOKUP(D335,'Sales Manager'!$A$2:$A$6,'Sales Manager'!$B$2:$B$6,"")</f>
        <v>Gbenga Adesanya</v>
      </c>
      <c r="J335" s="12">
        <v>8</v>
      </c>
      <c r="K335" s="12">
        <v>9</v>
      </c>
    </row>
    <row r="336" spans="1:11" x14ac:dyDescent="0.3">
      <c r="A336" s="2">
        <v>335</v>
      </c>
      <c r="B336" s="2">
        <f t="shared" si="27"/>
        <v>105</v>
      </c>
      <c r="C336" s="1" t="str">
        <f>VLOOKUP(B336,Products!A:C,2,FALSE)</f>
        <v>Avocado</v>
      </c>
      <c r="D336" s="1" t="str">
        <f t="shared" si="28"/>
        <v>Warri</v>
      </c>
      <c r="E336" s="3">
        <f t="shared" si="30"/>
        <v>11</v>
      </c>
      <c r="F336" s="1" t="str">
        <f t="shared" si="30"/>
        <v>Nov</v>
      </c>
      <c r="G336" s="11">
        <v>333.33333333333331</v>
      </c>
      <c r="H336" s="11">
        <v>166.66666666666669</v>
      </c>
      <c r="I336" s="4" t="str">
        <f>_xlfn.XLOOKUP(D336,'Sales Manager'!$A$2:$A$6,'Sales Manager'!$B$2:$B$6,"")</f>
        <v>Gbenga Adesanya</v>
      </c>
      <c r="J336" s="12">
        <v>10</v>
      </c>
      <c r="K336" s="12">
        <v>8</v>
      </c>
    </row>
    <row r="337" spans="1:11" x14ac:dyDescent="0.3">
      <c r="A337" s="2">
        <v>336</v>
      </c>
      <c r="B337" s="2">
        <f t="shared" si="27"/>
        <v>105</v>
      </c>
      <c r="C337" s="1" t="str">
        <f>VLOOKUP(B337,Products!A:C,2,FALSE)</f>
        <v>Avocado</v>
      </c>
      <c r="D337" s="1" t="str">
        <f t="shared" si="28"/>
        <v>Warri</v>
      </c>
      <c r="E337" s="3">
        <f t="shared" si="30"/>
        <v>12</v>
      </c>
      <c r="F337" s="1" t="str">
        <f t="shared" si="30"/>
        <v>Dec</v>
      </c>
      <c r="G337" s="11">
        <v>3000</v>
      </c>
      <c r="H337" s="11">
        <v>2500</v>
      </c>
      <c r="I337" s="4" t="str">
        <f>_xlfn.XLOOKUP(D337,'Sales Manager'!$A$2:$A$6,'Sales Manager'!$B$2:$B$6,"")</f>
        <v>Gbenga Adesanya</v>
      </c>
      <c r="J337" s="12">
        <v>9</v>
      </c>
      <c r="K337" s="12">
        <v>6</v>
      </c>
    </row>
    <row r="338" spans="1:11" x14ac:dyDescent="0.3">
      <c r="A338" s="2">
        <v>337</v>
      </c>
      <c r="B338" s="2">
        <f t="shared" si="27"/>
        <v>105</v>
      </c>
      <c r="C338" s="1" t="str">
        <f>VLOOKUP(B338,Products!A:C,2,FALSE)</f>
        <v>Avocado</v>
      </c>
      <c r="D338" s="1" t="str">
        <f t="shared" si="28"/>
        <v>Kaduna</v>
      </c>
      <c r="E338" s="3">
        <f t="shared" si="30"/>
        <v>1</v>
      </c>
      <c r="F338" s="1" t="str">
        <f t="shared" si="30"/>
        <v>Jan</v>
      </c>
      <c r="G338" s="11">
        <v>333.33333333333331</v>
      </c>
      <c r="H338" s="11">
        <v>333.33333333333331</v>
      </c>
      <c r="I338" s="4" t="str">
        <f>_xlfn.XLOOKUP(D338,'Sales Manager'!$A$2:$A$6,'Sales Manager'!$B$2:$B$6,"")</f>
        <v>Musa Garba</v>
      </c>
      <c r="J338" s="12">
        <v>7</v>
      </c>
      <c r="K338" s="12">
        <v>9</v>
      </c>
    </row>
    <row r="339" spans="1:11" x14ac:dyDescent="0.3">
      <c r="A339" s="2">
        <v>338</v>
      </c>
      <c r="B339" s="2">
        <f t="shared" si="27"/>
        <v>105</v>
      </c>
      <c r="C339" s="1" t="str">
        <f>VLOOKUP(B339,Products!A:C,2,FALSE)</f>
        <v>Avocado</v>
      </c>
      <c r="D339" s="1" t="str">
        <f t="shared" si="28"/>
        <v>Kaduna</v>
      </c>
      <c r="E339" s="3">
        <f t="shared" si="30"/>
        <v>2</v>
      </c>
      <c r="F339" s="1" t="str">
        <f t="shared" si="30"/>
        <v>Feb</v>
      </c>
      <c r="G339" s="11">
        <v>3333.3333333333335</v>
      </c>
      <c r="H339" s="11">
        <v>2933.3333333333335</v>
      </c>
      <c r="I339" s="4" t="str">
        <f>_xlfn.XLOOKUP(D339,'Sales Manager'!$A$2:$A$6,'Sales Manager'!$B$2:$B$6,"")</f>
        <v>Musa Garba</v>
      </c>
      <c r="J339" s="12">
        <v>7</v>
      </c>
      <c r="K339" s="12">
        <v>10</v>
      </c>
    </row>
    <row r="340" spans="1:11" x14ac:dyDescent="0.3">
      <c r="A340" s="2">
        <v>339</v>
      </c>
      <c r="B340" s="2">
        <f t="shared" si="27"/>
        <v>105</v>
      </c>
      <c r="C340" s="1" t="str">
        <f>VLOOKUP(B340,Products!A:C,2,FALSE)</f>
        <v>Avocado</v>
      </c>
      <c r="D340" s="1" t="str">
        <f t="shared" si="28"/>
        <v>Kaduna</v>
      </c>
      <c r="E340" s="3">
        <f t="shared" si="30"/>
        <v>3</v>
      </c>
      <c r="F340" s="1" t="str">
        <f t="shared" si="30"/>
        <v>Mar</v>
      </c>
      <c r="G340" s="11">
        <v>1000</v>
      </c>
      <c r="H340" s="11">
        <v>500</v>
      </c>
      <c r="I340" s="4" t="str">
        <f>_xlfn.XLOOKUP(D340,'Sales Manager'!$A$2:$A$6,'Sales Manager'!$B$2:$B$6,"")</f>
        <v>Musa Garba</v>
      </c>
      <c r="J340" s="12">
        <v>10</v>
      </c>
      <c r="K340" s="12">
        <v>6</v>
      </c>
    </row>
    <row r="341" spans="1:11" x14ac:dyDescent="0.3">
      <c r="A341" s="2">
        <v>340</v>
      </c>
      <c r="B341" s="2">
        <f t="shared" si="27"/>
        <v>105</v>
      </c>
      <c r="C341" s="1" t="str">
        <f>VLOOKUP(B341,Products!A:C,2,FALSE)</f>
        <v>Avocado</v>
      </c>
      <c r="D341" s="1" t="str">
        <f t="shared" si="28"/>
        <v>Kaduna</v>
      </c>
      <c r="E341" s="3">
        <f t="shared" si="30"/>
        <v>4</v>
      </c>
      <c r="F341" s="1" t="str">
        <f t="shared" si="30"/>
        <v>Apr</v>
      </c>
      <c r="G341" s="11">
        <v>1666.6666666666667</v>
      </c>
      <c r="H341" s="11">
        <v>1566.6666666666667</v>
      </c>
      <c r="I341" s="4" t="str">
        <f>_xlfn.XLOOKUP(D341,'Sales Manager'!$A$2:$A$6,'Sales Manager'!$B$2:$B$6,"")</f>
        <v>Musa Garba</v>
      </c>
      <c r="J341" s="12">
        <v>6</v>
      </c>
      <c r="K341" s="12">
        <v>5</v>
      </c>
    </row>
    <row r="342" spans="1:11" x14ac:dyDescent="0.3">
      <c r="A342" s="2">
        <v>341</v>
      </c>
      <c r="B342" s="2">
        <f t="shared" si="27"/>
        <v>105</v>
      </c>
      <c r="C342" s="1" t="str">
        <f>VLOOKUP(B342,Products!A:C,2,FALSE)</f>
        <v>Avocado</v>
      </c>
      <c r="D342" s="1" t="str">
        <f t="shared" si="28"/>
        <v>Kaduna</v>
      </c>
      <c r="E342" s="3">
        <f t="shared" si="30"/>
        <v>5</v>
      </c>
      <c r="F342" s="1" t="str">
        <f t="shared" si="30"/>
        <v>May</v>
      </c>
      <c r="G342" s="11">
        <v>1333.3333333333333</v>
      </c>
      <c r="H342" s="11">
        <v>933.33333333333326</v>
      </c>
      <c r="I342" s="4" t="str">
        <f>_xlfn.XLOOKUP(D342,'Sales Manager'!$A$2:$A$6,'Sales Manager'!$B$2:$B$6,"")</f>
        <v>Musa Garba</v>
      </c>
      <c r="J342" s="12">
        <v>8</v>
      </c>
      <c r="K342" s="12">
        <v>7</v>
      </c>
    </row>
    <row r="343" spans="1:11" x14ac:dyDescent="0.3">
      <c r="A343" s="2">
        <v>342</v>
      </c>
      <c r="B343" s="2">
        <f t="shared" si="27"/>
        <v>105</v>
      </c>
      <c r="C343" s="1" t="str">
        <f>VLOOKUP(B343,Products!A:C,2,FALSE)</f>
        <v>Avocado</v>
      </c>
      <c r="D343" s="1" t="str">
        <f t="shared" si="28"/>
        <v>Kaduna</v>
      </c>
      <c r="E343" s="3">
        <f t="shared" si="30"/>
        <v>6</v>
      </c>
      <c r="F343" s="1" t="str">
        <f t="shared" si="30"/>
        <v>Jun</v>
      </c>
      <c r="G343" s="11">
        <v>1000</v>
      </c>
      <c r="H343" s="11">
        <v>800</v>
      </c>
      <c r="I343" s="4" t="str">
        <f>_xlfn.XLOOKUP(D343,'Sales Manager'!$A$2:$A$6,'Sales Manager'!$B$2:$B$6,"")</f>
        <v>Musa Garba</v>
      </c>
      <c r="J343" s="12">
        <v>9</v>
      </c>
      <c r="K343" s="12">
        <v>7</v>
      </c>
    </row>
    <row r="344" spans="1:11" x14ac:dyDescent="0.3">
      <c r="A344" s="2">
        <v>343</v>
      </c>
      <c r="B344" s="2">
        <f t="shared" si="27"/>
        <v>105</v>
      </c>
      <c r="C344" s="1" t="str">
        <f>VLOOKUP(B344,Products!A:C,2,FALSE)</f>
        <v>Avocado</v>
      </c>
      <c r="D344" s="1" t="str">
        <f t="shared" si="28"/>
        <v>Kaduna</v>
      </c>
      <c r="E344" s="3">
        <f t="shared" si="30"/>
        <v>7</v>
      </c>
      <c r="F344" s="1" t="str">
        <f t="shared" si="30"/>
        <v>Jul</v>
      </c>
      <c r="G344" s="11">
        <v>1500</v>
      </c>
      <c r="H344" s="11">
        <v>1200</v>
      </c>
      <c r="I344" s="4" t="str">
        <f>_xlfn.XLOOKUP(D344,'Sales Manager'!$A$2:$A$6,'Sales Manager'!$B$2:$B$6,"")</f>
        <v>Musa Garba</v>
      </c>
      <c r="J344" s="12">
        <v>8</v>
      </c>
      <c r="K344" s="12">
        <v>8</v>
      </c>
    </row>
    <row r="345" spans="1:11" x14ac:dyDescent="0.3">
      <c r="A345" s="2">
        <v>344</v>
      </c>
      <c r="B345" s="2">
        <f t="shared" si="27"/>
        <v>105</v>
      </c>
      <c r="C345" s="1" t="str">
        <f>VLOOKUP(B345,Products!A:C,2,FALSE)</f>
        <v>Avocado</v>
      </c>
      <c r="D345" s="1" t="str">
        <f t="shared" si="28"/>
        <v>Kaduna</v>
      </c>
      <c r="E345" s="3">
        <f t="shared" si="30"/>
        <v>8</v>
      </c>
      <c r="F345" s="1" t="str">
        <f t="shared" si="30"/>
        <v>Aug</v>
      </c>
      <c r="G345" s="11">
        <v>1250</v>
      </c>
      <c r="H345" s="11">
        <v>950</v>
      </c>
      <c r="I345" s="4" t="str">
        <f>_xlfn.XLOOKUP(D345,'Sales Manager'!$A$2:$A$6,'Sales Manager'!$B$2:$B$6,"")</f>
        <v>Musa Garba</v>
      </c>
      <c r="J345" s="12">
        <v>6</v>
      </c>
      <c r="K345" s="12">
        <v>5</v>
      </c>
    </row>
    <row r="346" spans="1:11" x14ac:dyDescent="0.3">
      <c r="A346" s="2">
        <v>345</v>
      </c>
      <c r="B346" s="2">
        <f t="shared" si="27"/>
        <v>105</v>
      </c>
      <c r="C346" s="1" t="str">
        <f>VLOOKUP(B346,Products!A:C,2,FALSE)</f>
        <v>Avocado</v>
      </c>
      <c r="D346" s="1" t="str">
        <f t="shared" si="28"/>
        <v>Kaduna</v>
      </c>
      <c r="E346" s="3">
        <f t="shared" si="30"/>
        <v>9</v>
      </c>
      <c r="F346" s="1" t="str">
        <f t="shared" si="30"/>
        <v>Sept</v>
      </c>
      <c r="G346" s="11">
        <v>600</v>
      </c>
      <c r="H346" s="11">
        <v>600</v>
      </c>
      <c r="I346" s="4" t="str">
        <f>_xlfn.XLOOKUP(D346,'Sales Manager'!$A$2:$A$6,'Sales Manager'!$B$2:$B$6,"")</f>
        <v>Musa Garba</v>
      </c>
      <c r="J346" s="12">
        <v>8</v>
      </c>
      <c r="K346" s="12">
        <v>5</v>
      </c>
    </row>
    <row r="347" spans="1:11" x14ac:dyDescent="0.3">
      <c r="A347" s="2">
        <v>346</v>
      </c>
      <c r="B347" s="2">
        <f t="shared" si="27"/>
        <v>105</v>
      </c>
      <c r="C347" s="1" t="str">
        <f>VLOOKUP(B347,Products!A:C,2,FALSE)</f>
        <v>Avocado</v>
      </c>
      <c r="D347" s="1" t="str">
        <f t="shared" si="28"/>
        <v>Kaduna</v>
      </c>
      <c r="E347" s="3">
        <f t="shared" si="30"/>
        <v>10</v>
      </c>
      <c r="F347" s="1" t="str">
        <f t="shared" si="30"/>
        <v>Oct</v>
      </c>
      <c r="G347" s="11">
        <v>1250</v>
      </c>
      <c r="H347" s="11">
        <v>1150</v>
      </c>
      <c r="I347" s="4" t="str">
        <f>_xlfn.XLOOKUP(D347,'Sales Manager'!$A$2:$A$6,'Sales Manager'!$B$2:$B$6,"")</f>
        <v>Musa Garba</v>
      </c>
      <c r="J347" s="12">
        <v>7</v>
      </c>
      <c r="K347" s="12">
        <v>8</v>
      </c>
    </row>
    <row r="348" spans="1:11" x14ac:dyDescent="0.3">
      <c r="A348" s="2">
        <v>347</v>
      </c>
      <c r="B348" s="2">
        <f t="shared" si="27"/>
        <v>105</v>
      </c>
      <c r="C348" s="1" t="str">
        <f>VLOOKUP(B348,Products!A:C,2,FALSE)</f>
        <v>Avocado</v>
      </c>
      <c r="D348" s="1" t="str">
        <f t="shared" si="28"/>
        <v>Kaduna</v>
      </c>
      <c r="E348" s="3">
        <f t="shared" si="30"/>
        <v>11</v>
      </c>
      <c r="F348" s="1" t="str">
        <f t="shared" si="30"/>
        <v>Nov</v>
      </c>
      <c r="G348" s="11">
        <v>1333.3333333333333</v>
      </c>
      <c r="H348" s="11">
        <v>633.33333333333326</v>
      </c>
      <c r="I348" s="4" t="str">
        <f>_xlfn.XLOOKUP(D348,'Sales Manager'!$A$2:$A$6,'Sales Manager'!$B$2:$B$6,"")</f>
        <v>Musa Garba</v>
      </c>
      <c r="J348" s="12">
        <v>8</v>
      </c>
      <c r="K348" s="12">
        <v>10</v>
      </c>
    </row>
    <row r="349" spans="1:11" x14ac:dyDescent="0.3">
      <c r="A349" s="2">
        <v>348</v>
      </c>
      <c r="B349" s="2">
        <f t="shared" si="27"/>
        <v>105</v>
      </c>
      <c r="C349" s="1" t="str">
        <f>VLOOKUP(B349,Products!A:C,2,FALSE)</f>
        <v>Avocado</v>
      </c>
      <c r="D349" s="1" t="str">
        <f t="shared" si="28"/>
        <v>Kaduna</v>
      </c>
      <c r="E349" s="3">
        <f t="shared" si="30"/>
        <v>12</v>
      </c>
      <c r="F349" s="1" t="str">
        <f t="shared" si="30"/>
        <v>Dec</v>
      </c>
      <c r="G349" s="11">
        <v>1333.3333333333333</v>
      </c>
      <c r="H349" s="11">
        <v>633.33333333333326</v>
      </c>
      <c r="I349" s="4" t="str">
        <f>_xlfn.XLOOKUP(D349,'Sales Manager'!$A$2:$A$6,'Sales Manager'!$B$2:$B$6,"")</f>
        <v>Musa Garba</v>
      </c>
      <c r="J349" s="12">
        <v>6</v>
      </c>
      <c r="K349" s="12">
        <v>10</v>
      </c>
    </row>
    <row r="350" spans="1:11" x14ac:dyDescent="0.3">
      <c r="A350" s="2">
        <v>349</v>
      </c>
      <c r="B350" s="2">
        <f t="shared" si="27"/>
        <v>105</v>
      </c>
      <c r="C350" s="1" t="str">
        <f>VLOOKUP(B350,Products!A:C,2,FALSE)</f>
        <v>Avocado</v>
      </c>
      <c r="D350" s="1" t="str">
        <f t="shared" si="28"/>
        <v>Ibadan</v>
      </c>
      <c r="E350" s="3">
        <f t="shared" si="30"/>
        <v>1</v>
      </c>
      <c r="F350" s="1" t="str">
        <f t="shared" si="30"/>
        <v>Jan</v>
      </c>
      <c r="G350" s="11">
        <v>800</v>
      </c>
      <c r="H350" s="11">
        <v>600</v>
      </c>
      <c r="I350" s="4" t="str">
        <f>_xlfn.XLOOKUP(D350,'Sales Manager'!$A$2:$A$6,'Sales Manager'!$B$2:$B$6,"")</f>
        <v>Funmi Adeyemi</v>
      </c>
      <c r="J350" s="12">
        <v>6</v>
      </c>
      <c r="K350" s="12">
        <v>9</v>
      </c>
    </row>
    <row r="351" spans="1:11" x14ac:dyDescent="0.3">
      <c r="A351" s="2">
        <v>350</v>
      </c>
      <c r="B351" s="2">
        <f t="shared" si="27"/>
        <v>105</v>
      </c>
      <c r="C351" s="1" t="str">
        <f>VLOOKUP(B351,Products!A:C,2,FALSE)</f>
        <v>Avocado</v>
      </c>
      <c r="D351" s="1" t="str">
        <f t="shared" si="28"/>
        <v>Ibadan</v>
      </c>
      <c r="E351" s="3">
        <f t="shared" ref="E351:F366" si="31">E339</f>
        <v>2</v>
      </c>
      <c r="F351" s="1" t="str">
        <f t="shared" si="31"/>
        <v>Feb</v>
      </c>
      <c r="G351" s="11">
        <v>750</v>
      </c>
      <c r="H351" s="11">
        <v>250</v>
      </c>
      <c r="I351" s="4" t="str">
        <f>_xlfn.XLOOKUP(D351,'Sales Manager'!$A$2:$A$6,'Sales Manager'!$B$2:$B$6,"")</f>
        <v>Funmi Adeyemi</v>
      </c>
      <c r="J351" s="12">
        <v>5</v>
      </c>
      <c r="K351" s="12">
        <v>8</v>
      </c>
    </row>
    <row r="352" spans="1:11" x14ac:dyDescent="0.3">
      <c r="A352" s="2">
        <v>351</v>
      </c>
      <c r="B352" s="2">
        <f t="shared" si="27"/>
        <v>105</v>
      </c>
      <c r="C352" s="1" t="str">
        <f>VLOOKUP(B352,Products!A:C,2,FALSE)</f>
        <v>Avocado</v>
      </c>
      <c r="D352" s="1" t="str">
        <f t="shared" si="28"/>
        <v>Ibadan</v>
      </c>
      <c r="E352" s="3">
        <f t="shared" si="31"/>
        <v>3</v>
      </c>
      <c r="F352" s="1" t="str">
        <f t="shared" si="31"/>
        <v>Mar</v>
      </c>
      <c r="G352" s="11">
        <v>2000</v>
      </c>
      <c r="H352" s="11">
        <v>1900</v>
      </c>
      <c r="I352" s="4" t="str">
        <f>_xlfn.XLOOKUP(D352,'Sales Manager'!$A$2:$A$6,'Sales Manager'!$B$2:$B$6,"")</f>
        <v>Funmi Adeyemi</v>
      </c>
      <c r="J352" s="12">
        <v>8</v>
      </c>
      <c r="K352" s="12">
        <v>6</v>
      </c>
    </row>
    <row r="353" spans="1:11" x14ac:dyDescent="0.3">
      <c r="A353" s="2">
        <v>352</v>
      </c>
      <c r="B353" s="2">
        <f t="shared" si="27"/>
        <v>105</v>
      </c>
      <c r="C353" s="1" t="str">
        <f>VLOOKUP(B353,Products!A:C,2,FALSE)</f>
        <v>Avocado</v>
      </c>
      <c r="D353" s="1" t="str">
        <f t="shared" si="28"/>
        <v>Ibadan</v>
      </c>
      <c r="E353" s="3">
        <f t="shared" si="31"/>
        <v>4</v>
      </c>
      <c r="F353" s="1" t="str">
        <f t="shared" si="31"/>
        <v>Apr</v>
      </c>
      <c r="G353" s="11">
        <v>750</v>
      </c>
      <c r="H353" s="11">
        <v>450</v>
      </c>
      <c r="I353" s="4" t="str">
        <f>_xlfn.XLOOKUP(D353,'Sales Manager'!$A$2:$A$6,'Sales Manager'!$B$2:$B$6,"")</f>
        <v>Funmi Adeyemi</v>
      </c>
      <c r="J353" s="12">
        <v>5</v>
      </c>
      <c r="K353" s="12">
        <v>8</v>
      </c>
    </row>
    <row r="354" spans="1:11" x14ac:dyDescent="0.3">
      <c r="A354" s="2">
        <v>353</v>
      </c>
      <c r="B354" s="2">
        <f t="shared" si="27"/>
        <v>105</v>
      </c>
      <c r="C354" s="1" t="str">
        <f>VLOOKUP(B354,Products!A:C,2,FALSE)</f>
        <v>Avocado</v>
      </c>
      <c r="D354" s="1" t="str">
        <f t="shared" si="28"/>
        <v>Ibadan</v>
      </c>
      <c r="E354" s="3">
        <f t="shared" si="31"/>
        <v>5</v>
      </c>
      <c r="F354" s="1" t="str">
        <f t="shared" si="31"/>
        <v>May</v>
      </c>
      <c r="G354" s="11">
        <v>1250</v>
      </c>
      <c r="H354" s="11">
        <v>850</v>
      </c>
      <c r="I354" s="4" t="str">
        <f>_xlfn.XLOOKUP(D354,'Sales Manager'!$A$2:$A$6,'Sales Manager'!$B$2:$B$6,"")</f>
        <v>Funmi Adeyemi</v>
      </c>
      <c r="J354" s="12">
        <v>5</v>
      </c>
      <c r="K354" s="12">
        <v>5</v>
      </c>
    </row>
    <row r="355" spans="1:11" x14ac:dyDescent="0.3">
      <c r="A355" s="2">
        <v>354</v>
      </c>
      <c r="B355" s="2">
        <f t="shared" si="27"/>
        <v>105</v>
      </c>
      <c r="C355" s="1" t="str">
        <f>VLOOKUP(B355,Products!A:C,2,FALSE)</f>
        <v>Avocado</v>
      </c>
      <c r="D355" s="1" t="str">
        <f t="shared" si="28"/>
        <v>Ibadan</v>
      </c>
      <c r="E355" s="3">
        <f t="shared" si="31"/>
        <v>6</v>
      </c>
      <c r="F355" s="1" t="str">
        <f t="shared" si="31"/>
        <v>Jun</v>
      </c>
      <c r="G355" s="11">
        <v>1000</v>
      </c>
      <c r="H355" s="11">
        <v>700</v>
      </c>
      <c r="I355" s="4" t="str">
        <f>_xlfn.XLOOKUP(D355,'Sales Manager'!$A$2:$A$6,'Sales Manager'!$B$2:$B$6,"")</f>
        <v>Funmi Adeyemi</v>
      </c>
      <c r="J355" s="12">
        <v>9</v>
      </c>
      <c r="K355" s="12">
        <v>6</v>
      </c>
    </row>
    <row r="356" spans="1:11" x14ac:dyDescent="0.3">
      <c r="A356" s="2">
        <v>355</v>
      </c>
      <c r="B356" s="2">
        <f t="shared" si="27"/>
        <v>105</v>
      </c>
      <c r="C356" s="1" t="str">
        <f>VLOOKUP(B356,Products!A:C,2,FALSE)</f>
        <v>Avocado</v>
      </c>
      <c r="D356" s="1" t="str">
        <f t="shared" si="28"/>
        <v>Ibadan</v>
      </c>
      <c r="E356" s="3">
        <f t="shared" si="31"/>
        <v>7</v>
      </c>
      <c r="F356" s="1" t="str">
        <f t="shared" si="31"/>
        <v>Jul</v>
      </c>
      <c r="G356" s="11">
        <v>500</v>
      </c>
      <c r="H356" s="11">
        <v>200</v>
      </c>
      <c r="I356" s="4" t="str">
        <f>_xlfn.XLOOKUP(D356,'Sales Manager'!$A$2:$A$6,'Sales Manager'!$B$2:$B$6,"")</f>
        <v>Funmi Adeyemi</v>
      </c>
      <c r="J356" s="12">
        <v>9</v>
      </c>
      <c r="K356" s="12">
        <v>7</v>
      </c>
    </row>
    <row r="357" spans="1:11" x14ac:dyDescent="0.3">
      <c r="A357" s="2">
        <v>356</v>
      </c>
      <c r="B357" s="2">
        <f t="shared" si="27"/>
        <v>105</v>
      </c>
      <c r="C357" s="1" t="str">
        <f>VLOOKUP(B357,Products!A:C,2,FALSE)</f>
        <v>Avocado</v>
      </c>
      <c r="D357" s="1" t="str">
        <f t="shared" si="28"/>
        <v>Ibadan</v>
      </c>
      <c r="E357" s="3">
        <f t="shared" si="31"/>
        <v>8</v>
      </c>
      <c r="F357" s="1" t="str">
        <f t="shared" si="31"/>
        <v>Aug</v>
      </c>
      <c r="G357" s="11">
        <v>500</v>
      </c>
      <c r="H357" s="11">
        <v>500</v>
      </c>
      <c r="I357" s="4" t="str">
        <f>_xlfn.XLOOKUP(D357,'Sales Manager'!$A$2:$A$6,'Sales Manager'!$B$2:$B$6,"")</f>
        <v>Funmi Adeyemi</v>
      </c>
      <c r="J357" s="12">
        <v>5</v>
      </c>
      <c r="K357" s="12">
        <v>7</v>
      </c>
    </row>
    <row r="358" spans="1:11" x14ac:dyDescent="0.3">
      <c r="A358" s="2">
        <v>357</v>
      </c>
      <c r="B358" s="2">
        <f t="shared" si="27"/>
        <v>105</v>
      </c>
      <c r="C358" s="1" t="str">
        <f>VLOOKUP(B358,Products!A:C,2,FALSE)</f>
        <v>Avocado</v>
      </c>
      <c r="D358" s="1" t="str">
        <f t="shared" si="28"/>
        <v>Ibadan</v>
      </c>
      <c r="E358" s="3">
        <f t="shared" si="31"/>
        <v>9</v>
      </c>
      <c r="F358" s="1" t="str">
        <f t="shared" si="31"/>
        <v>Sept</v>
      </c>
      <c r="G358" s="11">
        <v>3500</v>
      </c>
      <c r="H358" s="11">
        <v>3200</v>
      </c>
      <c r="I358" s="4" t="str">
        <f>_xlfn.XLOOKUP(D358,'Sales Manager'!$A$2:$A$6,'Sales Manager'!$B$2:$B$6,"")</f>
        <v>Funmi Adeyemi</v>
      </c>
      <c r="J358" s="12">
        <v>7</v>
      </c>
      <c r="K358" s="12">
        <v>7</v>
      </c>
    </row>
    <row r="359" spans="1:11" x14ac:dyDescent="0.3">
      <c r="A359" s="2">
        <v>358</v>
      </c>
      <c r="B359" s="2">
        <f t="shared" si="27"/>
        <v>105</v>
      </c>
      <c r="C359" s="1" t="str">
        <f>VLOOKUP(B359,Products!A:C,2,FALSE)</f>
        <v>Avocado</v>
      </c>
      <c r="D359" s="1" t="str">
        <f t="shared" si="28"/>
        <v>Ibadan</v>
      </c>
      <c r="E359" s="3">
        <f t="shared" si="31"/>
        <v>10</v>
      </c>
      <c r="F359" s="1" t="str">
        <f t="shared" si="31"/>
        <v>Oct</v>
      </c>
      <c r="G359" s="11">
        <v>1666.6666666666667</v>
      </c>
      <c r="H359" s="11">
        <v>1366.6666666666667</v>
      </c>
      <c r="I359" s="4" t="str">
        <f>_xlfn.XLOOKUP(D359,'Sales Manager'!$A$2:$A$6,'Sales Manager'!$B$2:$B$6,"")</f>
        <v>Funmi Adeyemi</v>
      </c>
      <c r="J359" s="12">
        <v>7</v>
      </c>
      <c r="K359" s="12">
        <v>6</v>
      </c>
    </row>
    <row r="360" spans="1:11" x14ac:dyDescent="0.3">
      <c r="A360" s="2">
        <v>359</v>
      </c>
      <c r="B360" s="2">
        <f t="shared" si="27"/>
        <v>105</v>
      </c>
      <c r="C360" s="1" t="str">
        <f>VLOOKUP(B360,Products!A:C,2,FALSE)</f>
        <v>Avocado</v>
      </c>
      <c r="D360" s="1" t="str">
        <f t="shared" si="28"/>
        <v>Ibadan</v>
      </c>
      <c r="E360" s="3">
        <f t="shared" si="31"/>
        <v>11</v>
      </c>
      <c r="F360" s="1" t="str">
        <f t="shared" si="31"/>
        <v>Nov</v>
      </c>
      <c r="G360" s="11">
        <v>1000</v>
      </c>
      <c r="H360" s="11">
        <v>1000</v>
      </c>
      <c r="I360" s="4" t="str">
        <f>_xlfn.XLOOKUP(D360,'Sales Manager'!$A$2:$A$6,'Sales Manager'!$B$2:$B$6,"")</f>
        <v>Funmi Adeyemi</v>
      </c>
      <c r="J360" s="12">
        <v>8</v>
      </c>
      <c r="K360" s="12">
        <v>8</v>
      </c>
    </row>
    <row r="361" spans="1:11" x14ac:dyDescent="0.3">
      <c r="A361" s="2">
        <v>360</v>
      </c>
      <c r="B361" s="2">
        <f t="shared" si="27"/>
        <v>105</v>
      </c>
      <c r="C361" s="1" t="str">
        <f>VLOOKUP(B361,Products!A:C,2,FALSE)</f>
        <v>Avocado</v>
      </c>
      <c r="D361" s="1" t="str">
        <f t="shared" si="28"/>
        <v>Ibadan</v>
      </c>
      <c r="E361" s="3">
        <f t="shared" si="31"/>
        <v>12</v>
      </c>
      <c r="F361" s="1" t="str">
        <f t="shared" si="31"/>
        <v>Dec</v>
      </c>
      <c r="G361" s="11">
        <v>500</v>
      </c>
      <c r="H361" s="11">
        <v>300</v>
      </c>
      <c r="I361" s="4" t="str">
        <f>_xlfn.XLOOKUP(D361,'Sales Manager'!$A$2:$A$6,'Sales Manager'!$B$2:$B$6,"")</f>
        <v>Funmi Adeyemi</v>
      </c>
      <c r="J361" s="12">
        <v>10</v>
      </c>
      <c r="K361" s="12">
        <v>6</v>
      </c>
    </row>
    <row r="362" spans="1:11" x14ac:dyDescent="0.3">
      <c r="A362" s="2">
        <v>361</v>
      </c>
      <c r="B362" s="2">
        <f t="shared" si="27"/>
        <v>106</v>
      </c>
      <c r="C362" s="1" t="str">
        <f>VLOOKUP(B362,Products!A:C,2,FALSE)</f>
        <v>Pineapple</v>
      </c>
      <c r="D362" s="1" t="str">
        <f t="shared" si="28"/>
        <v>Lagos</v>
      </c>
      <c r="E362" s="3">
        <f t="shared" si="31"/>
        <v>1</v>
      </c>
      <c r="F362" s="1" t="str">
        <f t="shared" si="31"/>
        <v>Jan</v>
      </c>
      <c r="G362" s="11">
        <v>2000</v>
      </c>
      <c r="H362" s="11">
        <v>1900</v>
      </c>
      <c r="I362" s="4" t="str">
        <f>_xlfn.XLOOKUP(D362,'Sales Manager'!$A$2:$A$6,'Sales Manager'!$B$2:$B$6,"")</f>
        <v>Adaora Okafor</v>
      </c>
      <c r="J362" s="12">
        <v>7</v>
      </c>
      <c r="K362" s="12">
        <v>8</v>
      </c>
    </row>
    <row r="363" spans="1:11" x14ac:dyDescent="0.3">
      <c r="A363" s="2">
        <v>362</v>
      </c>
      <c r="B363" s="2">
        <f t="shared" si="27"/>
        <v>106</v>
      </c>
      <c r="C363" s="1" t="str">
        <f>VLOOKUP(B363,Products!A:C,2,FALSE)</f>
        <v>Pineapple</v>
      </c>
      <c r="D363" s="1" t="str">
        <f t="shared" si="28"/>
        <v>Lagos</v>
      </c>
      <c r="E363" s="3">
        <f t="shared" si="31"/>
        <v>2</v>
      </c>
      <c r="F363" s="1" t="str">
        <f t="shared" si="31"/>
        <v>Feb</v>
      </c>
      <c r="G363" s="11">
        <v>500</v>
      </c>
      <c r="H363" s="11">
        <v>400</v>
      </c>
      <c r="I363" s="4" t="str">
        <f>_xlfn.XLOOKUP(D363,'Sales Manager'!$A$2:$A$6,'Sales Manager'!$B$2:$B$6,"")</f>
        <v>Adaora Okafor</v>
      </c>
      <c r="J363" s="12">
        <v>8</v>
      </c>
      <c r="K363" s="12">
        <v>8</v>
      </c>
    </row>
    <row r="364" spans="1:11" x14ac:dyDescent="0.3">
      <c r="A364" s="2">
        <v>363</v>
      </c>
      <c r="B364" s="2">
        <f t="shared" si="27"/>
        <v>106</v>
      </c>
      <c r="C364" s="1" t="str">
        <f>VLOOKUP(B364,Products!A:C,2,FALSE)</f>
        <v>Pineapple</v>
      </c>
      <c r="D364" s="1" t="str">
        <f t="shared" si="28"/>
        <v>Lagos</v>
      </c>
      <c r="E364" s="3">
        <f t="shared" si="31"/>
        <v>3</v>
      </c>
      <c r="F364" s="1" t="str">
        <f t="shared" si="31"/>
        <v>Mar</v>
      </c>
      <c r="G364" s="11">
        <v>1250</v>
      </c>
      <c r="H364" s="11">
        <v>950</v>
      </c>
      <c r="I364" s="4" t="str">
        <f>_xlfn.XLOOKUP(D364,'Sales Manager'!$A$2:$A$6,'Sales Manager'!$B$2:$B$6,"")</f>
        <v>Adaora Okafor</v>
      </c>
      <c r="J364" s="12">
        <v>9</v>
      </c>
      <c r="K364" s="12">
        <v>9</v>
      </c>
    </row>
    <row r="365" spans="1:11" x14ac:dyDescent="0.3">
      <c r="A365" s="2">
        <v>364</v>
      </c>
      <c r="B365" s="2">
        <f t="shared" si="27"/>
        <v>106</v>
      </c>
      <c r="C365" s="1" t="str">
        <f>VLOOKUP(B365,Products!A:C,2,FALSE)</f>
        <v>Pineapple</v>
      </c>
      <c r="D365" s="1" t="str">
        <f t="shared" si="28"/>
        <v>Lagos</v>
      </c>
      <c r="E365" s="3">
        <f t="shared" si="31"/>
        <v>4</v>
      </c>
      <c r="F365" s="1" t="str">
        <f t="shared" si="31"/>
        <v>Apr</v>
      </c>
      <c r="G365" s="11">
        <v>3000</v>
      </c>
      <c r="H365" s="11">
        <v>2500</v>
      </c>
      <c r="I365" s="4" t="str">
        <f>_xlfn.XLOOKUP(D365,'Sales Manager'!$A$2:$A$6,'Sales Manager'!$B$2:$B$6,"")</f>
        <v>Adaora Okafor</v>
      </c>
      <c r="J365" s="12">
        <v>8</v>
      </c>
      <c r="K365" s="12">
        <v>8</v>
      </c>
    </row>
    <row r="366" spans="1:11" x14ac:dyDescent="0.3">
      <c r="A366" s="2">
        <v>365</v>
      </c>
      <c r="B366" s="2">
        <f t="shared" si="27"/>
        <v>106</v>
      </c>
      <c r="C366" s="1" t="str">
        <f>VLOOKUP(B366,Products!A:C,2,FALSE)</f>
        <v>Pineapple</v>
      </c>
      <c r="D366" s="1" t="str">
        <f t="shared" si="28"/>
        <v>Lagos</v>
      </c>
      <c r="E366" s="3">
        <f t="shared" si="31"/>
        <v>5</v>
      </c>
      <c r="F366" s="1" t="str">
        <f t="shared" si="31"/>
        <v>May</v>
      </c>
      <c r="G366" s="11">
        <v>2666.6666666666665</v>
      </c>
      <c r="H366" s="11">
        <v>2066.6666666666665</v>
      </c>
      <c r="I366" s="4" t="str">
        <f>_xlfn.XLOOKUP(D366,'Sales Manager'!$A$2:$A$6,'Sales Manager'!$B$2:$B$6,"")</f>
        <v>Adaora Okafor</v>
      </c>
      <c r="J366" s="12">
        <v>5</v>
      </c>
      <c r="K366" s="12">
        <v>7</v>
      </c>
    </row>
    <row r="367" spans="1:11" x14ac:dyDescent="0.3">
      <c r="A367" s="2">
        <v>366</v>
      </c>
      <c r="B367" s="2">
        <f t="shared" si="27"/>
        <v>106</v>
      </c>
      <c r="C367" s="1" t="str">
        <f>VLOOKUP(B367,Products!A:C,2,FALSE)</f>
        <v>Pineapple</v>
      </c>
      <c r="D367" s="1" t="str">
        <f t="shared" si="28"/>
        <v>Lagos</v>
      </c>
      <c r="E367" s="3">
        <f t="shared" ref="E367:F382" si="32">E355</f>
        <v>6</v>
      </c>
      <c r="F367" s="1" t="str">
        <f t="shared" si="32"/>
        <v>Jun</v>
      </c>
      <c r="G367" s="11">
        <v>750</v>
      </c>
      <c r="H367" s="11">
        <v>450</v>
      </c>
      <c r="I367" s="4" t="str">
        <f>_xlfn.XLOOKUP(D367,'Sales Manager'!$A$2:$A$6,'Sales Manager'!$B$2:$B$6,"")</f>
        <v>Adaora Okafor</v>
      </c>
      <c r="J367" s="12">
        <v>10</v>
      </c>
      <c r="K367" s="12">
        <v>5</v>
      </c>
    </row>
    <row r="368" spans="1:11" x14ac:dyDescent="0.3">
      <c r="A368" s="2">
        <v>367</v>
      </c>
      <c r="B368" s="2">
        <f t="shared" si="27"/>
        <v>106</v>
      </c>
      <c r="C368" s="1" t="str">
        <f>VLOOKUP(B368,Products!A:C,2,FALSE)</f>
        <v>Pineapple</v>
      </c>
      <c r="D368" s="1" t="str">
        <f t="shared" si="28"/>
        <v>Lagos</v>
      </c>
      <c r="E368" s="3">
        <f t="shared" si="32"/>
        <v>7</v>
      </c>
      <c r="F368" s="1" t="str">
        <f t="shared" si="32"/>
        <v>Jul</v>
      </c>
      <c r="G368" s="11">
        <v>2000</v>
      </c>
      <c r="H368" s="11">
        <v>1600</v>
      </c>
      <c r="I368" s="4" t="str">
        <f>_xlfn.XLOOKUP(D368,'Sales Manager'!$A$2:$A$6,'Sales Manager'!$B$2:$B$6,"")</f>
        <v>Adaora Okafor</v>
      </c>
      <c r="J368" s="12">
        <v>9</v>
      </c>
      <c r="K368" s="12">
        <v>9</v>
      </c>
    </row>
    <row r="369" spans="1:11" x14ac:dyDescent="0.3">
      <c r="A369" s="2">
        <v>368</v>
      </c>
      <c r="B369" s="2">
        <f t="shared" si="27"/>
        <v>106</v>
      </c>
      <c r="C369" s="1" t="str">
        <f>VLOOKUP(B369,Products!A:C,2,FALSE)</f>
        <v>Pineapple</v>
      </c>
      <c r="D369" s="1" t="str">
        <f t="shared" si="28"/>
        <v>Lagos</v>
      </c>
      <c r="E369" s="3">
        <f t="shared" si="32"/>
        <v>8</v>
      </c>
      <c r="F369" s="1" t="str">
        <f t="shared" si="32"/>
        <v>Aug</v>
      </c>
      <c r="G369" s="11">
        <v>200</v>
      </c>
      <c r="H369" s="11">
        <v>100</v>
      </c>
      <c r="I369" s="4" t="str">
        <f>_xlfn.XLOOKUP(D369,'Sales Manager'!$A$2:$A$6,'Sales Manager'!$B$2:$B$6,"")</f>
        <v>Adaora Okafor</v>
      </c>
      <c r="J369" s="12">
        <v>5</v>
      </c>
      <c r="K369" s="12">
        <v>5</v>
      </c>
    </row>
    <row r="370" spans="1:11" x14ac:dyDescent="0.3">
      <c r="A370" s="2">
        <v>369</v>
      </c>
      <c r="B370" s="2">
        <f t="shared" si="27"/>
        <v>106</v>
      </c>
      <c r="C370" s="1" t="str">
        <f>VLOOKUP(B370,Products!A:C,2,FALSE)</f>
        <v>Pineapple</v>
      </c>
      <c r="D370" s="1" t="str">
        <f t="shared" si="28"/>
        <v>Lagos</v>
      </c>
      <c r="E370" s="3">
        <f t="shared" si="32"/>
        <v>9</v>
      </c>
      <c r="F370" s="1" t="str">
        <f t="shared" si="32"/>
        <v>Sept</v>
      </c>
      <c r="G370" s="11">
        <v>1600</v>
      </c>
      <c r="H370" s="11">
        <v>900</v>
      </c>
      <c r="I370" s="4" t="str">
        <f>_xlfn.XLOOKUP(D370,'Sales Manager'!$A$2:$A$6,'Sales Manager'!$B$2:$B$6,"")</f>
        <v>Adaora Okafor</v>
      </c>
      <c r="J370" s="12">
        <v>8</v>
      </c>
      <c r="K370" s="12">
        <v>10</v>
      </c>
    </row>
    <row r="371" spans="1:11" x14ac:dyDescent="0.3">
      <c r="A371" s="2">
        <v>370</v>
      </c>
      <c r="B371" s="2">
        <f t="shared" si="27"/>
        <v>106</v>
      </c>
      <c r="C371" s="1" t="str">
        <f>VLOOKUP(B371,Products!A:C,2,FALSE)</f>
        <v>Pineapple</v>
      </c>
      <c r="D371" s="1" t="str">
        <f t="shared" si="28"/>
        <v>Lagos</v>
      </c>
      <c r="E371" s="3">
        <f t="shared" si="32"/>
        <v>10</v>
      </c>
      <c r="F371" s="1" t="str">
        <f t="shared" si="32"/>
        <v>Oct</v>
      </c>
      <c r="G371" s="11">
        <v>2333.3333333333335</v>
      </c>
      <c r="H371" s="11">
        <v>2233.3333333333335</v>
      </c>
      <c r="I371" s="4" t="str">
        <f>_xlfn.XLOOKUP(D371,'Sales Manager'!$A$2:$A$6,'Sales Manager'!$B$2:$B$6,"")</f>
        <v>Adaora Okafor</v>
      </c>
      <c r="J371" s="12">
        <v>6</v>
      </c>
      <c r="K371" s="12">
        <v>7</v>
      </c>
    </row>
    <row r="372" spans="1:11" x14ac:dyDescent="0.3">
      <c r="A372" s="2">
        <v>371</v>
      </c>
      <c r="B372" s="2">
        <f t="shared" si="27"/>
        <v>106</v>
      </c>
      <c r="C372" s="1" t="str">
        <f>VLOOKUP(B372,Products!A:C,2,FALSE)</f>
        <v>Pineapple</v>
      </c>
      <c r="D372" s="1" t="str">
        <f t="shared" si="28"/>
        <v>Lagos</v>
      </c>
      <c r="E372" s="3">
        <f t="shared" si="32"/>
        <v>11</v>
      </c>
      <c r="F372" s="1" t="str">
        <f t="shared" si="32"/>
        <v>Nov</v>
      </c>
      <c r="G372" s="11">
        <v>1000</v>
      </c>
      <c r="H372" s="11">
        <v>300</v>
      </c>
      <c r="I372" s="4" t="str">
        <f>_xlfn.XLOOKUP(D372,'Sales Manager'!$A$2:$A$6,'Sales Manager'!$B$2:$B$6,"")</f>
        <v>Adaora Okafor</v>
      </c>
      <c r="J372" s="12">
        <v>9</v>
      </c>
      <c r="K372" s="12">
        <v>10</v>
      </c>
    </row>
    <row r="373" spans="1:11" x14ac:dyDescent="0.3">
      <c r="A373" s="2">
        <v>372</v>
      </c>
      <c r="B373" s="2">
        <f t="shared" si="27"/>
        <v>106</v>
      </c>
      <c r="C373" s="1" t="str">
        <f>VLOOKUP(B373,Products!A:C,2,FALSE)</f>
        <v>Pineapple</v>
      </c>
      <c r="D373" s="1" t="str">
        <f t="shared" si="28"/>
        <v>Lagos</v>
      </c>
      <c r="E373" s="3">
        <f t="shared" si="32"/>
        <v>12</v>
      </c>
      <c r="F373" s="1" t="str">
        <f t="shared" si="32"/>
        <v>Dec</v>
      </c>
      <c r="G373" s="11">
        <v>250</v>
      </c>
      <c r="H373" s="11">
        <v>250</v>
      </c>
      <c r="I373" s="4" t="str">
        <f>_xlfn.XLOOKUP(D373,'Sales Manager'!$A$2:$A$6,'Sales Manager'!$B$2:$B$6,"")</f>
        <v>Adaora Okafor</v>
      </c>
      <c r="J373" s="12">
        <v>9</v>
      </c>
      <c r="K373" s="12">
        <v>7</v>
      </c>
    </row>
    <row r="374" spans="1:11" x14ac:dyDescent="0.3">
      <c r="A374" s="2">
        <v>373</v>
      </c>
      <c r="B374" s="2">
        <f t="shared" si="27"/>
        <v>106</v>
      </c>
      <c r="C374" s="1" t="str">
        <f>VLOOKUP(B374,Products!A:C,2,FALSE)</f>
        <v>Pineapple</v>
      </c>
      <c r="D374" s="1" t="str">
        <f t="shared" si="28"/>
        <v>Abuja</v>
      </c>
      <c r="E374" s="3">
        <f t="shared" si="32"/>
        <v>1</v>
      </c>
      <c r="F374" s="1" t="str">
        <f t="shared" si="32"/>
        <v>Jan</v>
      </c>
      <c r="G374" s="11">
        <v>750</v>
      </c>
      <c r="H374" s="11">
        <v>450</v>
      </c>
      <c r="I374" s="4" t="str">
        <f>_xlfn.XLOOKUP(D374,'Sales Manager'!$A$2:$A$6,'Sales Manager'!$B$2:$B$6,"")</f>
        <v>Emeka Nwosu</v>
      </c>
      <c r="J374" s="12">
        <v>10</v>
      </c>
      <c r="K374" s="12">
        <v>5</v>
      </c>
    </row>
    <row r="375" spans="1:11" x14ac:dyDescent="0.3">
      <c r="A375" s="2">
        <v>374</v>
      </c>
      <c r="B375" s="2">
        <f t="shared" si="27"/>
        <v>106</v>
      </c>
      <c r="C375" s="1" t="str">
        <f>VLOOKUP(B375,Products!A:C,2,FALSE)</f>
        <v>Pineapple</v>
      </c>
      <c r="D375" s="1" t="str">
        <f t="shared" si="28"/>
        <v>Abuja</v>
      </c>
      <c r="E375" s="3">
        <f t="shared" si="32"/>
        <v>2</v>
      </c>
      <c r="F375" s="1" t="str">
        <f t="shared" si="32"/>
        <v>Feb</v>
      </c>
      <c r="G375" s="11">
        <v>666.66666666666663</v>
      </c>
      <c r="H375" s="11">
        <v>566.66666666666663</v>
      </c>
      <c r="I375" s="4" t="str">
        <f>_xlfn.XLOOKUP(D375,'Sales Manager'!$A$2:$A$6,'Sales Manager'!$B$2:$B$6,"")</f>
        <v>Emeka Nwosu</v>
      </c>
      <c r="J375" s="12">
        <v>8</v>
      </c>
      <c r="K375" s="12">
        <v>10</v>
      </c>
    </row>
    <row r="376" spans="1:11" x14ac:dyDescent="0.3">
      <c r="A376" s="2">
        <v>375</v>
      </c>
      <c r="B376" s="2">
        <f t="shared" si="27"/>
        <v>106</v>
      </c>
      <c r="C376" s="1" t="str">
        <f>VLOOKUP(B376,Products!A:C,2,FALSE)</f>
        <v>Pineapple</v>
      </c>
      <c r="D376" s="1" t="str">
        <f t="shared" si="28"/>
        <v>Abuja</v>
      </c>
      <c r="E376" s="3">
        <f t="shared" si="32"/>
        <v>3</v>
      </c>
      <c r="F376" s="1" t="str">
        <f t="shared" si="32"/>
        <v>Mar</v>
      </c>
      <c r="G376" s="11">
        <v>1000</v>
      </c>
      <c r="H376" s="11">
        <v>800</v>
      </c>
      <c r="I376" s="4" t="str">
        <f>_xlfn.XLOOKUP(D376,'Sales Manager'!$A$2:$A$6,'Sales Manager'!$B$2:$B$6,"")</f>
        <v>Emeka Nwosu</v>
      </c>
      <c r="J376" s="12">
        <v>7</v>
      </c>
      <c r="K376" s="12">
        <v>5</v>
      </c>
    </row>
    <row r="377" spans="1:11" x14ac:dyDescent="0.3">
      <c r="A377" s="2">
        <v>376</v>
      </c>
      <c r="B377" s="2">
        <f t="shared" si="27"/>
        <v>106</v>
      </c>
      <c r="C377" s="1" t="str">
        <f>VLOOKUP(B377,Products!A:C,2,FALSE)</f>
        <v>Pineapple</v>
      </c>
      <c r="D377" s="1" t="str">
        <f t="shared" si="28"/>
        <v>Abuja</v>
      </c>
      <c r="E377" s="3">
        <f t="shared" si="32"/>
        <v>4</v>
      </c>
      <c r="F377" s="1" t="str">
        <f t="shared" si="32"/>
        <v>Apr</v>
      </c>
      <c r="G377" s="11">
        <v>3000</v>
      </c>
      <c r="H377" s="11">
        <v>2900</v>
      </c>
      <c r="I377" s="4" t="str">
        <f>_xlfn.XLOOKUP(D377,'Sales Manager'!$A$2:$A$6,'Sales Manager'!$B$2:$B$6,"")</f>
        <v>Emeka Nwosu</v>
      </c>
      <c r="J377" s="12">
        <v>7</v>
      </c>
      <c r="K377" s="12">
        <v>5</v>
      </c>
    </row>
    <row r="378" spans="1:11" x14ac:dyDescent="0.3">
      <c r="A378" s="2">
        <v>377</v>
      </c>
      <c r="B378" s="2">
        <f t="shared" si="27"/>
        <v>106</v>
      </c>
      <c r="C378" s="1" t="str">
        <f>VLOOKUP(B378,Products!A:C,2,FALSE)</f>
        <v>Pineapple</v>
      </c>
      <c r="D378" s="1" t="str">
        <f t="shared" si="28"/>
        <v>Abuja</v>
      </c>
      <c r="E378" s="3">
        <f t="shared" si="32"/>
        <v>5</v>
      </c>
      <c r="F378" s="1" t="str">
        <f t="shared" si="32"/>
        <v>May</v>
      </c>
      <c r="G378" s="11">
        <v>666.66666666666663</v>
      </c>
      <c r="H378" s="11">
        <v>166.66666666666663</v>
      </c>
      <c r="I378" s="4" t="str">
        <f>_xlfn.XLOOKUP(D378,'Sales Manager'!$A$2:$A$6,'Sales Manager'!$B$2:$B$6,"")</f>
        <v>Emeka Nwosu</v>
      </c>
      <c r="J378" s="12">
        <v>7</v>
      </c>
      <c r="K378" s="12">
        <v>8</v>
      </c>
    </row>
    <row r="379" spans="1:11" x14ac:dyDescent="0.3">
      <c r="A379" s="2">
        <v>378</v>
      </c>
      <c r="B379" s="2">
        <f t="shared" si="27"/>
        <v>106</v>
      </c>
      <c r="C379" s="1" t="str">
        <f>VLOOKUP(B379,Products!A:C,2,FALSE)</f>
        <v>Pineapple</v>
      </c>
      <c r="D379" s="1" t="str">
        <f t="shared" si="28"/>
        <v>Abuja</v>
      </c>
      <c r="E379" s="3">
        <f t="shared" si="32"/>
        <v>6</v>
      </c>
      <c r="F379" s="1" t="str">
        <f t="shared" si="32"/>
        <v>Jun</v>
      </c>
      <c r="G379" s="11">
        <v>3000</v>
      </c>
      <c r="H379" s="11">
        <v>2200</v>
      </c>
      <c r="I379" s="4" t="str">
        <f>_xlfn.XLOOKUP(D379,'Sales Manager'!$A$2:$A$6,'Sales Manager'!$B$2:$B$6,"")</f>
        <v>Emeka Nwosu</v>
      </c>
      <c r="J379" s="12">
        <v>8</v>
      </c>
      <c r="K379" s="12">
        <v>10</v>
      </c>
    </row>
    <row r="380" spans="1:11" x14ac:dyDescent="0.3">
      <c r="A380" s="2">
        <v>379</v>
      </c>
      <c r="B380" s="2">
        <f t="shared" si="27"/>
        <v>106</v>
      </c>
      <c r="C380" s="1" t="str">
        <f>VLOOKUP(B380,Products!A:C,2,FALSE)</f>
        <v>Pineapple</v>
      </c>
      <c r="D380" s="1" t="str">
        <f t="shared" si="28"/>
        <v>Abuja</v>
      </c>
      <c r="E380" s="3">
        <f t="shared" si="32"/>
        <v>7</v>
      </c>
      <c r="F380" s="1" t="str">
        <f t="shared" si="32"/>
        <v>Jul</v>
      </c>
      <c r="G380" s="11">
        <v>1000</v>
      </c>
      <c r="H380" s="11">
        <v>300</v>
      </c>
      <c r="I380" s="4" t="str">
        <f>_xlfn.XLOOKUP(D380,'Sales Manager'!$A$2:$A$6,'Sales Manager'!$B$2:$B$6,"")</f>
        <v>Emeka Nwosu</v>
      </c>
      <c r="J380" s="12">
        <v>6</v>
      </c>
      <c r="K380" s="12">
        <v>8</v>
      </c>
    </row>
    <row r="381" spans="1:11" x14ac:dyDescent="0.3">
      <c r="A381" s="2">
        <v>380</v>
      </c>
      <c r="B381" s="2">
        <f t="shared" si="27"/>
        <v>106</v>
      </c>
      <c r="C381" s="1" t="str">
        <f>VLOOKUP(B381,Products!A:C,2,FALSE)</f>
        <v>Pineapple</v>
      </c>
      <c r="D381" s="1" t="str">
        <f t="shared" si="28"/>
        <v>Abuja</v>
      </c>
      <c r="E381" s="3">
        <f t="shared" si="32"/>
        <v>8</v>
      </c>
      <c r="F381" s="1" t="str">
        <f t="shared" si="32"/>
        <v>Aug</v>
      </c>
      <c r="G381" s="11">
        <v>500</v>
      </c>
      <c r="H381" s="11">
        <v>200</v>
      </c>
      <c r="I381" s="4" t="str">
        <f>_xlfn.XLOOKUP(D381,'Sales Manager'!$A$2:$A$6,'Sales Manager'!$B$2:$B$6,"")</f>
        <v>Emeka Nwosu</v>
      </c>
      <c r="J381" s="12">
        <v>5</v>
      </c>
      <c r="K381" s="12">
        <v>7</v>
      </c>
    </row>
    <row r="382" spans="1:11" x14ac:dyDescent="0.3">
      <c r="A382" s="2">
        <v>381</v>
      </c>
      <c r="B382" s="2">
        <f t="shared" si="27"/>
        <v>106</v>
      </c>
      <c r="C382" s="1" t="str">
        <f>VLOOKUP(B382,Products!A:C,2,FALSE)</f>
        <v>Pineapple</v>
      </c>
      <c r="D382" s="1" t="str">
        <f t="shared" si="28"/>
        <v>Abuja</v>
      </c>
      <c r="E382" s="3">
        <f t="shared" si="32"/>
        <v>9</v>
      </c>
      <c r="F382" s="1" t="str">
        <f t="shared" si="32"/>
        <v>Sept</v>
      </c>
      <c r="G382" s="11">
        <v>1000</v>
      </c>
      <c r="H382" s="11">
        <v>800</v>
      </c>
      <c r="I382" s="4" t="str">
        <f>_xlfn.XLOOKUP(D382,'Sales Manager'!$A$2:$A$6,'Sales Manager'!$B$2:$B$6,"")</f>
        <v>Emeka Nwosu</v>
      </c>
      <c r="J382" s="12">
        <v>7</v>
      </c>
      <c r="K382" s="12">
        <v>9</v>
      </c>
    </row>
    <row r="383" spans="1:11" x14ac:dyDescent="0.3">
      <c r="A383" s="2">
        <v>382</v>
      </c>
      <c r="B383" s="2">
        <f t="shared" ref="B383:B446" si="33">B323+1</f>
        <v>106</v>
      </c>
      <c r="C383" s="1" t="str">
        <f>VLOOKUP(B383,Products!A:C,2,FALSE)</f>
        <v>Pineapple</v>
      </c>
      <c r="D383" s="1" t="str">
        <f t="shared" ref="D383:D446" si="34">D323</f>
        <v>Abuja</v>
      </c>
      <c r="E383" s="3">
        <f t="shared" ref="E383:F398" si="35">E371</f>
        <v>10</v>
      </c>
      <c r="F383" s="1" t="str">
        <f t="shared" si="35"/>
        <v>Oct</v>
      </c>
      <c r="G383" s="11">
        <v>800</v>
      </c>
      <c r="H383" s="11">
        <v>200</v>
      </c>
      <c r="I383" s="4" t="str">
        <f>_xlfn.XLOOKUP(D383,'Sales Manager'!$A$2:$A$6,'Sales Manager'!$B$2:$B$6,"")</f>
        <v>Emeka Nwosu</v>
      </c>
      <c r="J383" s="12">
        <v>9</v>
      </c>
      <c r="K383" s="12">
        <v>10</v>
      </c>
    </row>
    <row r="384" spans="1:11" x14ac:dyDescent="0.3">
      <c r="A384" s="2">
        <v>383</v>
      </c>
      <c r="B384" s="2">
        <f t="shared" si="33"/>
        <v>106</v>
      </c>
      <c r="C384" s="1" t="str">
        <f>VLOOKUP(B384,Products!A:C,2,FALSE)</f>
        <v>Pineapple</v>
      </c>
      <c r="D384" s="1" t="str">
        <f t="shared" si="34"/>
        <v>Abuja</v>
      </c>
      <c r="E384" s="3">
        <f t="shared" si="35"/>
        <v>11</v>
      </c>
      <c r="F384" s="1" t="str">
        <f t="shared" si="35"/>
        <v>Nov</v>
      </c>
      <c r="G384" s="11">
        <v>400</v>
      </c>
      <c r="H384" s="11">
        <v>300</v>
      </c>
      <c r="I384" s="4" t="str">
        <f>_xlfn.XLOOKUP(D384,'Sales Manager'!$A$2:$A$6,'Sales Manager'!$B$2:$B$6,"")</f>
        <v>Emeka Nwosu</v>
      </c>
      <c r="J384" s="12">
        <v>10</v>
      </c>
      <c r="K384" s="12">
        <v>6</v>
      </c>
    </row>
    <row r="385" spans="1:11" x14ac:dyDescent="0.3">
      <c r="A385" s="2">
        <v>384</v>
      </c>
      <c r="B385" s="2">
        <f t="shared" si="33"/>
        <v>106</v>
      </c>
      <c r="C385" s="1" t="str">
        <f>VLOOKUP(B385,Products!A:C,2,FALSE)</f>
        <v>Pineapple</v>
      </c>
      <c r="D385" s="1" t="str">
        <f t="shared" si="34"/>
        <v>Abuja</v>
      </c>
      <c r="E385" s="3">
        <f t="shared" si="35"/>
        <v>12</v>
      </c>
      <c r="F385" s="1" t="str">
        <f t="shared" si="35"/>
        <v>Dec</v>
      </c>
      <c r="G385" s="11">
        <v>2500</v>
      </c>
      <c r="H385" s="11">
        <v>2200</v>
      </c>
      <c r="I385" s="4" t="str">
        <f>_xlfn.XLOOKUP(D385,'Sales Manager'!$A$2:$A$6,'Sales Manager'!$B$2:$B$6,"")</f>
        <v>Emeka Nwosu</v>
      </c>
      <c r="J385" s="12">
        <v>7</v>
      </c>
      <c r="K385" s="12">
        <v>8</v>
      </c>
    </row>
    <row r="386" spans="1:11" x14ac:dyDescent="0.3">
      <c r="A386" s="2">
        <v>385</v>
      </c>
      <c r="B386" s="2">
        <f t="shared" si="33"/>
        <v>106</v>
      </c>
      <c r="C386" s="1" t="str">
        <f>VLOOKUP(B386,Products!A:C,2,FALSE)</f>
        <v>Pineapple</v>
      </c>
      <c r="D386" s="1" t="str">
        <f t="shared" si="34"/>
        <v>Warri</v>
      </c>
      <c r="E386" s="3">
        <f t="shared" si="35"/>
        <v>1</v>
      </c>
      <c r="F386" s="1" t="str">
        <f t="shared" si="35"/>
        <v>Jan</v>
      </c>
      <c r="G386" s="11">
        <v>4500</v>
      </c>
      <c r="H386" s="11">
        <v>3900</v>
      </c>
      <c r="I386" s="4" t="str">
        <f>_xlfn.XLOOKUP(D386,'Sales Manager'!$A$2:$A$6,'Sales Manager'!$B$2:$B$6,"")</f>
        <v>Gbenga Adesanya</v>
      </c>
      <c r="J386" s="12">
        <v>6</v>
      </c>
      <c r="K386" s="12">
        <v>10</v>
      </c>
    </row>
    <row r="387" spans="1:11" x14ac:dyDescent="0.3">
      <c r="A387" s="2">
        <v>386</v>
      </c>
      <c r="B387" s="2">
        <f t="shared" si="33"/>
        <v>106</v>
      </c>
      <c r="C387" s="1" t="str">
        <f>VLOOKUP(B387,Products!A:C,2,FALSE)</f>
        <v>Pineapple</v>
      </c>
      <c r="D387" s="1" t="str">
        <f t="shared" si="34"/>
        <v>Warri</v>
      </c>
      <c r="E387" s="3">
        <f t="shared" si="35"/>
        <v>2</v>
      </c>
      <c r="F387" s="1" t="str">
        <f t="shared" si="35"/>
        <v>Feb</v>
      </c>
      <c r="G387" s="11">
        <v>1600</v>
      </c>
      <c r="H387" s="11">
        <v>1300</v>
      </c>
      <c r="I387" s="4" t="str">
        <f>_xlfn.XLOOKUP(D387,'Sales Manager'!$A$2:$A$6,'Sales Manager'!$B$2:$B$6,"")</f>
        <v>Gbenga Adesanya</v>
      </c>
      <c r="J387" s="12">
        <v>5</v>
      </c>
      <c r="K387" s="12">
        <v>10</v>
      </c>
    </row>
    <row r="388" spans="1:11" x14ac:dyDescent="0.3">
      <c r="A388" s="2">
        <v>387</v>
      </c>
      <c r="B388" s="2">
        <f t="shared" si="33"/>
        <v>106</v>
      </c>
      <c r="C388" s="1" t="str">
        <f>VLOOKUP(B388,Products!A:C,2,FALSE)</f>
        <v>Pineapple</v>
      </c>
      <c r="D388" s="1" t="str">
        <f t="shared" si="34"/>
        <v>Warri</v>
      </c>
      <c r="E388" s="3">
        <f t="shared" si="35"/>
        <v>3</v>
      </c>
      <c r="F388" s="1" t="str">
        <f t="shared" si="35"/>
        <v>Mar</v>
      </c>
      <c r="G388" s="11">
        <v>500</v>
      </c>
      <c r="H388" s="11">
        <v>500</v>
      </c>
      <c r="I388" s="4" t="str">
        <f>_xlfn.XLOOKUP(D388,'Sales Manager'!$A$2:$A$6,'Sales Manager'!$B$2:$B$6,"")</f>
        <v>Gbenga Adesanya</v>
      </c>
      <c r="J388" s="12">
        <v>9</v>
      </c>
      <c r="K388" s="12">
        <v>8</v>
      </c>
    </row>
    <row r="389" spans="1:11" x14ac:dyDescent="0.3">
      <c r="A389" s="2">
        <v>388</v>
      </c>
      <c r="B389" s="2">
        <f t="shared" si="33"/>
        <v>106</v>
      </c>
      <c r="C389" s="1" t="str">
        <f>VLOOKUP(B389,Products!A:C,2,FALSE)</f>
        <v>Pineapple</v>
      </c>
      <c r="D389" s="1" t="str">
        <f t="shared" si="34"/>
        <v>Warri</v>
      </c>
      <c r="E389" s="3">
        <f t="shared" si="35"/>
        <v>4</v>
      </c>
      <c r="F389" s="1" t="str">
        <f t="shared" si="35"/>
        <v>Apr</v>
      </c>
      <c r="G389" s="11">
        <v>750</v>
      </c>
      <c r="H389" s="11">
        <v>150</v>
      </c>
      <c r="I389" s="4" t="str">
        <f>_xlfn.XLOOKUP(D389,'Sales Manager'!$A$2:$A$6,'Sales Manager'!$B$2:$B$6,"")</f>
        <v>Gbenga Adesanya</v>
      </c>
      <c r="J389" s="12">
        <v>10</v>
      </c>
      <c r="K389" s="12">
        <v>7</v>
      </c>
    </row>
    <row r="390" spans="1:11" x14ac:dyDescent="0.3">
      <c r="A390" s="2">
        <v>389</v>
      </c>
      <c r="B390" s="2">
        <f t="shared" si="33"/>
        <v>106</v>
      </c>
      <c r="C390" s="1" t="str">
        <f>VLOOKUP(B390,Products!A:C,2,FALSE)</f>
        <v>Pineapple</v>
      </c>
      <c r="D390" s="1" t="str">
        <f t="shared" si="34"/>
        <v>Warri</v>
      </c>
      <c r="E390" s="3">
        <f t="shared" si="35"/>
        <v>5</v>
      </c>
      <c r="F390" s="1" t="str">
        <f t="shared" si="35"/>
        <v>May</v>
      </c>
      <c r="G390" s="11">
        <v>1200</v>
      </c>
      <c r="H390" s="11">
        <v>900</v>
      </c>
      <c r="I390" s="4" t="str">
        <f>_xlfn.XLOOKUP(D390,'Sales Manager'!$A$2:$A$6,'Sales Manager'!$B$2:$B$6,"")</f>
        <v>Gbenga Adesanya</v>
      </c>
      <c r="J390" s="12">
        <v>7</v>
      </c>
      <c r="K390" s="12">
        <v>5</v>
      </c>
    </row>
    <row r="391" spans="1:11" x14ac:dyDescent="0.3">
      <c r="A391" s="2">
        <v>390</v>
      </c>
      <c r="B391" s="2">
        <f t="shared" si="33"/>
        <v>106</v>
      </c>
      <c r="C391" s="1" t="str">
        <f>VLOOKUP(B391,Products!A:C,2,FALSE)</f>
        <v>Pineapple</v>
      </c>
      <c r="D391" s="1" t="str">
        <f t="shared" si="34"/>
        <v>Warri</v>
      </c>
      <c r="E391" s="3">
        <f t="shared" si="35"/>
        <v>6</v>
      </c>
      <c r="F391" s="1" t="str">
        <f t="shared" si="35"/>
        <v>Jun</v>
      </c>
      <c r="G391" s="11">
        <v>600</v>
      </c>
      <c r="H391" s="11">
        <v>500</v>
      </c>
      <c r="I391" s="4" t="str">
        <f>_xlfn.XLOOKUP(D391,'Sales Manager'!$A$2:$A$6,'Sales Manager'!$B$2:$B$6,"")</f>
        <v>Gbenga Adesanya</v>
      </c>
      <c r="J391" s="12">
        <v>10</v>
      </c>
      <c r="K391" s="12">
        <v>5</v>
      </c>
    </row>
    <row r="392" spans="1:11" x14ac:dyDescent="0.3">
      <c r="A392" s="2">
        <v>391</v>
      </c>
      <c r="B392" s="2">
        <f t="shared" si="33"/>
        <v>106</v>
      </c>
      <c r="C392" s="1" t="str">
        <f>VLOOKUP(B392,Products!A:C,2,FALSE)</f>
        <v>Pineapple</v>
      </c>
      <c r="D392" s="1" t="str">
        <f t="shared" si="34"/>
        <v>Warri</v>
      </c>
      <c r="E392" s="3">
        <f t="shared" si="35"/>
        <v>7</v>
      </c>
      <c r="F392" s="1" t="str">
        <f t="shared" si="35"/>
        <v>Jul</v>
      </c>
      <c r="G392" s="11">
        <v>2000</v>
      </c>
      <c r="H392" s="11">
        <v>1900</v>
      </c>
      <c r="I392" s="4" t="str">
        <f>_xlfn.XLOOKUP(D392,'Sales Manager'!$A$2:$A$6,'Sales Manager'!$B$2:$B$6,"")</f>
        <v>Gbenga Adesanya</v>
      </c>
      <c r="J392" s="12">
        <v>5</v>
      </c>
      <c r="K392" s="12">
        <v>5</v>
      </c>
    </row>
    <row r="393" spans="1:11" x14ac:dyDescent="0.3">
      <c r="A393" s="2">
        <v>392</v>
      </c>
      <c r="B393" s="2">
        <f t="shared" si="33"/>
        <v>106</v>
      </c>
      <c r="C393" s="1" t="str">
        <f>VLOOKUP(B393,Products!A:C,2,FALSE)</f>
        <v>Pineapple</v>
      </c>
      <c r="D393" s="1" t="str">
        <f t="shared" si="34"/>
        <v>Warri</v>
      </c>
      <c r="E393" s="3">
        <f t="shared" si="35"/>
        <v>8</v>
      </c>
      <c r="F393" s="1" t="str">
        <f t="shared" si="35"/>
        <v>Aug</v>
      </c>
      <c r="G393" s="11">
        <v>1500</v>
      </c>
      <c r="H393" s="11">
        <v>1200</v>
      </c>
      <c r="I393" s="4" t="str">
        <f>_xlfn.XLOOKUP(D393,'Sales Manager'!$A$2:$A$6,'Sales Manager'!$B$2:$B$6,"")</f>
        <v>Gbenga Adesanya</v>
      </c>
      <c r="J393" s="12">
        <v>9</v>
      </c>
      <c r="K393" s="12">
        <v>6</v>
      </c>
    </row>
    <row r="394" spans="1:11" x14ac:dyDescent="0.3">
      <c r="A394" s="2">
        <v>393</v>
      </c>
      <c r="B394" s="2">
        <f t="shared" si="33"/>
        <v>106</v>
      </c>
      <c r="C394" s="1" t="str">
        <f>VLOOKUP(B394,Products!A:C,2,FALSE)</f>
        <v>Pineapple</v>
      </c>
      <c r="D394" s="1" t="str">
        <f t="shared" si="34"/>
        <v>Warri</v>
      </c>
      <c r="E394" s="3">
        <f t="shared" si="35"/>
        <v>9</v>
      </c>
      <c r="F394" s="1" t="str">
        <f t="shared" si="35"/>
        <v>Sept</v>
      </c>
      <c r="G394" s="11">
        <v>750</v>
      </c>
      <c r="H394" s="11">
        <v>750</v>
      </c>
      <c r="I394" s="4" t="str">
        <f>_xlfn.XLOOKUP(D394,'Sales Manager'!$A$2:$A$6,'Sales Manager'!$B$2:$B$6,"")</f>
        <v>Gbenga Adesanya</v>
      </c>
      <c r="J394" s="12">
        <v>6</v>
      </c>
      <c r="K394" s="12">
        <v>5</v>
      </c>
    </row>
    <row r="395" spans="1:11" x14ac:dyDescent="0.3">
      <c r="A395" s="2">
        <v>394</v>
      </c>
      <c r="B395" s="2">
        <f t="shared" si="33"/>
        <v>106</v>
      </c>
      <c r="C395" s="1" t="str">
        <f>VLOOKUP(B395,Products!A:C,2,FALSE)</f>
        <v>Pineapple</v>
      </c>
      <c r="D395" s="1" t="str">
        <f t="shared" si="34"/>
        <v>Warri</v>
      </c>
      <c r="E395" s="3">
        <f t="shared" si="35"/>
        <v>10</v>
      </c>
      <c r="F395" s="1" t="str">
        <f t="shared" si="35"/>
        <v>Oct</v>
      </c>
      <c r="G395" s="11">
        <v>500</v>
      </c>
      <c r="H395" s="11">
        <v>100</v>
      </c>
      <c r="I395" s="4" t="str">
        <f>_xlfn.XLOOKUP(D395,'Sales Manager'!$A$2:$A$6,'Sales Manager'!$B$2:$B$6,"")</f>
        <v>Gbenga Adesanya</v>
      </c>
      <c r="J395" s="12">
        <v>5</v>
      </c>
      <c r="K395" s="12">
        <v>6</v>
      </c>
    </row>
    <row r="396" spans="1:11" x14ac:dyDescent="0.3">
      <c r="A396" s="2">
        <v>395</v>
      </c>
      <c r="B396" s="2">
        <f t="shared" si="33"/>
        <v>106</v>
      </c>
      <c r="C396" s="1" t="str">
        <f>VLOOKUP(B396,Products!A:C,2,FALSE)</f>
        <v>Pineapple</v>
      </c>
      <c r="D396" s="1" t="str">
        <f t="shared" si="34"/>
        <v>Warri</v>
      </c>
      <c r="E396" s="3">
        <f t="shared" si="35"/>
        <v>11</v>
      </c>
      <c r="F396" s="1" t="str">
        <f t="shared" si="35"/>
        <v>Nov</v>
      </c>
      <c r="G396" s="11">
        <v>400</v>
      </c>
      <c r="H396" s="11">
        <v>200</v>
      </c>
      <c r="I396" s="4" t="str">
        <f>_xlfn.XLOOKUP(D396,'Sales Manager'!$A$2:$A$6,'Sales Manager'!$B$2:$B$6,"")</f>
        <v>Gbenga Adesanya</v>
      </c>
      <c r="J396" s="12">
        <v>8</v>
      </c>
      <c r="K396" s="12">
        <v>7</v>
      </c>
    </row>
    <row r="397" spans="1:11" x14ac:dyDescent="0.3">
      <c r="A397" s="2">
        <v>396</v>
      </c>
      <c r="B397" s="2">
        <f t="shared" si="33"/>
        <v>106</v>
      </c>
      <c r="C397" s="1" t="str">
        <f>VLOOKUP(B397,Products!A:C,2,FALSE)</f>
        <v>Pineapple</v>
      </c>
      <c r="D397" s="1" t="str">
        <f t="shared" si="34"/>
        <v>Warri</v>
      </c>
      <c r="E397" s="3">
        <f t="shared" si="35"/>
        <v>12</v>
      </c>
      <c r="F397" s="1" t="str">
        <f t="shared" si="35"/>
        <v>Dec</v>
      </c>
      <c r="G397" s="11">
        <v>333.33333333333331</v>
      </c>
      <c r="H397" s="11">
        <v>266.66666666666669</v>
      </c>
      <c r="I397" s="4" t="str">
        <f>_xlfn.XLOOKUP(D397,'Sales Manager'!$A$2:$A$6,'Sales Manager'!$B$2:$B$6,"")</f>
        <v>Gbenga Adesanya</v>
      </c>
      <c r="J397" s="12">
        <v>10</v>
      </c>
      <c r="K397" s="12">
        <v>10</v>
      </c>
    </row>
    <row r="398" spans="1:11" x14ac:dyDescent="0.3">
      <c r="A398" s="2">
        <v>397</v>
      </c>
      <c r="B398" s="2">
        <f t="shared" si="33"/>
        <v>106</v>
      </c>
      <c r="C398" s="1" t="str">
        <f>VLOOKUP(B398,Products!A:C,2,FALSE)</f>
        <v>Pineapple</v>
      </c>
      <c r="D398" s="1" t="str">
        <f t="shared" si="34"/>
        <v>Kaduna</v>
      </c>
      <c r="E398" s="3">
        <f t="shared" si="35"/>
        <v>1</v>
      </c>
      <c r="F398" s="1" t="str">
        <f t="shared" si="35"/>
        <v>Jan</v>
      </c>
      <c r="G398" s="11">
        <v>1333.3333333333333</v>
      </c>
      <c r="H398" s="11">
        <v>1033.3333333333333</v>
      </c>
      <c r="I398" s="4" t="str">
        <f>_xlfn.XLOOKUP(D398,'Sales Manager'!$A$2:$A$6,'Sales Manager'!$B$2:$B$6,"")</f>
        <v>Musa Garba</v>
      </c>
      <c r="J398" s="12">
        <v>6</v>
      </c>
      <c r="K398" s="12">
        <v>5</v>
      </c>
    </row>
    <row r="399" spans="1:11" x14ac:dyDescent="0.3">
      <c r="A399" s="2">
        <v>398</v>
      </c>
      <c r="B399" s="2">
        <f t="shared" si="33"/>
        <v>106</v>
      </c>
      <c r="C399" s="1" t="str">
        <f>VLOOKUP(B399,Products!A:C,2,FALSE)</f>
        <v>Pineapple</v>
      </c>
      <c r="D399" s="1" t="str">
        <f t="shared" si="34"/>
        <v>Kaduna</v>
      </c>
      <c r="E399" s="3">
        <f t="shared" ref="E399:F414" si="36">E387</f>
        <v>2</v>
      </c>
      <c r="F399" s="1" t="str">
        <f t="shared" si="36"/>
        <v>Feb</v>
      </c>
      <c r="G399" s="11">
        <v>1800</v>
      </c>
      <c r="H399" s="11">
        <v>1800</v>
      </c>
      <c r="I399" s="4" t="str">
        <f>_xlfn.XLOOKUP(D399,'Sales Manager'!$A$2:$A$6,'Sales Manager'!$B$2:$B$6,"")</f>
        <v>Musa Garba</v>
      </c>
      <c r="J399" s="12">
        <v>5</v>
      </c>
      <c r="K399" s="12">
        <v>6</v>
      </c>
    </row>
    <row r="400" spans="1:11" x14ac:dyDescent="0.3">
      <c r="A400" s="2">
        <v>399</v>
      </c>
      <c r="B400" s="2">
        <f t="shared" si="33"/>
        <v>106</v>
      </c>
      <c r="C400" s="1" t="str">
        <f>VLOOKUP(B400,Products!A:C,2,FALSE)</f>
        <v>Pineapple</v>
      </c>
      <c r="D400" s="1" t="str">
        <f t="shared" si="34"/>
        <v>Kaduna</v>
      </c>
      <c r="E400" s="3">
        <f t="shared" si="36"/>
        <v>3</v>
      </c>
      <c r="F400" s="1" t="str">
        <f t="shared" si="36"/>
        <v>Mar</v>
      </c>
      <c r="G400" s="11">
        <v>4500</v>
      </c>
      <c r="H400" s="11">
        <v>3800</v>
      </c>
      <c r="I400" s="4" t="str">
        <f>_xlfn.XLOOKUP(D400,'Sales Manager'!$A$2:$A$6,'Sales Manager'!$B$2:$B$6,"")</f>
        <v>Musa Garba</v>
      </c>
      <c r="J400" s="12">
        <v>7</v>
      </c>
      <c r="K400" s="12">
        <v>9</v>
      </c>
    </row>
    <row r="401" spans="1:11" x14ac:dyDescent="0.3">
      <c r="A401" s="2">
        <v>400</v>
      </c>
      <c r="B401" s="2">
        <f t="shared" si="33"/>
        <v>106</v>
      </c>
      <c r="C401" s="1" t="str">
        <f>VLOOKUP(B401,Products!A:C,2,FALSE)</f>
        <v>Pineapple</v>
      </c>
      <c r="D401" s="1" t="str">
        <f t="shared" si="34"/>
        <v>Kaduna</v>
      </c>
      <c r="E401" s="3">
        <f t="shared" si="36"/>
        <v>4</v>
      </c>
      <c r="F401" s="1" t="str">
        <f t="shared" si="36"/>
        <v>Apr</v>
      </c>
      <c r="G401" s="11">
        <v>1500</v>
      </c>
      <c r="H401" s="11">
        <v>1100</v>
      </c>
      <c r="I401" s="4" t="str">
        <f>_xlfn.XLOOKUP(D401,'Sales Manager'!$A$2:$A$6,'Sales Manager'!$B$2:$B$6,"")</f>
        <v>Musa Garba</v>
      </c>
      <c r="J401" s="12">
        <v>5</v>
      </c>
      <c r="K401" s="12">
        <v>7</v>
      </c>
    </row>
    <row r="402" spans="1:11" x14ac:dyDescent="0.3">
      <c r="A402" s="2">
        <v>401</v>
      </c>
      <c r="B402" s="2">
        <f t="shared" si="33"/>
        <v>106</v>
      </c>
      <c r="C402" s="1" t="str">
        <f>VLOOKUP(B402,Products!A:C,2,FALSE)</f>
        <v>Pineapple</v>
      </c>
      <c r="D402" s="1" t="str">
        <f t="shared" si="34"/>
        <v>Kaduna</v>
      </c>
      <c r="E402" s="3">
        <f t="shared" si="36"/>
        <v>5</v>
      </c>
      <c r="F402" s="1" t="str">
        <f t="shared" si="36"/>
        <v>May</v>
      </c>
      <c r="G402" s="11">
        <v>333.33333333333331</v>
      </c>
      <c r="H402" s="11">
        <v>266.66666666666669</v>
      </c>
      <c r="I402" s="4" t="str">
        <f>_xlfn.XLOOKUP(D402,'Sales Manager'!$A$2:$A$6,'Sales Manager'!$B$2:$B$6,"")</f>
        <v>Musa Garba</v>
      </c>
      <c r="J402" s="12">
        <v>9</v>
      </c>
      <c r="K402" s="12">
        <v>7</v>
      </c>
    </row>
    <row r="403" spans="1:11" x14ac:dyDescent="0.3">
      <c r="A403" s="2">
        <v>402</v>
      </c>
      <c r="B403" s="2">
        <f t="shared" si="33"/>
        <v>106</v>
      </c>
      <c r="C403" s="1" t="str">
        <f>VLOOKUP(B403,Products!A:C,2,FALSE)</f>
        <v>Pineapple</v>
      </c>
      <c r="D403" s="1" t="str">
        <f t="shared" si="34"/>
        <v>Kaduna</v>
      </c>
      <c r="E403" s="3">
        <f t="shared" si="36"/>
        <v>6</v>
      </c>
      <c r="F403" s="1" t="str">
        <f t="shared" si="36"/>
        <v>Jun</v>
      </c>
      <c r="G403" s="11">
        <v>500</v>
      </c>
      <c r="H403" s="11">
        <v>200</v>
      </c>
      <c r="I403" s="4" t="str">
        <f>_xlfn.XLOOKUP(D403,'Sales Manager'!$A$2:$A$6,'Sales Manager'!$B$2:$B$6,"")</f>
        <v>Musa Garba</v>
      </c>
      <c r="J403" s="12">
        <v>10</v>
      </c>
      <c r="K403" s="12">
        <v>8</v>
      </c>
    </row>
    <row r="404" spans="1:11" x14ac:dyDescent="0.3">
      <c r="A404" s="2">
        <v>403</v>
      </c>
      <c r="B404" s="2">
        <f t="shared" si="33"/>
        <v>106</v>
      </c>
      <c r="C404" s="1" t="str">
        <f>VLOOKUP(B404,Products!A:C,2,FALSE)</f>
        <v>Pineapple</v>
      </c>
      <c r="D404" s="1" t="str">
        <f t="shared" si="34"/>
        <v>Kaduna</v>
      </c>
      <c r="E404" s="3">
        <f t="shared" si="36"/>
        <v>7</v>
      </c>
      <c r="F404" s="1" t="str">
        <f t="shared" si="36"/>
        <v>Jul</v>
      </c>
      <c r="G404" s="11">
        <v>1000</v>
      </c>
      <c r="H404" s="11">
        <v>700</v>
      </c>
      <c r="I404" s="4" t="str">
        <f>_xlfn.XLOOKUP(D404,'Sales Manager'!$A$2:$A$6,'Sales Manager'!$B$2:$B$6,"")</f>
        <v>Musa Garba</v>
      </c>
      <c r="J404" s="12">
        <v>8</v>
      </c>
      <c r="K404" s="12">
        <v>7</v>
      </c>
    </row>
    <row r="405" spans="1:11" x14ac:dyDescent="0.3">
      <c r="A405" s="2">
        <v>404</v>
      </c>
      <c r="B405" s="2">
        <f t="shared" si="33"/>
        <v>106</v>
      </c>
      <c r="C405" s="1" t="str">
        <f>VLOOKUP(B405,Products!A:C,2,FALSE)</f>
        <v>Pineapple</v>
      </c>
      <c r="D405" s="1" t="str">
        <f t="shared" si="34"/>
        <v>Kaduna</v>
      </c>
      <c r="E405" s="3">
        <f t="shared" si="36"/>
        <v>8</v>
      </c>
      <c r="F405" s="1" t="str">
        <f t="shared" si="36"/>
        <v>Aug</v>
      </c>
      <c r="G405" s="11">
        <v>2333.3333333333335</v>
      </c>
      <c r="H405" s="11">
        <v>1933.3333333333335</v>
      </c>
      <c r="I405" s="4" t="str">
        <f>_xlfn.XLOOKUP(D405,'Sales Manager'!$A$2:$A$6,'Sales Manager'!$B$2:$B$6,"")</f>
        <v>Musa Garba</v>
      </c>
      <c r="J405" s="12">
        <v>5</v>
      </c>
      <c r="K405" s="12">
        <v>9</v>
      </c>
    </row>
    <row r="406" spans="1:11" x14ac:dyDescent="0.3">
      <c r="A406" s="2">
        <v>405</v>
      </c>
      <c r="B406" s="2">
        <f t="shared" si="33"/>
        <v>106</v>
      </c>
      <c r="C406" s="1" t="str">
        <f>VLOOKUP(B406,Products!A:C,2,FALSE)</f>
        <v>Pineapple</v>
      </c>
      <c r="D406" s="1" t="str">
        <f t="shared" si="34"/>
        <v>Kaduna</v>
      </c>
      <c r="E406" s="3">
        <f t="shared" si="36"/>
        <v>9</v>
      </c>
      <c r="F406" s="1" t="str">
        <f t="shared" si="36"/>
        <v>Sept</v>
      </c>
      <c r="G406" s="11">
        <v>800</v>
      </c>
      <c r="H406" s="11">
        <v>500</v>
      </c>
      <c r="I406" s="4" t="str">
        <f>_xlfn.XLOOKUP(D406,'Sales Manager'!$A$2:$A$6,'Sales Manager'!$B$2:$B$6,"")</f>
        <v>Musa Garba</v>
      </c>
      <c r="J406" s="12">
        <v>6</v>
      </c>
      <c r="K406" s="12">
        <v>9</v>
      </c>
    </row>
    <row r="407" spans="1:11" x14ac:dyDescent="0.3">
      <c r="A407" s="2">
        <v>406</v>
      </c>
      <c r="B407" s="2">
        <f t="shared" si="33"/>
        <v>106</v>
      </c>
      <c r="C407" s="1" t="str">
        <f>VLOOKUP(B407,Products!A:C,2,FALSE)</f>
        <v>Pineapple</v>
      </c>
      <c r="D407" s="1" t="str">
        <f t="shared" si="34"/>
        <v>Kaduna</v>
      </c>
      <c r="E407" s="3">
        <f t="shared" si="36"/>
        <v>10</v>
      </c>
      <c r="F407" s="1" t="str">
        <f t="shared" si="36"/>
        <v>Oct</v>
      </c>
      <c r="G407" s="11">
        <v>2500</v>
      </c>
      <c r="H407" s="11">
        <v>2000</v>
      </c>
      <c r="I407" s="4" t="str">
        <f>_xlfn.XLOOKUP(D407,'Sales Manager'!$A$2:$A$6,'Sales Manager'!$B$2:$B$6,"")</f>
        <v>Musa Garba</v>
      </c>
      <c r="J407" s="12">
        <v>10</v>
      </c>
      <c r="K407" s="12">
        <v>6</v>
      </c>
    </row>
    <row r="408" spans="1:11" x14ac:dyDescent="0.3">
      <c r="A408" s="2">
        <v>407</v>
      </c>
      <c r="B408" s="2">
        <f t="shared" si="33"/>
        <v>106</v>
      </c>
      <c r="C408" s="1" t="str">
        <f>VLOOKUP(B408,Products!A:C,2,FALSE)</f>
        <v>Pineapple</v>
      </c>
      <c r="D408" s="1" t="str">
        <f t="shared" si="34"/>
        <v>Kaduna</v>
      </c>
      <c r="E408" s="3">
        <f t="shared" si="36"/>
        <v>11</v>
      </c>
      <c r="F408" s="1" t="str">
        <f t="shared" si="36"/>
        <v>Nov</v>
      </c>
      <c r="G408" s="11">
        <v>4000</v>
      </c>
      <c r="H408" s="11">
        <v>3500</v>
      </c>
      <c r="I408" s="4" t="str">
        <f>_xlfn.XLOOKUP(D408,'Sales Manager'!$A$2:$A$6,'Sales Manager'!$B$2:$B$6,"")</f>
        <v>Musa Garba</v>
      </c>
      <c r="J408" s="12">
        <v>6</v>
      </c>
      <c r="K408" s="12">
        <v>7</v>
      </c>
    </row>
    <row r="409" spans="1:11" x14ac:dyDescent="0.3">
      <c r="A409" s="2">
        <v>408</v>
      </c>
      <c r="B409" s="2">
        <f t="shared" si="33"/>
        <v>106</v>
      </c>
      <c r="C409" s="1" t="str">
        <f>VLOOKUP(B409,Products!A:C,2,FALSE)</f>
        <v>Pineapple</v>
      </c>
      <c r="D409" s="1" t="str">
        <f t="shared" si="34"/>
        <v>Kaduna</v>
      </c>
      <c r="E409" s="3">
        <f t="shared" si="36"/>
        <v>12</v>
      </c>
      <c r="F409" s="1" t="str">
        <f t="shared" si="36"/>
        <v>Dec</v>
      </c>
      <c r="G409" s="11">
        <v>333.33333333333331</v>
      </c>
      <c r="H409" s="11">
        <v>566.66666666666674</v>
      </c>
      <c r="I409" s="4" t="str">
        <f>_xlfn.XLOOKUP(D409,'Sales Manager'!$A$2:$A$6,'Sales Manager'!$B$2:$B$6,"")</f>
        <v>Musa Garba</v>
      </c>
      <c r="J409" s="12">
        <v>9</v>
      </c>
      <c r="K409" s="12">
        <v>9</v>
      </c>
    </row>
    <row r="410" spans="1:11" x14ac:dyDescent="0.3">
      <c r="A410" s="2">
        <v>409</v>
      </c>
      <c r="B410" s="2">
        <f t="shared" si="33"/>
        <v>106</v>
      </c>
      <c r="C410" s="1" t="str">
        <f>VLOOKUP(B410,Products!A:C,2,FALSE)</f>
        <v>Pineapple</v>
      </c>
      <c r="D410" s="1" t="str">
        <f t="shared" si="34"/>
        <v>Ibadan</v>
      </c>
      <c r="E410" s="3">
        <f t="shared" si="36"/>
        <v>1</v>
      </c>
      <c r="F410" s="1" t="str">
        <f t="shared" si="36"/>
        <v>Jan</v>
      </c>
      <c r="G410" s="11">
        <v>800</v>
      </c>
      <c r="H410" s="11">
        <v>700</v>
      </c>
      <c r="I410" s="4" t="str">
        <f>_xlfn.XLOOKUP(D410,'Sales Manager'!$A$2:$A$6,'Sales Manager'!$B$2:$B$6,"")</f>
        <v>Funmi Adeyemi</v>
      </c>
      <c r="J410" s="12">
        <v>9</v>
      </c>
      <c r="K410" s="12">
        <v>9</v>
      </c>
    </row>
    <row r="411" spans="1:11" x14ac:dyDescent="0.3">
      <c r="A411" s="2">
        <v>410</v>
      </c>
      <c r="B411" s="2">
        <f t="shared" si="33"/>
        <v>106</v>
      </c>
      <c r="C411" s="1" t="str">
        <f>VLOOKUP(B411,Products!A:C,2,FALSE)</f>
        <v>Pineapple</v>
      </c>
      <c r="D411" s="1" t="str">
        <f t="shared" si="34"/>
        <v>Ibadan</v>
      </c>
      <c r="E411" s="3">
        <f t="shared" si="36"/>
        <v>2</v>
      </c>
      <c r="F411" s="1" t="str">
        <f t="shared" si="36"/>
        <v>Feb</v>
      </c>
      <c r="G411" s="11">
        <v>200</v>
      </c>
      <c r="H411" s="11">
        <v>500</v>
      </c>
      <c r="I411" s="4" t="str">
        <f>_xlfn.XLOOKUP(D411,'Sales Manager'!$A$2:$A$6,'Sales Manager'!$B$2:$B$6,"")</f>
        <v>Funmi Adeyemi</v>
      </c>
      <c r="J411" s="12">
        <v>6</v>
      </c>
      <c r="K411" s="12">
        <v>6</v>
      </c>
    </row>
    <row r="412" spans="1:11" x14ac:dyDescent="0.3">
      <c r="A412" s="2">
        <v>411</v>
      </c>
      <c r="B412" s="2">
        <f t="shared" si="33"/>
        <v>106</v>
      </c>
      <c r="C412" s="1" t="str">
        <f>VLOOKUP(B412,Products!A:C,2,FALSE)</f>
        <v>Pineapple</v>
      </c>
      <c r="D412" s="1" t="str">
        <f t="shared" si="34"/>
        <v>Ibadan</v>
      </c>
      <c r="E412" s="3">
        <f t="shared" si="36"/>
        <v>3</v>
      </c>
      <c r="F412" s="1" t="str">
        <f t="shared" si="36"/>
        <v>Mar</v>
      </c>
      <c r="G412" s="11">
        <v>1333.3333333333333</v>
      </c>
      <c r="H412" s="11">
        <v>1333.3333333333333</v>
      </c>
      <c r="I412" s="4" t="str">
        <f>_xlfn.XLOOKUP(D412,'Sales Manager'!$A$2:$A$6,'Sales Manager'!$B$2:$B$6,"")</f>
        <v>Funmi Adeyemi</v>
      </c>
      <c r="J412" s="12">
        <v>7</v>
      </c>
      <c r="K412" s="12">
        <v>5</v>
      </c>
    </row>
    <row r="413" spans="1:11" x14ac:dyDescent="0.3">
      <c r="A413" s="2">
        <v>412</v>
      </c>
      <c r="B413" s="2">
        <f t="shared" si="33"/>
        <v>106</v>
      </c>
      <c r="C413" s="1" t="str">
        <f>VLOOKUP(B413,Products!A:C,2,FALSE)</f>
        <v>Pineapple</v>
      </c>
      <c r="D413" s="1" t="str">
        <f t="shared" si="34"/>
        <v>Ibadan</v>
      </c>
      <c r="E413" s="3">
        <f t="shared" si="36"/>
        <v>4</v>
      </c>
      <c r="F413" s="1" t="str">
        <f t="shared" si="36"/>
        <v>Apr</v>
      </c>
      <c r="G413" s="11">
        <v>200</v>
      </c>
      <c r="H413" s="11">
        <v>300</v>
      </c>
      <c r="I413" s="4" t="str">
        <f>_xlfn.XLOOKUP(D413,'Sales Manager'!$A$2:$A$6,'Sales Manager'!$B$2:$B$6,"")</f>
        <v>Funmi Adeyemi</v>
      </c>
      <c r="J413" s="12">
        <v>7</v>
      </c>
      <c r="K413" s="12">
        <v>6</v>
      </c>
    </row>
    <row r="414" spans="1:11" x14ac:dyDescent="0.3">
      <c r="A414" s="2">
        <v>413</v>
      </c>
      <c r="B414" s="2">
        <f t="shared" si="33"/>
        <v>106</v>
      </c>
      <c r="C414" s="1" t="str">
        <f>VLOOKUP(B414,Products!A:C,2,FALSE)</f>
        <v>Pineapple</v>
      </c>
      <c r="D414" s="1" t="str">
        <f t="shared" si="34"/>
        <v>Ibadan</v>
      </c>
      <c r="E414" s="3">
        <f t="shared" si="36"/>
        <v>5</v>
      </c>
      <c r="F414" s="1" t="str">
        <f t="shared" si="36"/>
        <v>May</v>
      </c>
      <c r="G414" s="11">
        <v>400</v>
      </c>
      <c r="H414" s="11">
        <v>200</v>
      </c>
      <c r="I414" s="4" t="str">
        <f>_xlfn.XLOOKUP(D414,'Sales Manager'!$A$2:$A$6,'Sales Manager'!$B$2:$B$6,"")</f>
        <v>Funmi Adeyemi</v>
      </c>
      <c r="J414" s="12">
        <v>5</v>
      </c>
      <c r="K414" s="12">
        <v>9</v>
      </c>
    </row>
    <row r="415" spans="1:11" x14ac:dyDescent="0.3">
      <c r="A415" s="2">
        <v>414</v>
      </c>
      <c r="B415" s="2">
        <f t="shared" si="33"/>
        <v>106</v>
      </c>
      <c r="C415" s="1" t="str">
        <f>VLOOKUP(B415,Products!A:C,2,FALSE)</f>
        <v>Pineapple</v>
      </c>
      <c r="D415" s="1" t="str">
        <f t="shared" si="34"/>
        <v>Ibadan</v>
      </c>
      <c r="E415" s="3">
        <f t="shared" ref="E415:F430" si="37">E403</f>
        <v>6</v>
      </c>
      <c r="F415" s="1" t="str">
        <f t="shared" si="37"/>
        <v>Jun</v>
      </c>
      <c r="G415" s="11">
        <v>1400</v>
      </c>
      <c r="H415" s="11">
        <v>1100</v>
      </c>
      <c r="I415" s="4" t="str">
        <f>_xlfn.XLOOKUP(D415,'Sales Manager'!$A$2:$A$6,'Sales Manager'!$B$2:$B$6,"")</f>
        <v>Funmi Adeyemi</v>
      </c>
      <c r="J415" s="12">
        <v>6</v>
      </c>
      <c r="K415" s="12">
        <v>5</v>
      </c>
    </row>
    <row r="416" spans="1:11" x14ac:dyDescent="0.3">
      <c r="A416" s="2">
        <v>415</v>
      </c>
      <c r="B416" s="2">
        <f t="shared" si="33"/>
        <v>106</v>
      </c>
      <c r="C416" s="1" t="str">
        <f>VLOOKUP(B416,Products!A:C,2,FALSE)</f>
        <v>Pineapple</v>
      </c>
      <c r="D416" s="1" t="str">
        <f t="shared" si="34"/>
        <v>Ibadan</v>
      </c>
      <c r="E416" s="3">
        <f t="shared" si="37"/>
        <v>7</v>
      </c>
      <c r="F416" s="1" t="str">
        <f t="shared" si="37"/>
        <v>Jul</v>
      </c>
      <c r="G416" s="11">
        <v>3500</v>
      </c>
      <c r="H416" s="11">
        <v>3500</v>
      </c>
      <c r="I416" s="4" t="str">
        <f>_xlfn.XLOOKUP(D416,'Sales Manager'!$A$2:$A$6,'Sales Manager'!$B$2:$B$6,"")</f>
        <v>Funmi Adeyemi</v>
      </c>
      <c r="J416" s="12">
        <v>6</v>
      </c>
      <c r="K416" s="12">
        <v>10</v>
      </c>
    </row>
    <row r="417" spans="1:11" x14ac:dyDescent="0.3">
      <c r="A417" s="2">
        <v>416</v>
      </c>
      <c r="B417" s="2">
        <f t="shared" si="33"/>
        <v>106</v>
      </c>
      <c r="C417" s="1" t="str">
        <f>VLOOKUP(B417,Products!A:C,2,FALSE)</f>
        <v>Pineapple</v>
      </c>
      <c r="D417" s="1" t="str">
        <f t="shared" si="34"/>
        <v>Ibadan</v>
      </c>
      <c r="E417" s="3">
        <f t="shared" si="37"/>
        <v>8</v>
      </c>
      <c r="F417" s="1" t="str">
        <f t="shared" si="37"/>
        <v>Aug</v>
      </c>
      <c r="G417" s="11">
        <v>2000</v>
      </c>
      <c r="H417" s="11">
        <v>2000</v>
      </c>
      <c r="I417" s="4" t="str">
        <f>_xlfn.XLOOKUP(D417,'Sales Manager'!$A$2:$A$6,'Sales Manager'!$B$2:$B$6,"")</f>
        <v>Funmi Adeyemi</v>
      </c>
      <c r="J417" s="12">
        <v>9</v>
      </c>
      <c r="K417" s="12">
        <v>5</v>
      </c>
    </row>
    <row r="418" spans="1:11" x14ac:dyDescent="0.3">
      <c r="A418" s="2">
        <v>417</v>
      </c>
      <c r="B418" s="2">
        <f t="shared" si="33"/>
        <v>106</v>
      </c>
      <c r="C418" s="1" t="str">
        <f>VLOOKUP(B418,Products!A:C,2,FALSE)</f>
        <v>Pineapple</v>
      </c>
      <c r="D418" s="1" t="str">
        <f t="shared" si="34"/>
        <v>Ibadan</v>
      </c>
      <c r="E418" s="3">
        <f t="shared" si="37"/>
        <v>9</v>
      </c>
      <c r="F418" s="1" t="str">
        <f t="shared" si="37"/>
        <v>Sept</v>
      </c>
      <c r="G418" s="11">
        <v>1666.6666666666667</v>
      </c>
      <c r="H418" s="11">
        <v>1266.6666666666667</v>
      </c>
      <c r="I418" s="4" t="str">
        <f>_xlfn.XLOOKUP(D418,'Sales Manager'!$A$2:$A$6,'Sales Manager'!$B$2:$B$6,"")</f>
        <v>Funmi Adeyemi</v>
      </c>
      <c r="J418" s="12">
        <v>5</v>
      </c>
      <c r="K418" s="12">
        <v>8</v>
      </c>
    </row>
    <row r="419" spans="1:11" x14ac:dyDescent="0.3">
      <c r="A419" s="2">
        <v>418</v>
      </c>
      <c r="B419" s="2">
        <f t="shared" si="33"/>
        <v>106</v>
      </c>
      <c r="C419" s="1" t="str">
        <f>VLOOKUP(B419,Products!A:C,2,FALSE)</f>
        <v>Pineapple</v>
      </c>
      <c r="D419" s="1" t="str">
        <f t="shared" si="34"/>
        <v>Ibadan</v>
      </c>
      <c r="E419" s="3">
        <f t="shared" si="37"/>
        <v>10</v>
      </c>
      <c r="F419" s="1" t="str">
        <f t="shared" si="37"/>
        <v>Oct</v>
      </c>
      <c r="G419" s="11">
        <v>750</v>
      </c>
      <c r="H419" s="11">
        <v>550</v>
      </c>
      <c r="I419" s="4" t="str">
        <f>_xlfn.XLOOKUP(D419,'Sales Manager'!$A$2:$A$6,'Sales Manager'!$B$2:$B$6,"")</f>
        <v>Funmi Adeyemi</v>
      </c>
      <c r="J419" s="12">
        <v>5</v>
      </c>
      <c r="K419" s="12">
        <v>5</v>
      </c>
    </row>
    <row r="420" spans="1:11" x14ac:dyDescent="0.3">
      <c r="A420" s="2">
        <v>419</v>
      </c>
      <c r="B420" s="2">
        <f t="shared" si="33"/>
        <v>106</v>
      </c>
      <c r="C420" s="1" t="str">
        <f>VLOOKUP(B420,Products!A:C,2,FALSE)</f>
        <v>Pineapple</v>
      </c>
      <c r="D420" s="1" t="str">
        <f t="shared" si="34"/>
        <v>Ibadan</v>
      </c>
      <c r="E420" s="3">
        <f t="shared" si="37"/>
        <v>11</v>
      </c>
      <c r="F420" s="1" t="str">
        <f t="shared" si="37"/>
        <v>Nov</v>
      </c>
      <c r="G420" s="11">
        <v>2500</v>
      </c>
      <c r="H420" s="11">
        <v>2100</v>
      </c>
      <c r="I420" s="4" t="str">
        <f>_xlfn.XLOOKUP(D420,'Sales Manager'!$A$2:$A$6,'Sales Manager'!$B$2:$B$6,"")</f>
        <v>Funmi Adeyemi</v>
      </c>
      <c r="J420" s="12">
        <v>7</v>
      </c>
      <c r="K420" s="12">
        <v>9</v>
      </c>
    </row>
    <row r="421" spans="1:11" x14ac:dyDescent="0.3">
      <c r="A421" s="2">
        <v>420</v>
      </c>
      <c r="B421" s="2">
        <f t="shared" si="33"/>
        <v>106</v>
      </c>
      <c r="C421" s="1" t="str">
        <f>VLOOKUP(B421,Products!A:C,2,FALSE)</f>
        <v>Pineapple</v>
      </c>
      <c r="D421" s="1" t="str">
        <f t="shared" si="34"/>
        <v>Ibadan</v>
      </c>
      <c r="E421" s="3">
        <f t="shared" si="37"/>
        <v>12</v>
      </c>
      <c r="F421" s="1" t="str">
        <f t="shared" si="37"/>
        <v>Dec</v>
      </c>
      <c r="G421" s="11">
        <v>1400</v>
      </c>
      <c r="H421" s="11">
        <v>1200</v>
      </c>
      <c r="I421" s="4" t="str">
        <f>_xlfn.XLOOKUP(D421,'Sales Manager'!$A$2:$A$6,'Sales Manager'!$B$2:$B$6,"")</f>
        <v>Funmi Adeyemi</v>
      </c>
      <c r="J421" s="12">
        <v>10</v>
      </c>
      <c r="K421" s="12">
        <v>5</v>
      </c>
    </row>
    <row r="422" spans="1:11" x14ac:dyDescent="0.3">
      <c r="A422" s="2">
        <v>421</v>
      </c>
      <c r="B422" s="2">
        <f t="shared" si="33"/>
        <v>107</v>
      </c>
      <c r="C422" s="1" t="str">
        <f>VLOOKUP(B422,Products!A:C,2,FALSE)</f>
        <v>Cucumber</v>
      </c>
      <c r="D422" s="1" t="str">
        <f t="shared" si="34"/>
        <v>Lagos</v>
      </c>
      <c r="E422" s="3">
        <f t="shared" si="37"/>
        <v>1</v>
      </c>
      <c r="F422" s="1" t="str">
        <f t="shared" si="37"/>
        <v>Jan</v>
      </c>
      <c r="G422" s="11">
        <v>1666.6666666666667</v>
      </c>
      <c r="H422" s="11">
        <v>1266.6666666666667</v>
      </c>
      <c r="I422" s="4" t="str">
        <f>_xlfn.XLOOKUP(D422,'Sales Manager'!$A$2:$A$6,'Sales Manager'!$B$2:$B$6,"")</f>
        <v>Adaora Okafor</v>
      </c>
      <c r="J422" s="12">
        <v>7</v>
      </c>
      <c r="K422" s="12">
        <v>10</v>
      </c>
    </row>
    <row r="423" spans="1:11" x14ac:dyDescent="0.3">
      <c r="A423" s="2">
        <v>422</v>
      </c>
      <c r="B423" s="2">
        <f t="shared" si="33"/>
        <v>107</v>
      </c>
      <c r="C423" s="1" t="str">
        <f>VLOOKUP(B423,Products!A:C,2,FALSE)</f>
        <v>Cucumber</v>
      </c>
      <c r="D423" s="1" t="str">
        <f t="shared" si="34"/>
        <v>Lagos</v>
      </c>
      <c r="E423" s="3">
        <f t="shared" si="37"/>
        <v>2</v>
      </c>
      <c r="F423" s="1" t="str">
        <f t="shared" si="37"/>
        <v>Feb</v>
      </c>
      <c r="G423" s="11">
        <v>333.33333333333331</v>
      </c>
      <c r="H423" s="11">
        <v>366.66666666666669</v>
      </c>
      <c r="I423" s="4" t="str">
        <f>_xlfn.XLOOKUP(D423,'Sales Manager'!$A$2:$A$6,'Sales Manager'!$B$2:$B$6,"")</f>
        <v>Adaora Okafor</v>
      </c>
      <c r="J423" s="12">
        <v>5</v>
      </c>
      <c r="K423" s="12">
        <v>9</v>
      </c>
    </row>
    <row r="424" spans="1:11" x14ac:dyDescent="0.3">
      <c r="A424" s="2">
        <v>423</v>
      </c>
      <c r="B424" s="2">
        <f t="shared" si="33"/>
        <v>107</v>
      </c>
      <c r="C424" s="1" t="str">
        <f>VLOOKUP(B424,Products!A:C,2,FALSE)</f>
        <v>Cucumber</v>
      </c>
      <c r="D424" s="1" t="str">
        <f t="shared" si="34"/>
        <v>Lagos</v>
      </c>
      <c r="E424" s="3">
        <f t="shared" si="37"/>
        <v>3</v>
      </c>
      <c r="F424" s="1" t="str">
        <f t="shared" si="37"/>
        <v>Mar</v>
      </c>
      <c r="G424" s="11">
        <v>1000</v>
      </c>
      <c r="H424" s="11">
        <v>400</v>
      </c>
      <c r="I424" s="4" t="str">
        <f>_xlfn.XLOOKUP(D424,'Sales Manager'!$A$2:$A$6,'Sales Manager'!$B$2:$B$6,"")</f>
        <v>Adaora Okafor</v>
      </c>
      <c r="J424" s="12">
        <v>9</v>
      </c>
      <c r="K424" s="12">
        <v>10</v>
      </c>
    </row>
    <row r="425" spans="1:11" x14ac:dyDescent="0.3">
      <c r="A425" s="2">
        <v>424</v>
      </c>
      <c r="B425" s="2">
        <f t="shared" si="33"/>
        <v>107</v>
      </c>
      <c r="C425" s="1" t="str">
        <f>VLOOKUP(B425,Products!A:C,2,FALSE)</f>
        <v>Cucumber</v>
      </c>
      <c r="D425" s="1" t="str">
        <f t="shared" si="34"/>
        <v>Lagos</v>
      </c>
      <c r="E425" s="3">
        <f t="shared" si="37"/>
        <v>4</v>
      </c>
      <c r="F425" s="1" t="str">
        <f t="shared" si="37"/>
        <v>Apr</v>
      </c>
      <c r="G425" s="11">
        <v>1000</v>
      </c>
      <c r="H425" s="11">
        <v>500</v>
      </c>
      <c r="I425" s="4" t="str">
        <f>_xlfn.XLOOKUP(D425,'Sales Manager'!$A$2:$A$6,'Sales Manager'!$B$2:$B$6,"")</f>
        <v>Adaora Okafor</v>
      </c>
      <c r="J425" s="12">
        <v>6</v>
      </c>
      <c r="K425" s="12">
        <v>8</v>
      </c>
    </row>
    <row r="426" spans="1:11" x14ac:dyDescent="0.3">
      <c r="A426" s="2">
        <v>425</v>
      </c>
      <c r="B426" s="2">
        <f t="shared" si="33"/>
        <v>107</v>
      </c>
      <c r="C426" s="1" t="str">
        <f>VLOOKUP(B426,Products!A:C,2,FALSE)</f>
        <v>Cucumber</v>
      </c>
      <c r="D426" s="1" t="str">
        <f t="shared" si="34"/>
        <v>Lagos</v>
      </c>
      <c r="E426" s="3">
        <f t="shared" si="37"/>
        <v>5</v>
      </c>
      <c r="F426" s="1" t="str">
        <f t="shared" si="37"/>
        <v>May</v>
      </c>
      <c r="G426" s="11">
        <v>1666.6666666666667</v>
      </c>
      <c r="H426" s="11">
        <v>966.66666666666674</v>
      </c>
      <c r="I426" s="4" t="str">
        <f>_xlfn.XLOOKUP(D426,'Sales Manager'!$A$2:$A$6,'Sales Manager'!$B$2:$B$6,"")</f>
        <v>Adaora Okafor</v>
      </c>
      <c r="J426" s="12">
        <v>6</v>
      </c>
      <c r="K426" s="12">
        <v>9</v>
      </c>
    </row>
    <row r="427" spans="1:11" x14ac:dyDescent="0.3">
      <c r="A427" s="2">
        <v>426</v>
      </c>
      <c r="B427" s="2">
        <f t="shared" si="33"/>
        <v>107</v>
      </c>
      <c r="C427" s="1" t="str">
        <f>VLOOKUP(B427,Products!A:C,2,FALSE)</f>
        <v>Cucumber</v>
      </c>
      <c r="D427" s="1" t="str">
        <f t="shared" si="34"/>
        <v>Lagos</v>
      </c>
      <c r="E427" s="3">
        <f t="shared" si="37"/>
        <v>6</v>
      </c>
      <c r="F427" s="1" t="str">
        <f t="shared" si="37"/>
        <v>Jun</v>
      </c>
      <c r="G427" s="11">
        <v>2500</v>
      </c>
      <c r="H427" s="11">
        <v>1800</v>
      </c>
      <c r="I427" s="4" t="str">
        <f>_xlfn.XLOOKUP(D427,'Sales Manager'!$A$2:$A$6,'Sales Manager'!$B$2:$B$6,"")</f>
        <v>Adaora Okafor</v>
      </c>
      <c r="J427" s="12">
        <v>7</v>
      </c>
      <c r="K427" s="12">
        <v>9</v>
      </c>
    </row>
    <row r="428" spans="1:11" x14ac:dyDescent="0.3">
      <c r="A428" s="2">
        <v>427</v>
      </c>
      <c r="B428" s="2">
        <f t="shared" si="33"/>
        <v>107</v>
      </c>
      <c r="C428" s="1" t="str">
        <f>VLOOKUP(B428,Products!A:C,2,FALSE)</f>
        <v>Cucumber</v>
      </c>
      <c r="D428" s="1" t="str">
        <f t="shared" si="34"/>
        <v>Lagos</v>
      </c>
      <c r="E428" s="3">
        <f t="shared" si="37"/>
        <v>7</v>
      </c>
      <c r="F428" s="1" t="str">
        <f t="shared" si="37"/>
        <v>Jul</v>
      </c>
      <c r="G428" s="11">
        <v>500</v>
      </c>
      <c r="H428" s="11">
        <v>400</v>
      </c>
      <c r="I428" s="4" t="str">
        <f>_xlfn.XLOOKUP(D428,'Sales Manager'!$A$2:$A$6,'Sales Manager'!$B$2:$B$6,"")</f>
        <v>Adaora Okafor</v>
      </c>
      <c r="J428" s="12">
        <v>10</v>
      </c>
      <c r="K428" s="12">
        <v>8</v>
      </c>
    </row>
    <row r="429" spans="1:11" x14ac:dyDescent="0.3">
      <c r="A429" s="2">
        <v>428</v>
      </c>
      <c r="B429" s="2">
        <f t="shared" si="33"/>
        <v>107</v>
      </c>
      <c r="C429" s="1" t="str">
        <f>VLOOKUP(B429,Products!A:C,2,FALSE)</f>
        <v>Cucumber</v>
      </c>
      <c r="D429" s="1" t="str">
        <f t="shared" si="34"/>
        <v>Lagos</v>
      </c>
      <c r="E429" s="3">
        <f t="shared" si="37"/>
        <v>8</v>
      </c>
      <c r="F429" s="1" t="str">
        <f t="shared" si="37"/>
        <v>Aug</v>
      </c>
      <c r="G429" s="11">
        <v>750</v>
      </c>
      <c r="H429" s="11">
        <v>450</v>
      </c>
      <c r="I429" s="4" t="str">
        <f>_xlfn.XLOOKUP(D429,'Sales Manager'!$A$2:$A$6,'Sales Manager'!$B$2:$B$6,"")</f>
        <v>Adaora Okafor</v>
      </c>
      <c r="J429" s="12">
        <v>8</v>
      </c>
      <c r="K429" s="12">
        <v>10</v>
      </c>
    </row>
    <row r="430" spans="1:11" x14ac:dyDescent="0.3">
      <c r="A430" s="2">
        <v>429</v>
      </c>
      <c r="B430" s="2">
        <f t="shared" si="33"/>
        <v>107</v>
      </c>
      <c r="C430" s="1" t="str">
        <f>VLOOKUP(B430,Products!A:C,2,FALSE)</f>
        <v>Cucumber</v>
      </c>
      <c r="D430" s="1" t="str">
        <f t="shared" si="34"/>
        <v>Lagos</v>
      </c>
      <c r="E430" s="3">
        <f t="shared" si="37"/>
        <v>9</v>
      </c>
      <c r="F430" s="1" t="str">
        <f t="shared" si="37"/>
        <v>Sept</v>
      </c>
      <c r="G430" s="11">
        <v>3000</v>
      </c>
      <c r="H430" s="11">
        <v>3000</v>
      </c>
      <c r="I430" s="4" t="str">
        <f>_xlfn.XLOOKUP(D430,'Sales Manager'!$A$2:$A$6,'Sales Manager'!$B$2:$B$6,"")</f>
        <v>Adaora Okafor</v>
      </c>
      <c r="J430" s="12">
        <v>5</v>
      </c>
      <c r="K430" s="12">
        <v>6</v>
      </c>
    </row>
    <row r="431" spans="1:11" x14ac:dyDescent="0.3">
      <c r="A431" s="2">
        <v>430</v>
      </c>
      <c r="B431" s="2">
        <f t="shared" si="33"/>
        <v>107</v>
      </c>
      <c r="C431" s="1" t="str">
        <f>VLOOKUP(B431,Products!A:C,2,FALSE)</f>
        <v>Cucumber</v>
      </c>
      <c r="D431" s="1" t="str">
        <f t="shared" si="34"/>
        <v>Lagos</v>
      </c>
      <c r="E431" s="3">
        <f t="shared" ref="E431:F446" si="38">E419</f>
        <v>10</v>
      </c>
      <c r="F431" s="1" t="str">
        <f t="shared" si="38"/>
        <v>Oct</v>
      </c>
      <c r="G431" s="11">
        <v>2500</v>
      </c>
      <c r="H431" s="11">
        <v>2300</v>
      </c>
      <c r="I431" s="4" t="str">
        <f>_xlfn.XLOOKUP(D431,'Sales Manager'!$A$2:$A$6,'Sales Manager'!$B$2:$B$6,"")</f>
        <v>Adaora Okafor</v>
      </c>
      <c r="J431" s="12">
        <v>8</v>
      </c>
      <c r="K431" s="12">
        <v>6</v>
      </c>
    </row>
    <row r="432" spans="1:11" x14ac:dyDescent="0.3">
      <c r="A432" s="2">
        <v>431</v>
      </c>
      <c r="B432" s="2">
        <f t="shared" si="33"/>
        <v>107</v>
      </c>
      <c r="C432" s="1" t="str">
        <f>VLOOKUP(B432,Products!A:C,2,FALSE)</f>
        <v>Cucumber</v>
      </c>
      <c r="D432" s="1" t="str">
        <f t="shared" si="34"/>
        <v>Lagos</v>
      </c>
      <c r="E432" s="3">
        <f t="shared" si="38"/>
        <v>11</v>
      </c>
      <c r="F432" s="1" t="str">
        <f t="shared" si="38"/>
        <v>Nov</v>
      </c>
      <c r="G432" s="11">
        <v>1250</v>
      </c>
      <c r="H432" s="11">
        <v>1050</v>
      </c>
      <c r="I432" s="4" t="str">
        <f>_xlfn.XLOOKUP(D432,'Sales Manager'!$A$2:$A$6,'Sales Manager'!$B$2:$B$6,"")</f>
        <v>Adaora Okafor</v>
      </c>
      <c r="J432" s="12">
        <v>6</v>
      </c>
      <c r="K432" s="12">
        <v>8</v>
      </c>
    </row>
    <row r="433" spans="1:11" x14ac:dyDescent="0.3">
      <c r="A433" s="2">
        <v>432</v>
      </c>
      <c r="B433" s="2">
        <f t="shared" si="33"/>
        <v>107</v>
      </c>
      <c r="C433" s="1" t="str">
        <f>VLOOKUP(B433,Products!A:C,2,FALSE)</f>
        <v>Cucumber</v>
      </c>
      <c r="D433" s="1" t="str">
        <f t="shared" si="34"/>
        <v>Lagos</v>
      </c>
      <c r="E433" s="3">
        <f t="shared" si="38"/>
        <v>12</v>
      </c>
      <c r="F433" s="1" t="str">
        <f t="shared" si="38"/>
        <v>Dec</v>
      </c>
      <c r="G433" s="11">
        <v>1333.3333333333333</v>
      </c>
      <c r="H433" s="11">
        <v>833.33333333333326</v>
      </c>
      <c r="I433" s="4" t="str">
        <f>_xlfn.XLOOKUP(D433,'Sales Manager'!$A$2:$A$6,'Sales Manager'!$B$2:$B$6,"")</f>
        <v>Adaora Okafor</v>
      </c>
      <c r="J433" s="12">
        <v>8</v>
      </c>
      <c r="K433" s="12">
        <v>8</v>
      </c>
    </row>
    <row r="434" spans="1:11" x14ac:dyDescent="0.3">
      <c r="A434" s="2">
        <v>433</v>
      </c>
      <c r="B434" s="2">
        <f t="shared" si="33"/>
        <v>107</v>
      </c>
      <c r="C434" s="1" t="str">
        <f>VLOOKUP(B434,Products!A:C,2,FALSE)</f>
        <v>Cucumber</v>
      </c>
      <c r="D434" s="1" t="str">
        <f t="shared" si="34"/>
        <v>Abuja</v>
      </c>
      <c r="E434" s="3">
        <f t="shared" si="38"/>
        <v>1</v>
      </c>
      <c r="F434" s="1" t="str">
        <f t="shared" si="38"/>
        <v>Jan</v>
      </c>
      <c r="G434" s="11">
        <v>1000</v>
      </c>
      <c r="H434" s="11">
        <v>900</v>
      </c>
      <c r="I434" s="4" t="str">
        <f>_xlfn.XLOOKUP(D434,'Sales Manager'!$A$2:$A$6,'Sales Manager'!$B$2:$B$6,"")</f>
        <v>Emeka Nwosu</v>
      </c>
      <c r="J434" s="12">
        <v>8</v>
      </c>
      <c r="K434" s="12">
        <v>9</v>
      </c>
    </row>
    <row r="435" spans="1:11" x14ac:dyDescent="0.3">
      <c r="A435" s="2">
        <v>434</v>
      </c>
      <c r="B435" s="2">
        <f t="shared" si="33"/>
        <v>107</v>
      </c>
      <c r="C435" s="1" t="str">
        <f>VLOOKUP(B435,Products!A:C,2,FALSE)</f>
        <v>Cucumber</v>
      </c>
      <c r="D435" s="1" t="str">
        <f t="shared" si="34"/>
        <v>Abuja</v>
      </c>
      <c r="E435" s="3">
        <f t="shared" si="38"/>
        <v>2</v>
      </c>
      <c r="F435" s="1" t="str">
        <f t="shared" si="38"/>
        <v>Feb</v>
      </c>
      <c r="G435" s="11">
        <v>1666.6666666666667</v>
      </c>
      <c r="H435" s="11">
        <v>1466.6666666666667</v>
      </c>
      <c r="I435" s="4" t="str">
        <f>_xlfn.XLOOKUP(D435,'Sales Manager'!$A$2:$A$6,'Sales Manager'!$B$2:$B$6,"")</f>
        <v>Emeka Nwosu</v>
      </c>
      <c r="J435" s="12">
        <v>9</v>
      </c>
      <c r="K435" s="12">
        <v>5</v>
      </c>
    </row>
    <row r="436" spans="1:11" x14ac:dyDescent="0.3">
      <c r="A436" s="2">
        <v>435</v>
      </c>
      <c r="B436" s="2">
        <f t="shared" si="33"/>
        <v>107</v>
      </c>
      <c r="C436" s="1" t="str">
        <f>VLOOKUP(B436,Products!A:C,2,FALSE)</f>
        <v>Cucumber</v>
      </c>
      <c r="D436" s="1" t="str">
        <f t="shared" si="34"/>
        <v>Abuja</v>
      </c>
      <c r="E436" s="3">
        <f t="shared" si="38"/>
        <v>3</v>
      </c>
      <c r="F436" s="1" t="str">
        <f t="shared" si="38"/>
        <v>Mar</v>
      </c>
      <c r="G436" s="11">
        <v>1666.6666666666667</v>
      </c>
      <c r="H436" s="11">
        <v>1566.6666666666667</v>
      </c>
      <c r="I436" s="4" t="str">
        <f>_xlfn.XLOOKUP(D436,'Sales Manager'!$A$2:$A$6,'Sales Manager'!$B$2:$B$6,"")</f>
        <v>Emeka Nwosu</v>
      </c>
      <c r="J436" s="12">
        <v>10</v>
      </c>
      <c r="K436" s="12">
        <v>7</v>
      </c>
    </row>
    <row r="437" spans="1:11" x14ac:dyDescent="0.3">
      <c r="A437" s="2">
        <v>436</v>
      </c>
      <c r="B437" s="2">
        <f t="shared" si="33"/>
        <v>107</v>
      </c>
      <c r="C437" s="1" t="str">
        <f>VLOOKUP(B437,Products!A:C,2,FALSE)</f>
        <v>Cucumber</v>
      </c>
      <c r="D437" s="1" t="str">
        <f t="shared" si="34"/>
        <v>Abuja</v>
      </c>
      <c r="E437" s="3">
        <f t="shared" si="38"/>
        <v>4</v>
      </c>
      <c r="F437" s="1" t="str">
        <f t="shared" si="38"/>
        <v>Apr</v>
      </c>
      <c r="G437" s="11">
        <v>200</v>
      </c>
      <c r="H437" s="11">
        <v>800</v>
      </c>
      <c r="I437" s="4" t="str">
        <f>_xlfn.XLOOKUP(D437,'Sales Manager'!$A$2:$A$6,'Sales Manager'!$B$2:$B$6,"")</f>
        <v>Emeka Nwosu</v>
      </c>
      <c r="J437" s="12">
        <v>5</v>
      </c>
      <c r="K437" s="12">
        <v>9</v>
      </c>
    </row>
    <row r="438" spans="1:11" x14ac:dyDescent="0.3">
      <c r="A438" s="2">
        <v>437</v>
      </c>
      <c r="B438" s="2">
        <f t="shared" si="33"/>
        <v>107</v>
      </c>
      <c r="C438" s="1" t="str">
        <f>VLOOKUP(B438,Products!A:C,2,FALSE)</f>
        <v>Cucumber</v>
      </c>
      <c r="D438" s="1" t="str">
        <f t="shared" si="34"/>
        <v>Abuja</v>
      </c>
      <c r="E438" s="3">
        <f t="shared" si="38"/>
        <v>5</v>
      </c>
      <c r="F438" s="1" t="str">
        <f t="shared" si="38"/>
        <v>May</v>
      </c>
      <c r="G438" s="11">
        <v>333.33333333333331</v>
      </c>
      <c r="H438" s="11">
        <v>233.33333333333331</v>
      </c>
      <c r="I438" s="4" t="str">
        <f>_xlfn.XLOOKUP(D438,'Sales Manager'!$A$2:$A$6,'Sales Manager'!$B$2:$B$6,"")</f>
        <v>Emeka Nwosu</v>
      </c>
      <c r="J438" s="12">
        <v>8</v>
      </c>
      <c r="K438" s="12">
        <v>9</v>
      </c>
    </row>
    <row r="439" spans="1:11" x14ac:dyDescent="0.3">
      <c r="A439" s="2">
        <v>438</v>
      </c>
      <c r="B439" s="2">
        <f t="shared" si="33"/>
        <v>107</v>
      </c>
      <c r="C439" s="1" t="str">
        <f>VLOOKUP(B439,Products!A:C,2,FALSE)</f>
        <v>Cucumber</v>
      </c>
      <c r="D439" s="1" t="str">
        <f t="shared" si="34"/>
        <v>Abuja</v>
      </c>
      <c r="E439" s="3">
        <f t="shared" si="38"/>
        <v>6</v>
      </c>
      <c r="F439" s="1" t="str">
        <f t="shared" si="38"/>
        <v>Jun</v>
      </c>
      <c r="G439" s="11">
        <v>1666.6666666666667</v>
      </c>
      <c r="H439" s="11">
        <v>1666.6666666666667</v>
      </c>
      <c r="I439" s="4" t="str">
        <f>_xlfn.XLOOKUP(D439,'Sales Manager'!$A$2:$A$6,'Sales Manager'!$B$2:$B$6,"")</f>
        <v>Emeka Nwosu</v>
      </c>
      <c r="J439" s="12">
        <v>7</v>
      </c>
      <c r="K439" s="12">
        <v>5</v>
      </c>
    </row>
    <row r="440" spans="1:11" x14ac:dyDescent="0.3">
      <c r="A440" s="2">
        <v>439</v>
      </c>
      <c r="B440" s="2">
        <f t="shared" si="33"/>
        <v>107</v>
      </c>
      <c r="C440" s="1" t="str">
        <f>VLOOKUP(B440,Products!A:C,2,FALSE)</f>
        <v>Cucumber</v>
      </c>
      <c r="D440" s="1" t="str">
        <f t="shared" si="34"/>
        <v>Abuja</v>
      </c>
      <c r="E440" s="3">
        <f t="shared" si="38"/>
        <v>7</v>
      </c>
      <c r="F440" s="1" t="str">
        <f t="shared" si="38"/>
        <v>Jul</v>
      </c>
      <c r="G440" s="11">
        <v>4500</v>
      </c>
      <c r="H440" s="11">
        <v>4100</v>
      </c>
      <c r="I440" s="4" t="str">
        <f>_xlfn.XLOOKUP(D440,'Sales Manager'!$A$2:$A$6,'Sales Manager'!$B$2:$B$6,"")</f>
        <v>Emeka Nwosu</v>
      </c>
      <c r="J440" s="12">
        <v>5</v>
      </c>
      <c r="K440" s="12">
        <v>5</v>
      </c>
    </row>
    <row r="441" spans="1:11" x14ac:dyDescent="0.3">
      <c r="A441" s="2">
        <v>440</v>
      </c>
      <c r="B441" s="2">
        <f t="shared" si="33"/>
        <v>107</v>
      </c>
      <c r="C441" s="1" t="str">
        <f>VLOOKUP(B441,Products!A:C,2,FALSE)</f>
        <v>Cucumber</v>
      </c>
      <c r="D441" s="1" t="str">
        <f t="shared" si="34"/>
        <v>Abuja</v>
      </c>
      <c r="E441" s="3">
        <f t="shared" si="38"/>
        <v>8</v>
      </c>
      <c r="F441" s="1" t="str">
        <f t="shared" si="38"/>
        <v>Aug</v>
      </c>
      <c r="G441" s="11">
        <v>1666.6666666666667</v>
      </c>
      <c r="H441" s="11">
        <v>1566.6666666666667</v>
      </c>
      <c r="I441" s="4" t="str">
        <f>_xlfn.XLOOKUP(D441,'Sales Manager'!$A$2:$A$6,'Sales Manager'!$B$2:$B$6,"")</f>
        <v>Emeka Nwosu</v>
      </c>
      <c r="J441" s="12">
        <v>7</v>
      </c>
      <c r="K441" s="12">
        <v>7</v>
      </c>
    </row>
    <row r="442" spans="1:11" x14ac:dyDescent="0.3">
      <c r="A442" s="2">
        <v>441</v>
      </c>
      <c r="B442" s="2">
        <f t="shared" si="33"/>
        <v>107</v>
      </c>
      <c r="C442" s="1" t="str">
        <f>VLOOKUP(B442,Products!A:C,2,FALSE)</f>
        <v>Cucumber</v>
      </c>
      <c r="D442" s="1" t="str">
        <f t="shared" si="34"/>
        <v>Abuja</v>
      </c>
      <c r="E442" s="3">
        <f t="shared" si="38"/>
        <v>9</v>
      </c>
      <c r="F442" s="1" t="str">
        <f t="shared" si="38"/>
        <v>Sept</v>
      </c>
      <c r="G442" s="11">
        <v>750</v>
      </c>
      <c r="H442" s="11">
        <v>350</v>
      </c>
      <c r="I442" s="4" t="str">
        <f>_xlfn.XLOOKUP(D442,'Sales Manager'!$A$2:$A$6,'Sales Manager'!$B$2:$B$6,"")</f>
        <v>Emeka Nwosu</v>
      </c>
      <c r="J442" s="12">
        <v>8</v>
      </c>
      <c r="K442" s="12">
        <v>9</v>
      </c>
    </row>
    <row r="443" spans="1:11" x14ac:dyDescent="0.3">
      <c r="A443" s="2">
        <v>442</v>
      </c>
      <c r="B443" s="2">
        <f t="shared" si="33"/>
        <v>107</v>
      </c>
      <c r="C443" s="1" t="str">
        <f>VLOOKUP(B443,Products!A:C,2,FALSE)</f>
        <v>Cucumber</v>
      </c>
      <c r="D443" s="1" t="str">
        <f t="shared" si="34"/>
        <v>Abuja</v>
      </c>
      <c r="E443" s="3">
        <f t="shared" si="38"/>
        <v>10</v>
      </c>
      <c r="F443" s="1" t="str">
        <f t="shared" si="38"/>
        <v>Oct</v>
      </c>
      <c r="G443" s="11">
        <v>500</v>
      </c>
      <c r="H443" s="11">
        <v>400</v>
      </c>
      <c r="I443" s="4" t="str">
        <f>_xlfn.XLOOKUP(D443,'Sales Manager'!$A$2:$A$6,'Sales Manager'!$B$2:$B$6,"")</f>
        <v>Emeka Nwosu</v>
      </c>
      <c r="J443" s="12">
        <v>10</v>
      </c>
      <c r="K443" s="12">
        <v>10</v>
      </c>
    </row>
    <row r="444" spans="1:11" x14ac:dyDescent="0.3">
      <c r="A444" s="2">
        <v>443</v>
      </c>
      <c r="B444" s="2">
        <f t="shared" si="33"/>
        <v>107</v>
      </c>
      <c r="C444" s="1" t="str">
        <f>VLOOKUP(B444,Products!A:C,2,FALSE)</f>
        <v>Cucumber</v>
      </c>
      <c r="D444" s="1" t="str">
        <f t="shared" si="34"/>
        <v>Abuja</v>
      </c>
      <c r="E444" s="3">
        <f t="shared" si="38"/>
        <v>11</v>
      </c>
      <c r="F444" s="1" t="str">
        <f t="shared" si="38"/>
        <v>Nov</v>
      </c>
      <c r="G444" s="11">
        <v>1500</v>
      </c>
      <c r="H444" s="11">
        <v>1500</v>
      </c>
      <c r="I444" s="4" t="str">
        <f>_xlfn.XLOOKUP(D444,'Sales Manager'!$A$2:$A$6,'Sales Manager'!$B$2:$B$6,"")</f>
        <v>Emeka Nwosu</v>
      </c>
      <c r="J444" s="12">
        <v>9</v>
      </c>
      <c r="K444" s="12">
        <v>7</v>
      </c>
    </row>
    <row r="445" spans="1:11" x14ac:dyDescent="0.3">
      <c r="A445" s="2">
        <v>444</v>
      </c>
      <c r="B445" s="2">
        <f t="shared" si="33"/>
        <v>107</v>
      </c>
      <c r="C445" s="1" t="str">
        <f>VLOOKUP(B445,Products!A:C,2,FALSE)</f>
        <v>Cucumber</v>
      </c>
      <c r="D445" s="1" t="str">
        <f t="shared" si="34"/>
        <v>Abuja</v>
      </c>
      <c r="E445" s="3">
        <f t="shared" si="38"/>
        <v>12</v>
      </c>
      <c r="F445" s="1" t="str">
        <f t="shared" si="38"/>
        <v>Dec</v>
      </c>
      <c r="G445" s="11">
        <v>1666.6666666666667</v>
      </c>
      <c r="H445" s="11">
        <v>1066.6666666666667</v>
      </c>
      <c r="I445" s="4" t="str">
        <f>_xlfn.XLOOKUP(D445,'Sales Manager'!$A$2:$A$6,'Sales Manager'!$B$2:$B$6,"")</f>
        <v>Emeka Nwosu</v>
      </c>
      <c r="J445" s="12">
        <v>7</v>
      </c>
      <c r="K445" s="12">
        <v>7</v>
      </c>
    </row>
    <row r="446" spans="1:11" x14ac:dyDescent="0.3">
      <c r="A446" s="2">
        <v>445</v>
      </c>
      <c r="B446" s="2">
        <f t="shared" si="33"/>
        <v>107</v>
      </c>
      <c r="C446" s="1" t="str">
        <f>VLOOKUP(B446,Products!A:C,2,FALSE)</f>
        <v>Cucumber</v>
      </c>
      <c r="D446" s="1" t="str">
        <f t="shared" si="34"/>
        <v>Warri</v>
      </c>
      <c r="E446" s="3">
        <f t="shared" si="38"/>
        <v>1</v>
      </c>
      <c r="F446" s="1" t="str">
        <f t="shared" si="38"/>
        <v>Jan</v>
      </c>
      <c r="G446" s="11">
        <v>1000</v>
      </c>
      <c r="H446" s="11">
        <v>400</v>
      </c>
      <c r="I446" s="4" t="str">
        <f>_xlfn.XLOOKUP(D446,'Sales Manager'!$A$2:$A$6,'Sales Manager'!$B$2:$B$6,"")</f>
        <v>Gbenga Adesanya</v>
      </c>
      <c r="J446" s="12">
        <v>7</v>
      </c>
      <c r="K446" s="12">
        <v>7</v>
      </c>
    </row>
    <row r="447" spans="1:11" x14ac:dyDescent="0.3">
      <c r="A447" s="2">
        <v>446</v>
      </c>
      <c r="B447" s="2">
        <f t="shared" ref="B447:B510" si="39">B387+1</f>
        <v>107</v>
      </c>
      <c r="C447" s="1" t="str">
        <f>VLOOKUP(B447,Products!A:C,2,FALSE)</f>
        <v>Cucumber</v>
      </c>
      <c r="D447" s="1" t="str">
        <f t="shared" ref="D447:D510" si="40">D387</f>
        <v>Warri</v>
      </c>
      <c r="E447" s="3">
        <f t="shared" ref="E447:F462" si="41">E435</f>
        <v>2</v>
      </c>
      <c r="F447" s="1" t="str">
        <f t="shared" si="41"/>
        <v>Feb</v>
      </c>
      <c r="G447" s="11">
        <v>3333.3333333333335</v>
      </c>
      <c r="H447" s="11">
        <v>3133.3333333333335</v>
      </c>
      <c r="I447" s="4" t="str">
        <f>_xlfn.XLOOKUP(D447,'Sales Manager'!$A$2:$A$6,'Sales Manager'!$B$2:$B$6,"")</f>
        <v>Gbenga Adesanya</v>
      </c>
      <c r="J447" s="12">
        <v>7</v>
      </c>
      <c r="K447" s="12">
        <v>6</v>
      </c>
    </row>
    <row r="448" spans="1:11" x14ac:dyDescent="0.3">
      <c r="A448" s="2">
        <v>447</v>
      </c>
      <c r="B448" s="2">
        <f t="shared" si="39"/>
        <v>107</v>
      </c>
      <c r="C448" s="1" t="str">
        <f>VLOOKUP(B448,Products!A:C,2,FALSE)</f>
        <v>Cucumber</v>
      </c>
      <c r="D448" s="1" t="str">
        <f t="shared" si="40"/>
        <v>Warri</v>
      </c>
      <c r="E448" s="3">
        <f t="shared" si="41"/>
        <v>3</v>
      </c>
      <c r="F448" s="1" t="str">
        <f t="shared" si="41"/>
        <v>Mar</v>
      </c>
      <c r="G448" s="11">
        <v>1500</v>
      </c>
      <c r="H448" s="11">
        <v>1400</v>
      </c>
      <c r="I448" s="4" t="str">
        <f>_xlfn.XLOOKUP(D448,'Sales Manager'!$A$2:$A$6,'Sales Manager'!$B$2:$B$6,"")</f>
        <v>Gbenga Adesanya</v>
      </c>
      <c r="J448" s="12">
        <v>10</v>
      </c>
      <c r="K448" s="12">
        <v>8</v>
      </c>
    </row>
    <row r="449" spans="1:11" x14ac:dyDescent="0.3">
      <c r="A449" s="2">
        <v>448</v>
      </c>
      <c r="B449" s="2">
        <f t="shared" si="39"/>
        <v>107</v>
      </c>
      <c r="C449" s="1" t="str">
        <f>VLOOKUP(B449,Products!A:C,2,FALSE)</f>
        <v>Cucumber</v>
      </c>
      <c r="D449" s="1" t="str">
        <f t="shared" si="40"/>
        <v>Warri</v>
      </c>
      <c r="E449" s="3">
        <f t="shared" si="41"/>
        <v>4</v>
      </c>
      <c r="F449" s="1" t="str">
        <f t="shared" si="41"/>
        <v>Apr</v>
      </c>
      <c r="G449" s="11">
        <v>1250</v>
      </c>
      <c r="H449" s="11">
        <v>1150</v>
      </c>
      <c r="I449" s="4" t="str">
        <f>_xlfn.XLOOKUP(D449,'Sales Manager'!$A$2:$A$6,'Sales Manager'!$B$2:$B$6,"")</f>
        <v>Gbenga Adesanya</v>
      </c>
      <c r="J449" s="12">
        <v>10</v>
      </c>
      <c r="K449" s="12">
        <v>5</v>
      </c>
    </row>
    <row r="450" spans="1:11" x14ac:dyDescent="0.3">
      <c r="A450" s="2">
        <v>449</v>
      </c>
      <c r="B450" s="2">
        <f t="shared" si="39"/>
        <v>107</v>
      </c>
      <c r="C450" s="1" t="str">
        <f>VLOOKUP(B450,Products!A:C,2,FALSE)</f>
        <v>Cucumber</v>
      </c>
      <c r="D450" s="1" t="str">
        <f t="shared" si="40"/>
        <v>Warri</v>
      </c>
      <c r="E450" s="3">
        <f t="shared" si="41"/>
        <v>5</v>
      </c>
      <c r="F450" s="1" t="str">
        <f t="shared" si="41"/>
        <v>May</v>
      </c>
      <c r="G450" s="11">
        <v>800</v>
      </c>
      <c r="H450" s="11">
        <v>400</v>
      </c>
      <c r="I450" s="4" t="str">
        <f>_xlfn.XLOOKUP(D450,'Sales Manager'!$A$2:$A$6,'Sales Manager'!$B$2:$B$6,"")</f>
        <v>Gbenga Adesanya</v>
      </c>
      <c r="J450" s="12">
        <v>8</v>
      </c>
      <c r="K450" s="12">
        <v>9</v>
      </c>
    </row>
    <row r="451" spans="1:11" x14ac:dyDescent="0.3">
      <c r="A451" s="2">
        <v>450</v>
      </c>
      <c r="B451" s="2">
        <f t="shared" si="39"/>
        <v>107</v>
      </c>
      <c r="C451" s="1" t="str">
        <f>VLOOKUP(B451,Products!A:C,2,FALSE)</f>
        <v>Cucumber</v>
      </c>
      <c r="D451" s="1" t="str">
        <f t="shared" si="40"/>
        <v>Warri</v>
      </c>
      <c r="E451" s="3">
        <f t="shared" si="41"/>
        <v>6</v>
      </c>
      <c r="F451" s="1" t="str">
        <f t="shared" si="41"/>
        <v>Jun</v>
      </c>
      <c r="G451" s="11">
        <v>3500</v>
      </c>
      <c r="H451" s="11">
        <v>3100</v>
      </c>
      <c r="I451" s="4" t="str">
        <f>_xlfn.XLOOKUP(D451,'Sales Manager'!$A$2:$A$6,'Sales Manager'!$B$2:$B$6,"")</f>
        <v>Gbenga Adesanya</v>
      </c>
      <c r="J451" s="12">
        <v>7</v>
      </c>
      <c r="K451" s="12">
        <v>8</v>
      </c>
    </row>
    <row r="452" spans="1:11" x14ac:dyDescent="0.3">
      <c r="A452" s="2">
        <v>451</v>
      </c>
      <c r="B452" s="2">
        <f t="shared" si="39"/>
        <v>107</v>
      </c>
      <c r="C452" s="1" t="str">
        <f>VLOOKUP(B452,Products!A:C,2,FALSE)</f>
        <v>Cucumber</v>
      </c>
      <c r="D452" s="1" t="str">
        <f t="shared" si="40"/>
        <v>Warri</v>
      </c>
      <c r="E452" s="3">
        <f t="shared" si="41"/>
        <v>7</v>
      </c>
      <c r="F452" s="1" t="str">
        <f t="shared" si="41"/>
        <v>Jul</v>
      </c>
      <c r="G452" s="11">
        <v>2500</v>
      </c>
      <c r="H452" s="11">
        <v>2200</v>
      </c>
      <c r="I452" s="4" t="str">
        <f>_xlfn.XLOOKUP(D452,'Sales Manager'!$A$2:$A$6,'Sales Manager'!$B$2:$B$6,"")</f>
        <v>Gbenga Adesanya</v>
      </c>
      <c r="J452" s="12">
        <v>10</v>
      </c>
      <c r="K452" s="12">
        <v>7</v>
      </c>
    </row>
    <row r="453" spans="1:11" x14ac:dyDescent="0.3">
      <c r="A453" s="2">
        <v>452</v>
      </c>
      <c r="B453" s="2">
        <f t="shared" si="39"/>
        <v>107</v>
      </c>
      <c r="C453" s="1" t="str">
        <f>VLOOKUP(B453,Products!A:C,2,FALSE)</f>
        <v>Cucumber</v>
      </c>
      <c r="D453" s="1" t="str">
        <f t="shared" si="40"/>
        <v>Warri</v>
      </c>
      <c r="E453" s="3">
        <f t="shared" si="41"/>
        <v>8</v>
      </c>
      <c r="F453" s="1" t="str">
        <f t="shared" si="41"/>
        <v>Aug</v>
      </c>
      <c r="G453" s="11">
        <v>3333.3333333333335</v>
      </c>
      <c r="H453" s="11">
        <v>3033.3333333333335</v>
      </c>
      <c r="I453" s="4" t="str">
        <f>_xlfn.XLOOKUP(D453,'Sales Manager'!$A$2:$A$6,'Sales Manager'!$B$2:$B$6,"")</f>
        <v>Gbenga Adesanya</v>
      </c>
      <c r="J453" s="12">
        <v>8</v>
      </c>
      <c r="K453" s="12">
        <v>5</v>
      </c>
    </row>
    <row r="454" spans="1:11" x14ac:dyDescent="0.3">
      <c r="A454" s="2">
        <v>453</v>
      </c>
      <c r="B454" s="2">
        <f t="shared" si="39"/>
        <v>107</v>
      </c>
      <c r="C454" s="1" t="str">
        <f>VLOOKUP(B454,Products!A:C,2,FALSE)</f>
        <v>Cucumber</v>
      </c>
      <c r="D454" s="1" t="str">
        <f t="shared" si="40"/>
        <v>Warri</v>
      </c>
      <c r="E454" s="3">
        <f t="shared" si="41"/>
        <v>9</v>
      </c>
      <c r="F454" s="1" t="str">
        <f t="shared" si="41"/>
        <v>Sept</v>
      </c>
      <c r="G454" s="11">
        <v>333.33333333333331</v>
      </c>
      <c r="H454" s="11">
        <v>233.33333333333331</v>
      </c>
      <c r="I454" s="4" t="str">
        <f>_xlfn.XLOOKUP(D454,'Sales Manager'!$A$2:$A$6,'Sales Manager'!$B$2:$B$6,"")</f>
        <v>Gbenga Adesanya</v>
      </c>
      <c r="J454" s="12">
        <v>8</v>
      </c>
      <c r="K454" s="12">
        <v>6</v>
      </c>
    </row>
    <row r="455" spans="1:11" x14ac:dyDescent="0.3">
      <c r="A455" s="2">
        <v>454</v>
      </c>
      <c r="B455" s="2">
        <f t="shared" si="39"/>
        <v>107</v>
      </c>
      <c r="C455" s="1" t="str">
        <f>VLOOKUP(B455,Products!A:C,2,FALSE)</f>
        <v>Cucumber</v>
      </c>
      <c r="D455" s="1" t="str">
        <f t="shared" si="40"/>
        <v>Warri</v>
      </c>
      <c r="E455" s="3">
        <f t="shared" si="41"/>
        <v>10</v>
      </c>
      <c r="F455" s="1" t="str">
        <f t="shared" si="41"/>
        <v>Oct</v>
      </c>
      <c r="G455" s="11">
        <v>500</v>
      </c>
      <c r="H455" s="11">
        <v>500</v>
      </c>
      <c r="I455" s="4" t="str">
        <f>_xlfn.XLOOKUP(D455,'Sales Manager'!$A$2:$A$6,'Sales Manager'!$B$2:$B$6,"")</f>
        <v>Gbenga Adesanya</v>
      </c>
      <c r="J455" s="12">
        <v>10</v>
      </c>
      <c r="K455" s="12">
        <v>7</v>
      </c>
    </row>
    <row r="456" spans="1:11" x14ac:dyDescent="0.3">
      <c r="A456" s="2">
        <v>455</v>
      </c>
      <c r="B456" s="2">
        <f t="shared" si="39"/>
        <v>107</v>
      </c>
      <c r="C456" s="1" t="str">
        <f>VLOOKUP(B456,Products!A:C,2,FALSE)</f>
        <v>Cucumber</v>
      </c>
      <c r="D456" s="1" t="str">
        <f t="shared" si="40"/>
        <v>Warri</v>
      </c>
      <c r="E456" s="3">
        <f t="shared" si="41"/>
        <v>11</v>
      </c>
      <c r="F456" s="1" t="str">
        <f t="shared" si="41"/>
        <v>Nov</v>
      </c>
      <c r="G456" s="11">
        <v>1000</v>
      </c>
      <c r="H456" s="11">
        <v>600</v>
      </c>
      <c r="I456" s="4" t="str">
        <f>_xlfn.XLOOKUP(D456,'Sales Manager'!$A$2:$A$6,'Sales Manager'!$B$2:$B$6,"")</f>
        <v>Gbenga Adesanya</v>
      </c>
      <c r="J456" s="12">
        <v>5</v>
      </c>
      <c r="K456" s="12">
        <v>10</v>
      </c>
    </row>
    <row r="457" spans="1:11" x14ac:dyDescent="0.3">
      <c r="A457" s="2">
        <v>456</v>
      </c>
      <c r="B457" s="2">
        <f t="shared" si="39"/>
        <v>107</v>
      </c>
      <c r="C457" s="1" t="str">
        <f>VLOOKUP(B457,Products!A:C,2,FALSE)</f>
        <v>Cucumber</v>
      </c>
      <c r="D457" s="1" t="str">
        <f t="shared" si="40"/>
        <v>Warri</v>
      </c>
      <c r="E457" s="3">
        <f t="shared" si="41"/>
        <v>12</v>
      </c>
      <c r="F457" s="1" t="str">
        <f t="shared" si="41"/>
        <v>Dec</v>
      </c>
      <c r="G457" s="11">
        <v>500</v>
      </c>
      <c r="H457" s="11">
        <v>400</v>
      </c>
      <c r="I457" s="4" t="str">
        <f>_xlfn.XLOOKUP(D457,'Sales Manager'!$A$2:$A$6,'Sales Manager'!$B$2:$B$6,"")</f>
        <v>Gbenga Adesanya</v>
      </c>
      <c r="J457" s="12">
        <v>6</v>
      </c>
      <c r="K457" s="12">
        <v>9</v>
      </c>
    </row>
    <row r="458" spans="1:11" x14ac:dyDescent="0.3">
      <c r="A458" s="2">
        <v>457</v>
      </c>
      <c r="B458" s="2">
        <f t="shared" si="39"/>
        <v>107</v>
      </c>
      <c r="C458" s="1" t="str">
        <f>VLOOKUP(B458,Products!A:C,2,FALSE)</f>
        <v>Cucumber</v>
      </c>
      <c r="D458" s="1" t="str">
        <f t="shared" si="40"/>
        <v>Kaduna</v>
      </c>
      <c r="E458" s="3">
        <f t="shared" si="41"/>
        <v>1</v>
      </c>
      <c r="F458" s="1" t="str">
        <f t="shared" si="41"/>
        <v>Jan</v>
      </c>
      <c r="G458" s="11">
        <v>800</v>
      </c>
      <c r="H458" s="11">
        <v>700</v>
      </c>
      <c r="I458" s="4" t="str">
        <f>_xlfn.XLOOKUP(D458,'Sales Manager'!$A$2:$A$6,'Sales Manager'!$B$2:$B$6,"")</f>
        <v>Musa Garba</v>
      </c>
      <c r="J458" s="12">
        <v>6</v>
      </c>
      <c r="K458" s="12">
        <v>9</v>
      </c>
    </row>
    <row r="459" spans="1:11" x14ac:dyDescent="0.3">
      <c r="A459" s="2">
        <v>458</v>
      </c>
      <c r="B459" s="2">
        <f t="shared" si="39"/>
        <v>107</v>
      </c>
      <c r="C459" s="1" t="str">
        <f>VLOOKUP(B459,Products!A:C,2,FALSE)</f>
        <v>Cucumber</v>
      </c>
      <c r="D459" s="1" t="str">
        <f t="shared" si="40"/>
        <v>Kaduna</v>
      </c>
      <c r="E459" s="3">
        <f t="shared" si="41"/>
        <v>2</v>
      </c>
      <c r="F459" s="1" t="str">
        <f t="shared" si="41"/>
        <v>Feb</v>
      </c>
      <c r="G459" s="11">
        <v>1666.6666666666667</v>
      </c>
      <c r="H459" s="11">
        <v>1166.6666666666667</v>
      </c>
      <c r="I459" s="4" t="str">
        <f>_xlfn.XLOOKUP(D459,'Sales Manager'!$A$2:$A$6,'Sales Manager'!$B$2:$B$6,"")</f>
        <v>Musa Garba</v>
      </c>
      <c r="J459" s="12">
        <v>5</v>
      </c>
      <c r="K459" s="12">
        <v>9</v>
      </c>
    </row>
    <row r="460" spans="1:11" x14ac:dyDescent="0.3">
      <c r="A460" s="2">
        <v>459</v>
      </c>
      <c r="B460" s="2">
        <f t="shared" si="39"/>
        <v>107</v>
      </c>
      <c r="C460" s="1" t="str">
        <f>VLOOKUP(B460,Products!A:C,2,FALSE)</f>
        <v>Cucumber</v>
      </c>
      <c r="D460" s="1" t="str">
        <f t="shared" si="40"/>
        <v>Kaduna</v>
      </c>
      <c r="E460" s="3">
        <f t="shared" si="41"/>
        <v>3</v>
      </c>
      <c r="F460" s="1" t="str">
        <f t="shared" si="41"/>
        <v>Mar</v>
      </c>
      <c r="G460" s="11">
        <v>1333.3333333333333</v>
      </c>
      <c r="H460" s="11">
        <v>1333.3333333333333</v>
      </c>
      <c r="I460" s="4" t="str">
        <f>_xlfn.XLOOKUP(D460,'Sales Manager'!$A$2:$A$6,'Sales Manager'!$B$2:$B$6,"")</f>
        <v>Musa Garba</v>
      </c>
      <c r="J460" s="12">
        <v>5</v>
      </c>
      <c r="K460" s="12">
        <v>7</v>
      </c>
    </row>
    <row r="461" spans="1:11" x14ac:dyDescent="0.3">
      <c r="A461" s="2">
        <v>460</v>
      </c>
      <c r="B461" s="2">
        <f t="shared" si="39"/>
        <v>107</v>
      </c>
      <c r="C461" s="1" t="str">
        <f>VLOOKUP(B461,Products!A:C,2,FALSE)</f>
        <v>Cucumber</v>
      </c>
      <c r="D461" s="1" t="str">
        <f t="shared" si="40"/>
        <v>Kaduna</v>
      </c>
      <c r="E461" s="3">
        <f t="shared" si="41"/>
        <v>4</v>
      </c>
      <c r="F461" s="1" t="str">
        <f t="shared" si="41"/>
        <v>Apr</v>
      </c>
      <c r="G461" s="11">
        <v>3000</v>
      </c>
      <c r="H461" s="11">
        <v>3000</v>
      </c>
      <c r="I461" s="4" t="str">
        <f>_xlfn.XLOOKUP(D461,'Sales Manager'!$A$2:$A$6,'Sales Manager'!$B$2:$B$6,"")</f>
        <v>Musa Garba</v>
      </c>
      <c r="J461" s="12">
        <v>6</v>
      </c>
      <c r="K461" s="12">
        <v>6</v>
      </c>
    </row>
    <row r="462" spans="1:11" x14ac:dyDescent="0.3">
      <c r="A462" s="2">
        <v>461</v>
      </c>
      <c r="B462" s="2">
        <f t="shared" si="39"/>
        <v>107</v>
      </c>
      <c r="C462" s="1" t="str">
        <f>VLOOKUP(B462,Products!A:C,2,FALSE)</f>
        <v>Cucumber</v>
      </c>
      <c r="D462" s="1" t="str">
        <f t="shared" si="40"/>
        <v>Kaduna</v>
      </c>
      <c r="E462" s="3">
        <f t="shared" si="41"/>
        <v>5</v>
      </c>
      <c r="F462" s="1" t="str">
        <f t="shared" si="41"/>
        <v>May</v>
      </c>
      <c r="G462" s="11">
        <v>500</v>
      </c>
      <c r="H462" s="11">
        <v>200</v>
      </c>
      <c r="I462" s="4" t="str">
        <f>_xlfn.XLOOKUP(D462,'Sales Manager'!$A$2:$A$6,'Sales Manager'!$B$2:$B$6,"")</f>
        <v>Musa Garba</v>
      </c>
      <c r="J462" s="12">
        <v>7</v>
      </c>
      <c r="K462" s="12">
        <v>7</v>
      </c>
    </row>
    <row r="463" spans="1:11" x14ac:dyDescent="0.3">
      <c r="A463" s="2">
        <v>462</v>
      </c>
      <c r="B463" s="2">
        <f t="shared" si="39"/>
        <v>107</v>
      </c>
      <c r="C463" s="1" t="str">
        <f>VLOOKUP(B463,Products!A:C,2,FALSE)</f>
        <v>Cucumber</v>
      </c>
      <c r="D463" s="1" t="str">
        <f t="shared" si="40"/>
        <v>Kaduna</v>
      </c>
      <c r="E463" s="3">
        <f t="shared" ref="E463:F478" si="42">E451</f>
        <v>6</v>
      </c>
      <c r="F463" s="1" t="str">
        <f t="shared" si="42"/>
        <v>Jun</v>
      </c>
      <c r="G463" s="11">
        <v>2500</v>
      </c>
      <c r="H463" s="11">
        <v>2500</v>
      </c>
      <c r="I463" s="4" t="str">
        <f>_xlfn.XLOOKUP(D463,'Sales Manager'!$A$2:$A$6,'Sales Manager'!$B$2:$B$6,"")</f>
        <v>Musa Garba</v>
      </c>
      <c r="J463" s="12">
        <v>6</v>
      </c>
      <c r="K463" s="12">
        <v>10</v>
      </c>
    </row>
    <row r="464" spans="1:11" x14ac:dyDescent="0.3">
      <c r="A464" s="2">
        <v>463</v>
      </c>
      <c r="B464" s="2">
        <f t="shared" si="39"/>
        <v>107</v>
      </c>
      <c r="C464" s="1" t="str">
        <f>VLOOKUP(B464,Products!A:C,2,FALSE)</f>
        <v>Cucumber</v>
      </c>
      <c r="D464" s="1" t="str">
        <f t="shared" si="40"/>
        <v>Kaduna</v>
      </c>
      <c r="E464" s="3">
        <f t="shared" si="42"/>
        <v>7</v>
      </c>
      <c r="F464" s="1" t="str">
        <f t="shared" si="42"/>
        <v>Jul</v>
      </c>
      <c r="G464" s="11">
        <v>1400</v>
      </c>
      <c r="H464" s="11">
        <v>600</v>
      </c>
      <c r="I464" s="4" t="str">
        <f>_xlfn.XLOOKUP(D464,'Sales Manager'!$A$2:$A$6,'Sales Manager'!$B$2:$B$6,"")</f>
        <v>Musa Garba</v>
      </c>
      <c r="J464" s="12">
        <v>9</v>
      </c>
      <c r="K464" s="12">
        <v>9</v>
      </c>
    </row>
    <row r="465" spans="1:11" x14ac:dyDescent="0.3">
      <c r="A465" s="2">
        <v>464</v>
      </c>
      <c r="B465" s="2">
        <f t="shared" si="39"/>
        <v>107</v>
      </c>
      <c r="C465" s="1" t="str">
        <f>VLOOKUP(B465,Products!A:C,2,FALSE)</f>
        <v>Cucumber</v>
      </c>
      <c r="D465" s="1" t="str">
        <f t="shared" si="40"/>
        <v>Kaduna</v>
      </c>
      <c r="E465" s="3">
        <f t="shared" si="42"/>
        <v>8</v>
      </c>
      <c r="F465" s="1" t="str">
        <f t="shared" si="42"/>
        <v>Aug</v>
      </c>
      <c r="G465" s="11">
        <v>1000</v>
      </c>
      <c r="H465" s="11">
        <v>900</v>
      </c>
      <c r="I465" s="4" t="str">
        <f>_xlfn.XLOOKUP(D465,'Sales Manager'!$A$2:$A$6,'Sales Manager'!$B$2:$B$6,"")</f>
        <v>Musa Garba</v>
      </c>
      <c r="J465" s="12">
        <v>8</v>
      </c>
      <c r="K465" s="12">
        <v>5</v>
      </c>
    </row>
    <row r="466" spans="1:11" x14ac:dyDescent="0.3">
      <c r="A466" s="2">
        <v>465</v>
      </c>
      <c r="B466" s="2">
        <f t="shared" si="39"/>
        <v>107</v>
      </c>
      <c r="C466" s="1" t="str">
        <f>VLOOKUP(B466,Products!A:C,2,FALSE)</f>
        <v>Cucumber</v>
      </c>
      <c r="D466" s="1" t="str">
        <f t="shared" si="40"/>
        <v>Kaduna</v>
      </c>
      <c r="E466" s="3">
        <f t="shared" si="42"/>
        <v>9</v>
      </c>
      <c r="F466" s="1" t="str">
        <f t="shared" si="42"/>
        <v>Sept</v>
      </c>
      <c r="G466" s="11">
        <v>1666.6666666666667</v>
      </c>
      <c r="H466" s="11">
        <v>1066.6666666666667</v>
      </c>
      <c r="I466" s="4" t="str">
        <f>_xlfn.XLOOKUP(D466,'Sales Manager'!$A$2:$A$6,'Sales Manager'!$B$2:$B$6,"")</f>
        <v>Musa Garba</v>
      </c>
      <c r="J466" s="12">
        <v>7</v>
      </c>
      <c r="K466" s="12">
        <v>8</v>
      </c>
    </row>
    <row r="467" spans="1:11" x14ac:dyDescent="0.3">
      <c r="A467" s="2">
        <v>466</v>
      </c>
      <c r="B467" s="2">
        <f t="shared" si="39"/>
        <v>107</v>
      </c>
      <c r="C467" s="1" t="str">
        <f>VLOOKUP(B467,Products!A:C,2,FALSE)</f>
        <v>Cucumber</v>
      </c>
      <c r="D467" s="1" t="str">
        <f t="shared" si="40"/>
        <v>Kaduna</v>
      </c>
      <c r="E467" s="3">
        <f t="shared" si="42"/>
        <v>10</v>
      </c>
      <c r="F467" s="1" t="str">
        <f t="shared" si="42"/>
        <v>Oct</v>
      </c>
      <c r="G467" s="11">
        <v>1000</v>
      </c>
      <c r="H467" s="11">
        <v>600</v>
      </c>
      <c r="I467" s="4" t="str">
        <f>_xlfn.XLOOKUP(D467,'Sales Manager'!$A$2:$A$6,'Sales Manager'!$B$2:$B$6,"")</f>
        <v>Musa Garba</v>
      </c>
      <c r="J467" s="12">
        <v>8</v>
      </c>
      <c r="K467" s="12">
        <v>7</v>
      </c>
    </row>
    <row r="468" spans="1:11" x14ac:dyDescent="0.3">
      <c r="A468" s="2">
        <v>467</v>
      </c>
      <c r="B468" s="2">
        <f t="shared" si="39"/>
        <v>107</v>
      </c>
      <c r="C468" s="1" t="str">
        <f>VLOOKUP(B468,Products!A:C,2,FALSE)</f>
        <v>Cucumber</v>
      </c>
      <c r="D468" s="1" t="str">
        <f t="shared" si="40"/>
        <v>Kaduna</v>
      </c>
      <c r="E468" s="3">
        <f t="shared" si="42"/>
        <v>11</v>
      </c>
      <c r="F468" s="1" t="str">
        <f t="shared" si="42"/>
        <v>Nov</v>
      </c>
      <c r="G468" s="11">
        <v>1750</v>
      </c>
      <c r="H468" s="11">
        <v>1050</v>
      </c>
      <c r="I468" s="4" t="str">
        <f>_xlfn.XLOOKUP(D468,'Sales Manager'!$A$2:$A$6,'Sales Manager'!$B$2:$B$6,"")</f>
        <v>Musa Garba</v>
      </c>
      <c r="J468" s="12">
        <v>5</v>
      </c>
      <c r="K468" s="12">
        <v>8</v>
      </c>
    </row>
    <row r="469" spans="1:11" x14ac:dyDescent="0.3">
      <c r="A469" s="2">
        <v>468</v>
      </c>
      <c r="B469" s="2">
        <f t="shared" si="39"/>
        <v>107</v>
      </c>
      <c r="C469" s="1" t="str">
        <f>VLOOKUP(B469,Products!A:C,2,FALSE)</f>
        <v>Cucumber</v>
      </c>
      <c r="D469" s="1" t="str">
        <f t="shared" si="40"/>
        <v>Kaduna</v>
      </c>
      <c r="E469" s="3">
        <f t="shared" si="42"/>
        <v>12</v>
      </c>
      <c r="F469" s="1" t="str">
        <f t="shared" si="42"/>
        <v>Dec</v>
      </c>
      <c r="G469" s="11">
        <v>600</v>
      </c>
      <c r="H469" s="11">
        <v>600</v>
      </c>
      <c r="I469" s="4" t="str">
        <f>_xlfn.XLOOKUP(D469,'Sales Manager'!$A$2:$A$6,'Sales Manager'!$B$2:$B$6,"")</f>
        <v>Musa Garba</v>
      </c>
      <c r="J469" s="12">
        <v>6</v>
      </c>
      <c r="K469" s="12">
        <v>8</v>
      </c>
    </row>
    <row r="470" spans="1:11" x14ac:dyDescent="0.3">
      <c r="A470" s="2">
        <v>469</v>
      </c>
      <c r="B470" s="2">
        <f t="shared" si="39"/>
        <v>107</v>
      </c>
      <c r="C470" s="1" t="str">
        <f>VLOOKUP(B470,Products!A:C,2,FALSE)</f>
        <v>Cucumber</v>
      </c>
      <c r="D470" s="1" t="str">
        <f t="shared" si="40"/>
        <v>Ibadan</v>
      </c>
      <c r="E470" s="3">
        <f t="shared" si="42"/>
        <v>1</v>
      </c>
      <c r="F470" s="1" t="str">
        <f t="shared" si="42"/>
        <v>Jan</v>
      </c>
      <c r="G470" s="11">
        <v>4000</v>
      </c>
      <c r="H470" s="11">
        <v>3200</v>
      </c>
      <c r="I470" s="4" t="str">
        <f>_xlfn.XLOOKUP(D470,'Sales Manager'!$A$2:$A$6,'Sales Manager'!$B$2:$B$6,"")</f>
        <v>Funmi Adeyemi</v>
      </c>
      <c r="J470" s="12">
        <v>6</v>
      </c>
      <c r="K470" s="12">
        <v>10</v>
      </c>
    </row>
    <row r="471" spans="1:11" x14ac:dyDescent="0.3">
      <c r="A471" s="2">
        <v>470</v>
      </c>
      <c r="B471" s="2">
        <f t="shared" si="39"/>
        <v>107</v>
      </c>
      <c r="C471" s="1" t="str">
        <f>VLOOKUP(B471,Products!A:C,2,FALSE)</f>
        <v>Cucumber</v>
      </c>
      <c r="D471" s="1" t="str">
        <f t="shared" si="40"/>
        <v>Ibadan</v>
      </c>
      <c r="E471" s="3">
        <f t="shared" si="42"/>
        <v>2</v>
      </c>
      <c r="F471" s="1" t="str">
        <f t="shared" si="42"/>
        <v>Feb</v>
      </c>
      <c r="G471" s="11">
        <v>1333.3333333333333</v>
      </c>
      <c r="H471" s="11">
        <v>833.33333333333326</v>
      </c>
      <c r="I471" s="4" t="str">
        <f>_xlfn.XLOOKUP(D471,'Sales Manager'!$A$2:$A$6,'Sales Manager'!$B$2:$B$6,"")</f>
        <v>Funmi Adeyemi</v>
      </c>
      <c r="J471" s="12">
        <v>7</v>
      </c>
      <c r="K471" s="12">
        <v>6</v>
      </c>
    </row>
    <row r="472" spans="1:11" x14ac:dyDescent="0.3">
      <c r="A472" s="2">
        <v>471</v>
      </c>
      <c r="B472" s="2">
        <f t="shared" si="39"/>
        <v>107</v>
      </c>
      <c r="C472" s="1" t="str">
        <f>VLOOKUP(B472,Products!A:C,2,FALSE)</f>
        <v>Cucumber</v>
      </c>
      <c r="D472" s="1" t="str">
        <f t="shared" si="40"/>
        <v>Ibadan</v>
      </c>
      <c r="E472" s="3">
        <f t="shared" si="42"/>
        <v>3</v>
      </c>
      <c r="F472" s="1" t="str">
        <f t="shared" si="42"/>
        <v>Mar</v>
      </c>
      <c r="G472" s="11">
        <v>4000</v>
      </c>
      <c r="H472" s="11">
        <v>3800</v>
      </c>
      <c r="I472" s="4" t="str">
        <f>_xlfn.XLOOKUP(D472,'Sales Manager'!$A$2:$A$6,'Sales Manager'!$B$2:$B$6,"")</f>
        <v>Funmi Adeyemi</v>
      </c>
      <c r="J472" s="12">
        <v>9</v>
      </c>
      <c r="K472" s="12">
        <v>5</v>
      </c>
    </row>
    <row r="473" spans="1:11" x14ac:dyDescent="0.3">
      <c r="A473" s="2">
        <v>472</v>
      </c>
      <c r="B473" s="2">
        <f t="shared" si="39"/>
        <v>107</v>
      </c>
      <c r="C473" s="1" t="str">
        <f>VLOOKUP(B473,Products!A:C,2,FALSE)</f>
        <v>Cucumber</v>
      </c>
      <c r="D473" s="1" t="str">
        <f t="shared" si="40"/>
        <v>Ibadan</v>
      </c>
      <c r="E473" s="3">
        <f t="shared" si="42"/>
        <v>4</v>
      </c>
      <c r="F473" s="1" t="str">
        <f t="shared" si="42"/>
        <v>Apr</v>
      </c>
      <c r="G473" s="11">
        <v>4000</v>
      </c>
      <c r="H473" s="11">
        <v>3500</v>
      </c>
      <c r="I473" s="4" t="str">
        <f>_xlfn.XLOOKUP(D473,'Sales Manager'!$A$2:$A$6,'Sales Manager'!$B$2:$B$6,"")</f>
        <v>Funmi Adeyemi</v>
      </c>
      <c r="J473" s="12">
        <v>10</v>
      </c>
      <c r="K473" s="12">
        <v>8</v>
      </c>
    </row>
    <row r="474" spans="1:11" x14ac:dyDescent="0.3">
      <c r="A474" s="2">
        <v>473</v>
      </c>
      <c r="B474" s="2">
        <f t="shared" si="39"/>
        <v>107</v>
      </c>
      <c r="C474" s="1" t="str">
        <f>VLOOKUP(B474,Products!A:C,2,FALSE)</f>
        <v>Cucumber</v>
      </c>
      <c r="D474" s="1" t="str">
        <f t="shared" si="40"/>
        <v>Ibadan</v>
      </c>
      <c r="E474" s="3">
        <f t="shared" si="42"/>
        <v>5</v>
      </c>
      <c r="F474" s="1" t="str">
        <f t="shared" si="42"/>
        <v>May</v>
      </c>
      <c r="G474" s="11">
        <v>500</v>
      </c>
      <c r="H474" s="11">
        <v>200</v>
      </c>
      <c r="I474" s="4" t="str">
        <f>_xlfn.XLOOKUP(D474,'Sales Manager'!$A$2:$A$6,'Sales Manager'!$B$2:$B$6,"")</f>
        <v>Funmi Adeyemi</v>
      </c>
      <c r="J474" s="12">
        <v>5</v>
      </c>
      <c r="K474" s="12">
        <v>8</v>
      </c>
    </row>
    <row r="475" spans="1:11" x14ac:dyDescent="0.3">
      <c r="A475" s="2">
        <v>474</v>
      </c>
      <c r="B475" s="2">
        <f t="shared" si="39"/>
        <v>107</v>
      </c>
      <c r="C475" s="1" t="str">
        <f>VLOOKUP(B475,Products!A:C,2,FALSE)</f>
        <v>Cucumber</v>
      </c>
      <c r="D475" s="1" t="str">
        <f t="shared" si="40"/>
        <v>Ibadan</v>
      </c>
      <c r="E475" s="3">
        <f t="shared" si="42"/>
        <v>6</v>
      </c>
      <c r="F475" s="1" t="str">
        <f t="shared" si="42"/>
        <v>Jun</v>
      </c>
      <c r="G475" s="11">
        <v>1000</v>
      </c>
      <c r="H475" s="11">
        <v>800</v>
      </c>
      <c r="I475" s="4" t="str">
        <f>_xlfn.XLOOKUP(D475,'Sales Manager'!$A$2:$A$6,'Sales Manager'!$B$2:$B$6,"")</f>
        <v>Funmi Adeyemi</v>
      </c>
      <c r="J475" s="12">
        <v>6</v>
      </c>
      <c r="K475" s="12">
        <v>5</v>
      </c>
    </row>
    <row r="476" spans="1:11" x14ac:dyDescent="0.3">
      <c r="A476" s="2">
        <v>475</v>
      </c>
      <c r="B476" s="2">
        <f t="shared" si="39"/>
        <v>107</v>
      </c>
      <c r="C476" s="1" t="str">
        <f>VLOOKUP(B476,Products!A:C,2,FALSE)</f>
        <v>Cucumber</v>
      </c>
      <c r="D476" s="1" t="str">
        <f t="shared" si="40"/>
        <v>Ibadan</v>
      </c>
      <c r="E476" s="3">
        <f t="shared" si="42"/>
        <v>7</v>
      </c>
      <c r="F476" s="1" t="str">
        <f t="shared" si="42"/>
        <v>Jul</v>
      </c>
      <c r="G476" s="11">
        <v>200</v>
      </c>
      <c r="H476" s="11">
        <v>200</v>
      </c>
      <c r="I476" s="4" t="str">
        <f>_xlfn.XLOOKUP(D476,'Sales Manager'!$A$2:$A$6,'Sales Manager'!$B$2:$B$6,"")</f>
        <v>Funmi Adeyemi</v>
      </c>
      <c r="J476" s="12">
        <v>6</v>
      </c>
      <c r="K476" s="12">
        <v>5</v>
      </c>
    </row>
    <row r="477" spans="1:11" x14ac:dyDescent="0.3">
      <c r="A477" s="2">
        <v>476</v>
      </c>
      <c r="B477" s="2">
        <f t="shared" si="39"/>
        <v>107</v>
      </c>
      <c r="C477" s="1" t="str">
        <f>VLOOKUP(B477,Products!A:C,2,FALSE)</f>
        <v>Cucumber</v>
      </c>
      <c r="D477" s="1" t="str">
        <f t="shared" si="40"/>
        <v>Ibadan</v>
      </c>
      <c r="E477" s="3">
        <f t="shared" si="42"/>
        <v>8</v>
      </c>
      <c r="F477" s="1" t="str">
        <f t="shared" si="42"/>
        <v>Aug</v>
      </c>
      <c r="G477" s="11">
        <v>2000</v>
      </c>
      <c r="H477" s="11">
        <v>2000</v>
      </c>
      <c r="I477" s="4" t="str">
        <f>_xlfn.XLOOKUP(D477,'Sales Manager'!$A$2:$A$6,'Sales Manager'!$B$2:$B$6,"")</f>
        <v>Funmi Adeyemi</v>
      </c>
      <c r="J477" s="12">
        <v>8</v>
      </c>
      <c r="K477" s="12">
        <v>5</v>
      </c>
    </row>
    <row r="478" spans="1:11" x14ac:dyDescent="0.3">
      <c r="A478" s="2">
        <v>477</v>
      </c>
      <c r="B478" s="2">
        <f t="shared" si="39"/>
        <v>107</v>
      </c>
      <c r="C478" s="1" t="str">
        <f>VLOOKUP(B478,Products!A:C,2,FALSE)</f>
        <v>Cucumber</v>
      </c>
      <c r="D478" s="1" t="str">
        <f t="shared" si="40"/>
        <v>Ibadan</v>
      </c>
      <c r="E478" s="3">
        <f t="shared" si="42"/>
        <v>9</v>
      </c>
      <c r="F478" s="1" t="str">
        <f t="shared" si="42"/>
        <v>Sept</v>
      </c>
      <c r="G478" s="11">
        <v>1000</v>
      </c>
      <c r="H478" s="11">
        <v>800</v>
      </c>
      <c r="I478" s="4" t="str">
        <f>_xlfn.XLOOKUP(D478,'Sales Manager'!$A$2:$A$6,'Sales Manager'!$B$2:$B$6,"")</f>
        <v>Funmi Adeyemi</v>
      </c>
      <c r="J478" s="12">
        <v>6</v>
      </c>
      <c r="K478" s="12">
        <v>5</v>
      </c>
    </row>
    <row r="479" spans="1:11" x14ac:dyDescent="0.3">
      <c r="A479" s="2">
        <v>478</v>
      </c>
      <c r="B479" s="2">
        <f t="shared" si="39"/>
        <v>107</v>
      </c>
      <c r="C479" s="1" t="str">
        <f>VLOOKUP(B479,Products!A:C,2,FALSE)</f>
        <v>Cucumber</v>
      </c>
      <c r="D479" s="1" t="str">
        <f t="shared" si="40"/>
        <v>Ibadan</v>
      </c>
      <c r="E479" s="3">
        <f t="shared" ref="E479:F494" si="43">E467</f>
        <v>10</v>
      </c>
      <c r="F479" s="1" t="str">
        <f t="shared" si="43"/>
        <v>Oct</v>
      </c>
      <c r="G479" s="11">
        <v>4000</v>
      </c>
      <c r="H479" s="11">
        <v>3400</v>
      </c>
      <c r="I479" s="4" t="str">
        <f>_xlfn.XLOOKUP(D479,'Sales Manager'!$A$2:$A$6,'Sales Manager'!$B$2:$B$6,"")</f>
        <v>Funmi Adeyemi</v>
      </c>
      <c r="J479" s="12">
        <v>6</v>
      </c>
      <c r="K479" s="12">
        <v>7</v>
      </c>
    </row>
    <row r="480" spans="1:11" x14ac:dyDescent="0.3">
      <c r="A480" s="2">
        <v>479</v>
      </c>
      <c r="B480" s="2">
        <f t="shared" si="39"/>
        <v>107</v>
      </c>
      <c r="C480" s="1" t="str">
        <f>VLOOKUP(B480,Products!A:C,2,FALSE)</f>
        <v>Cucumber</v>
      </c>
      <c r="D480" s="1" t="str">
        <f t="shared" si="40"/>
        <v>Ibadan</v>
      </c>
      <c r="E480" s="3">
        <f t="shared" si="43"/>
        <v>11</v>
      </c>
      <c r="F480" s="1" t="str">
        <f t="shared" si="43"/>
        <v>Nov</v>
      </c>
      <c r="G480" s="11">
        <v>800</v>
      </c>
      <c r="H480" s="11">
        <v>400</v>
      </c>
      <c r="I480" s="4" t="str">
        <f>_xlfn.XLOOKUP(D480,'Sales Manager'!$A$2:$A$6,'Sales Manager'!$B$2:$B$6,"")</f>
        <v>Funmi Adeyemi</v>
      </c>
      <c r="J480" s="12">
        <v>10</v>
      </c>
      <c r="K480" s="12">
        <v>8</v>
      </c>
    </row>
    <row r="481" spans="1:11" x14ac:dyDescent="0.3">
      <c r="A481" s="2">
        <v>480</v>
      </c>
      <c r="B481" s="2">
        <f t="shared" si="39"/>
        <v>107</v>
      </c>
      <c r="C481" s="1" t="str">
        <f>VLOOKUP(B481,Products!A:C,2,FALSE)</f>
        <v>Cucumber</v>
      </c>
      <c r="D481" s="1" t="str">
        <f t="shared" si="40"/>
        <v>Ibadan</v>
      </c>
      <c r="E481" s="3">
        <f t="shared" si="43"/>
        <v>12</v>
      </c>
      <c r="F481" s="1" t="str">
        <f t="shared" si="43"/>
        <v>Dec</v>
      </c>
      <c r="G481" s="11">
        <v>1500</v>
      </c>
      <c r="H481" s="11">
        <v>1500</v>
      </c>
      <c r="I481" s="4" t="str">
        <f>_xlfn.XLOOKUP(D481,'Sales Manager'!$A$2:$A$6,'Sales Manager'!$B$2:$B$6,"")</f>
        <v>Funmi Adeyemi</v>
      </c>
      <c r="J481" s="12">
        <v>7</v>
      </c>
      <c r="K481" s="12">
        <v>5</v>
      </c>
    </row>
    <row r="482" spans="1:11" x14ac:dyDescent="0.3">
      <c r="A482" s="2">
        <v>481</v>
      </c>
      <c r="B482" s="2">
        <f t="shared" si="39"/>
        <v>108</v>
      </c>
      <c r="C482" s="1" t="str">
        <f>VLOOKUP(B482,Products!A:C,2,FALSE)</f>
        <v>Kiwi</v>
      </c>
      <c r="D482" s="1" t="str">
        <f t="shared" si="40"/>
        <v>Lagos</v>
      </c>
      <c r="E482" s="3">
        <f t="shared" si="43"/>
        <v>1</v>
      </c>
      <c r="F482" s="1" t="str">
        <f t="shared" si="43"/>
        <v>Jan</v>
      </c>
      <c r="G482" s="11">
        <v>750</v>
      </c>
      <c r="H482" s="11">
        <v>650</v>
      </c>
      <c r="I482" s="4" t="str">
        <f>_xlfn.XLOOKUP(D482,'Sales Manager'!$A$2:$A$6,'Sales Manager'!$B$2:$B$6,"")</f>
        <v>Adaora Okafor</v>
      </c>
      <c r="J482" s="12">
        <v>6</v>
      </c>
      <c r="K482" s="12">
        <v>8</v>
      </c>
    </row>
    <row r="483" spans="1:11" x14ac:dyDescent="0.3">
      <c r="A483" s="2">
        <v>482</v>
      </c>
      <c r="B483" s="2">
        <f t="shared" si="39"/>
        <v>108</v>
      </c>
      <c r="C483" s="1" t="str">
        <f>VLOOKUP(B483,Products!A:C,2,FALSE)</f>
        <v>Kiwi</v>
      </c>
      <c r="D483" s="1" t="str">
        <f t="shared" si="40"/>
        <v>Lagos</v>
      </c>
      <c r="E483" s="3">
        <f t="shared" si="43"/>
        <v>2</v>
      </c>
      <c r="F483" s="1" t="str">
        <f t="shared" si="43"/>
        <v>Feb</v>
      </c>
      <c r="G483" s="11">
        <v>666.66666666666663</v>
      </c>
      <c r="H483" s="11">
        <v>466.66666666666663</v>
      </c>
      <c r="I483" s="4" t="str">
        <f>_xlfn.XLOOKUP(D483,'Sales Manager'!$A$2:$A$6,'Sales Manager'!$B$2:$B$6,"")</f>
        <v>Adaora Okafor</v>
      </c>
      <c r="J483" s="12">
        <v>9</v>
      </c>
      <c r="K483" s="12">
        <v>8</v>
      </c>
    </row>
    <row r="484" spans="1:11" x14ac:dyDescent="0.3">
      <c r="A484" s="2">
        <v>483</v>
      </c>
      <c r="B484" s="2">
        <f t="shared" si="39"/>
        <v>108</v>
      </c>
      <c r="C484" s="1" t="str">
        <f>VLOOKUP(B484,Products!A:C,2,FALSE)</f>
        <v>Kiwi</v>
      </c>
      <c r="D484" s="1" t="str">
        <f t="shared" si="40"/>
        <v>Lagos</v>
      </c>
      <c r="E484" s="3">
        <f t="shared" si="43"/>
        <v>3</v>
      </c>
      <c r="F484" s="1" t="str">
        <f t="shared" si="43"/>
        <v>Mar</v>
      </c>
      <c r="G484" s="11">
        <v>4000</v>
      </c>
      <c r="H484" s="11">
        <v>3600</v>
      </c>
      <c r="I484" s="4" t="str">
        <f>_xlfn.XLOOKUP(D484,'Sales Manager'!$A$2:$A$6,'Sales Manager'!$B$2:$B$6,"")</f>
        <v>Adaora Okafor</v>
      </c>
      <c r="J484" s="12">
        <v>5</v>
      </c>
      <c r="K484" s="12">
        <v>6</v>
      </c>
    </row>
    <row r="485" spans="1:11" x14ac:dyDescent="0.3">
      <c r="A485" s="2">
        <v>484</v>
      </c>
      <c r="B485" s="2">
        <f t="shared" si="39"/>
        <v>108</v>
      </c>
      <c r="C485" s="1" t="str">
        <f>VLOOKUP(B485,Products!A:C,2,FALSE)</f>
        <v>Kiwi</v>
      </c>
      <c r="D485" s="1" t="str">
        <f t="shared" si="40"/>
        <v>Lagos</v>
      </c>
      <c r="E485" s="3">
        <f t="shared" si="43"/>
        <v>4</v>
      </c>
      <c r="F485" s="1" t="str">
        <f t="shared" si="43"/>
        <v>Apr</v>
      </c>
      <c r="G485" s="11">
        <v>1400</v>
      </c>
      <c r="H485" s="11">
        <v>1400</v>
      </c>
      <c r="I485" s="4" t="str">
        <f>_xlfn.XLOOKUP(D485,'Sales Manager'!$A$2:$A$6,'Sales Manager'!$B$2:$B$6,"")</f>
        <v>Adaora Okafor</v>
      </c>
      <c r="J485" s="12">
        <v>7</v>
      </c>
      <c r="K485" s="12">
        <v>7</v>
      </c>
    </row>
    <row r="486" spans="1:11" x14ac:dyDescent="0.3">
      <c r="A486" s="2">
        <v>485</v>
      </c>
      <c r="B486" s="2">
        <f t="shared" si="39"/>
        <v>108</v>
      </c>
      <c r="C486" s="1" t="str">
        <f>VLOOKUP(B486,Products!A:C,2,FALSE)</f>
        <v>Kiwi</v>
      </c>
      <c r="D486" s="1" t="str">
        <f t="shared" si="40"/>
        <v>Lagos</v>
      </c>
      <c r="E486" s="3">
        <f t="shared" si="43"/>
        <v>5</v>
      </c>
      <c r="F486" s="1" t="str">
        <f t="shared" si="43"/>
        <v>May</v>
      </c>
      <c r="G486" s="11">
        <v>1000</v>
      </c>
      <c r="H486" s="11">
        <v>800</v>
      </c>
      <c r="I486" s="4" t="str">
        <f>_xlfn.XLOOKUP(D486,'Sales Manager'!$A$2:$A$6,'Sales Manager'!$B$2:$B$6,"")</f>
        <v>Adaora Okafor</v>
      </c>
      <c r="J486" s="12">
        <v>7</v>
      </c>
      <c r="K486" s="12">
        <v>5</v>
      </c>
    </row>
    <row r="487" spans="1:11" x14ac:dyDescent="0.3">
      <c r="A487" s="2">
        <v>486</v>
      </c>
      <c r="B487" s="2">
        <f t="shared" si="39"/>
        <v>108</v>
      </c>
      <c r="C487" s="1" t="str">
        <f>VLOOKUP(B487,Products!A:C,2,FALSE)</f>
        <v>Kiwi</v>
      </c>
      <c r="D487" s="1" t="str">
        <f t="shared" si="40"/>
        <v>Lagos</v>
      </c>
      <c r="E487" s="3">
        <f t="shared" si="43"/>
        <v>6</v>
      </c>
      <c r="F487" s="1" t="str">
        <f t="shared" si="43"/>
        <v>Jun</v>
      </c>
      <c r="G487" s="11">
        <v>500</v>
      </c>
      <c r="H487" s="11">
        <v>200</v>
      </c>
      <c r="I487" s="4" t="str">
        <f>_xlfn.XLOOKUP(D487,'Sales Manager'!$A$2:$A$6,'Sales Manager'!$B$2:$B$6,"")</f>
        <v>Adaora Okafor</v>
      </c>
      <c r="J487" s="12">
        <v>5</v>
      </c>
      <c r="K487" s="12">
        <v>7</v>
      </c>
    </row>
    <row r="488" spans="1:11" x14ac:dyDescent="0.3">
      <c r="A488" s="2">
        <v>487</v>
      </c>
      <c r="B488" s="2">
        <f t="shared" si="39"/>
        <v>108</v>
      </c>
      <c r="C488" s="1" t="str">
        <f>VLOOKUP(B488,Products!A:C,2,FALSE)</f>
        <v>Kiwi</v>
      </c>
      <c r="D488" s="1" t="str">
        <f t="shared" si="40"/>
        <v>Lagos</v>
      </c>
      <c r="E488" s="3">
        <f t="shared" si="43"/>
        <v>7</v>
      </c>
      <c r="F488" s="1" t="str">
        <f t="shared" si="43"/>
        <v>Jul</v>
      </c>
      <c r="G488" s="11">
        <v>2000</v>
      </c>
      <c r="H488" s="11">
        <v>1600</v>
      </c>
      <c r="I488" s="4" t="str">
        <f>_xlfn.XLOOKUP(D488,'Sales Manager'!$A$2:$A$6,'Sales Manager'!$B$2:$B$6,"")</f>
        <v>Adaora Okafor</v>
      </c>
      <c r="J488" s="12">
        <v>9</v>
      </c>
      <c r="K488" s="12">
        <v>8</v>
      </c>
    </row>
    <row r="489" spans="1:11" x14ac:dyDescent="0.3">
      <c r="A489" s="2">
        <v>488</v>
      </c>
      <c r="B489" s="2">
        <f t="shared" si="39"/>
        <v>108</v>
      </c>
      <c r="C489" s="1" t="str">
        <f>VLOOKUP(B489,Products!A:C,2,FALSE)</f>
        <v>Kiwi</v>
      </c>
      <c r="D489" s="1" t="str">
        <f t="shared" si="40"/>
        <v>Lagos</v>
      </c>
      <c r="E489" s="3">
        <f t="shared" si="43"/>
        <v>8</v>
      </c>
      <c r="F489" s="1" t="str">
        <f t="shared" si="43"/>
        <v>Aug</v>
      </c>
      <c r="G489" s="11">
        <v>800</v>
      </c>
      <c r="H489" s="11">
        <v>800</v>
      </c>
      <c r="I489" s="4" t="str">
        <f>_xlfn.XLOOKUP(D489,'Sales Manager'!$A$2:$A$6,'Sales Manager'!$B$2:$B$6,"")</f>
        <v>Adaora Okafor</v>
      </c>
      <c r="J489" s="12">
        <v>6</v>
      </c>
      <c r="K489" s="12">
        <v>10</v>
      </c>
    </row>
    <row r="490" spans="1:11" x14ac:dyDescent="0.3">
      <c r="A490" s="2">
        <v>489</v>
      </c>
      <c r="B490" s="2">
        <f t="shared" si="39"/>
        <v>108</v>
      </c>
      <c r="C490" s="1" t="str">
        <f>VLOOKUP(B490,Products!A:C,2,FALSE)</f>
        <v>Kiwi</v>
      </c>
      <c r="D490" s="1" t="str">
        <f t="shared" si="40"/>
        <v>Lagos</v>
      </c>
      <c r="E490" s="3">
        <f t="shared" si="43"/>
        <v>9</v>
      </c>
      <c r="F490" s="1" t="str">
        <f t="shared" si="43"/>
        <v>Sept</v>
      </c>
      <c r="G490" s="11">
        <v>200</v>
      </c>
      <c r="H490" s="11">
        <v>300</v>
      </c>
      <c r="I490" s="4" t="str">
        <f>_xlfn.XLOOKUP(D490,'Sales Manager'!$A$2:$A$6,'Sales Manager'!$B$2:$B$6,"")</f>
        <v>Adaora Okafor</v>
      </c>
      <c r="J490" s="12">
        <v>8</v>
      </c>
      <c r="K490" s="12">
        <v>8</v>
      </c>
    </row>
    <row r="491" spans="1:11" x14ac:dyDescent="0.3">
      <c r="A491" s="2">
        <v>490</v>
      </c>
      <c r="B491" s="2">
        <f t="shared" si="39"/>
        <v>108</v>
      </c>
      <c r="C491" s="1" t="str">
        <f>VLOOKUP(B491,Products!A:C,2,FALSE)</f>
        <v>Kiwi</v>
      </c>
      <c r="D491" s="1" t="str">
        <f t="shared" si="40"/>
        <v>Lagos</v>
      </c>
      <c r="E491" s="3">
        <f t="shared" si="43"/>
        <v>10</v>
      </c>
      <c r="F491" s="1" t="str">
        <f t="shared" si="43"/>
        <v>Oct</v>
      </c>
      <c r="G491" s="11">
        <v>800</v>
      </c>
      <c r="H491" s="11">
        <v>400</v>
      </c>
      <c r="I491" s="4" t="str">
        <f>_xlfn.XLOOKUP(D491,'Sales Manager'!$A$2:$A$6,'Sales Manager'!$B$2:$B$6,"")</f>
        <v>Adaora Okafor</v>
      </c>
      <c r="J491" s="12">
        <v>7</v>
      </c>
      <c r="K491" s="12">
        <v>10</v>
      </c>
    </row>
    <row r="492" spans="1:11" x14ac:dyDescent="0.3">
      <c r="A492" s="2">
        <v>491</v>
      </c>
      <c r="B492" s="2">
        <f t="shared" si="39"/>
        <v>108</v>
      </c>
      <c r="C492" s="1" t="str">
        <f>VLOOKUP(B492,Products!A:C,2,FALSE)</f>
        <v>Kiwi</v>
      </c>
      <c r="D492" s="1" t="str">
        <f t="shared" si="40"/>
        <v>Lagos</v>
      </c>
      <c r="E492" s="3">
        <f t="shared" si="43"/>
        <v>11</v>
      </c>
      <c r="F492" s="1" t="str">
        <f t="shared" si="43"/>
        <v>Nov</v>
      </c>
      <c r="G492" s="11">
        <v>200</v>
      </c>
      <c r="H492" s="11">
        <v>400</v>
      </c>
      <c r="I492" s="4" t="str">
        <f>_xlfn.XLOOKUP(D492,'Sales Manager'!$A$2:$A$6,'Sales Manager'!$B$2:$B$6,"")</f>
        <v>Adaora Okafor</v>
      </c>
      <c r="J492" s="12">
        <v>10</v>
      </c>
      <c r="K492" s="12">
        <v>5</v>
      </c>
    </row>
    <row r="493" spans="1:11" x14ac:dyDescent="0.3">
      <c r="A493" s="2">
        <v>492</v>
      </c>
      <c r="B493" s="2">
        <f t="shared" si="39"/>
        <v>108</v>
      </c>
      <c r="C493" s="1" t="str">
        <f>VLOOKUP(B493,Products!A:C,2,FALSE)</f>
        <v>Kiwi</v>
      </c>
      <c r="D493" s="1" t="str">
        <f t="shared" si="40"/>
        <v>Lagos</v>
      </c>
      <c r="E493" s="3">
        <f t="shared" si="43"/>
        <v>12</v>
      </c>
      <c r="F493" s="1" t="str">
        <f t="shared" si="43"/>
        <v>Dec</v>
      </c>
      <c r="G493" s="11">
        <v>4000</v>
      </c>
      <c r="H493" s="11">
        <v>3700</v>
      </c>
      <c r="I493" s="4" t="str">
        <f>_xlfn.XLOOKUP(D493,'Sales Manager'!$A$2:$A$6,'Sales Manager'!$B$2:$B$6,"")</f>
        <v>Adaora Okafor</v>
      </c>
      <c r="J493" s="12">
        <v>7</v>
      </c>
      <c r="K493" s="12">
        <v>8</v>
      </c>
    </row>
    <row r="494" spans="1:11" x14ac:dyDescent="0.3">
      <c r="A494" s="2">
        <v>493</v>
      </c>
      <c r="B494" s="2">
        <f t="shared" si="39"/>
        <v>108</v>
      </c>
      <c r="C494" s="1" t="str">
        <f>VLOOKUP(B494,Products!A:C,2,FALSE)</f>
        <v>Kiwi</v>
      </c>
      <c r="D494" s="1" t="str">
        <f t="shared" si="40"/>
        <v>Abuja</v>
      </c>
      <c r="E494" s="3">
        <f t="shared" si="43"/>
        <v>1</v>
      </c>
      <c r="F494" s="1" t="str">
        <f t="shared" si="43"/>
        <v>Jan</v>
      </c>
      <c r="G494" s="11">
        <v>1666.6666666666667</v>
      </c>
      <c r="H494" s="11">
        <v>1666.6666666666667</v>
      </c>
      <c r="I494" s="4" t="str">
        <f>_xlfn.XLOOKUP(D494,'Sales Manager'!$A$2:$A$6,'Sales Manager'!$B$2:$B$6,"")</f>
        <v>Emeka Nwosu</v>
      </c>
      <c r="J494" s="12">
        <v>8</v>
      </c>
      <c r="K494" s="12">
        <v>10</v>
      </c>
    </row>
    <row r="495" spans="1:11" x14ac:dyDescent="0.3">
      <c r="A495" s="2">
        <v>494</v>
      </c>
      <c r="B495" s="2">
        <f t="shared" si="39"/>
        <v>108</v>
      </c>
      <c r="C495" s="1" t="str">
        <f>VLOOKUP(B495,Products!A:C,2,FALSE)</f>
        <v>Kiwi</v>
      </c>
      <c r="D495" s="1" t="str">
        <f t="shared" si="40"/>
        <v>Abuja</v>
      </c>
      <c r="E495" s="3">
        <f t="shared" ref="E495:F510" si="44">E483</f>
        <v>2</v>
      </c>
      <c r="F495" s="1" t="str">
        <f t="shared" si="44"/>
        <v>Feb</v>
      </c>
      <c r="G495" s="11">
        <v>400</v>
      </c>
      <c r="H495" s="11">
        <v>300</v>
      </c>
      <c r="I495" s="4" t="str">
        <f>_xlfn.XLOOKUP(D495,'Sales Manager'!$A$2:$A$6,'Sales Manager'!$B$2:$B$6,"")</f>
        <v>Emeka Nwosu</v>
      </c>
      <c r="J495" s="12">
        <v>8</v>
      </c>
      <c r="K495" s="12">
        <v>7</v>
      </c>
    </row>
    <row r="496" spans="1:11" x14ac:dyDescent="0.3">
      <c r="A496" s="2">
        <v>495</v>
      </c>
      <c r="B496" s="2">
        <f t="shared" si="39"/>
        <v>108</v>
      </c>
      <c r="C496" s="1" t="str">
        <f>VLOOKUP(B496,Products!A:C,2,FALSE)</f>
        <v>Kiwi</v>
      </c>
      <c r="D496" s="1" t="str">
        <f t="shared" si="40"/>
        <v>Abuja</v>
      </c>
      <c r="E496" s="3">
        <f t="shared" si="44"/>
        <v>3</v>
      </c>
      <c r="F496" s="1" t="str">
        <f t="shared" si="44"/>
        <v>Mar</v>
      </c>
      <c r="G496" s="11">
        <v>1500</v>
      </c>
      <c r="H496" s="11">
        <v>1300</v>
      </c>
      <c r="I496" s="4" t="str">
        <f>_xlfn.XLOOKUP(D496,'Sales Manager'!$A$2:$A$6,'Sales Manager'!$B$2:$B$6,"")</f>
        <v>Emeka Nwosu</v>
      </c>
      <c r="J496" s="12">
        <v>8</v>
      </c>
      <c r="K496" s="12">
        <v>7</v>
      </c>
    </row>
    <row r="497" spans="1:11" x14ac:dyDescent="0.3">
      <c r="A497" s="2">
        <v>496</v>
      </c>
      <c r="B497" s="2">
        <f t="shared" si="39"/>
        <v>108</v>
      </c>
      <c r="C497" s="1" t="str">
        <f>VLOOKUP(B497,Products!A:C,2,FALSE)</f>
        <v>Kiwi</v>
      </c>
      <c r="D497" s="1" t="str">
        <f t="shared" si="40"/>
        <v>Abuja</v>
      </c>
      <c r="E497" s="3">
        <f t="shared" si="44"/>
        <v>4</v>
      </c>
      <c r="F497" s="1" t="str">
        <f t="shared" si="44"/>
        <v>Apr</v>
      </c>
      <c r="G497" s="11">
        <v>400</v>
      </c>
      <c r="H497" s="11">
        <v>100</v>
      </c>
      <c r="I497" s="4" t="str">
        <f>_xlfn.XLOOKUP(D497,'Sales Manager'!$A$2:$A$6,'Sales Manager'!$B$2:$B$6,"")</f>
        <v>Emeka Nwosu</v>
      </c>
      <c r="J497" s="12">
        <v>6</v>
      </c>
      <c r="K497" s="12">
        <v>8</v>
      </c>
    </row>
    <row r="498" spans="1:11" x14ac:dyDescent="0.3">
      <c r="A498" s="2">
        <v>497</v>
      </c>
      <c r="B498" s="2">
        <f t="shared" si="39"/>
        <v>108</v>
      </c>
      <c r="C498" s="1" t="str">
        <f>VLOOKUP(B498,Products!A:C,2,FALSE)</f>
        <v>Kiwi</v>
      </c>
      <c r="D498" s="1" t="str">
        <f t="shared" si="40"/>
        <v>Abuja</v>
      </c>
      <c r="E498" s="3">
        <f t="shared" si="44"/>
        <v>5</v>
      </c>
      <c r="F498" s="1" t="str">
        <f t="shared" si="44"/>
        <v>May</v>
      </c>
      <c r="G498" s="11">
        <v>1000</v>
      </c>
      <c r="H498" s="11">
        <v>700</v>
      </c>
      <c r="I498" s="4" t="str">
        <f>_xlfn.XLOOKUP(D498,'Sales Manager'!$A$2:$A$6,'Sales Manager'!$B$2:$B$6,"")</f>
        <v>Emeka Nwosu</v>
      </c>
      <c r="J498" s="12">
        <v>10</v>
      </c>
      <c r="K498" s="12">
        <v>5</v>
      </c>
    </row>
    <row r="499" spans="1:11" x14ac:dyDescent="0.3">
      <c r="A499" s="2">
        <v>498</v>
      </c>
      <c r="B499" s="2">
        <f t="shared" si="39"/>
        <v>108</v>
      </c>
      <c r="C499" s="1" t="str">
        <f>VLOOKUP(B499,Products!A:C,2,FALSE)</f>
        <v>Kiwi</v>
      </c>
      <c r="D499" s="1" t="str">
        <f t="shared" si="40"/>
        <v>Abuja</v>
      </c>
      <c r="E499" s="3">
        <f t="shared" si="44"/>
        <v>6</v>
      </c>
      <c r="F499" s="1" t="str">
        <f t="shared" si="44"/>
        <v>Jun</v>
      </c>
      <c r="G499" s="11">
        <v>666.66666666666663</v>
      </c>
      <c r="H499" s="11">
        <v>566.66666666666663</v>
      </c>
      <c r="I499" s="4" t="str">
        <f>_xlfn.XLOOKUP(D499,'Sales Manager'!$A$2:$A$6,'Sales Manager'!$B$2:$B$6,"")</f>
        <v>Emeka Nwosu</v>
      </c>
      <c r="J499" s="12">
        <v>5</v>
      </c>
      <c r="K499" s="12">
        <v>5</v>
      </c>
    </row>
    <row r="500" spans="1:11" x14ac:dyDescent="0.3">
      <c r="A500" s="2">
        <v>499</v>
      </c>
      <c r="B500" s="2">
        <f t="shared" si="39"/>
        <v>108</v>
      </c>
      <c r="C500" s="1" t="str">
        <f>VLOOKUP(B500,Products!A:C,2,FALSE)</f>
        <v>Kiwi</v>
      </c>
      <c r="D500" s="1" t="str">
        <f t="shared" si="40"/>
        <v>Abuja</v>
      </c>
      <c r="E500" s="3">
        <f t="shared" si="44"/>
        <v>7</v>
      </c>
      <c r="F500" s="1" t="str">
        <f t="shared" si="44"/>
        <v>Jul</v>
      </c>
      <c r="G500" s="11">
        <v>2500</v>
      </c>
      <c r="H500" s="11">
        <v>2100</v>
      </c>
      <c r="I500" s="4" t="str">
        <f>_xlfn.XLOOKUP(D500,'Sales Manager'!$A$2:$A$6,'Sales Manager'!$B$2:$B$6,"")</f>
        <v>Emeka Nwosu</v>
      </c>
      <c r="J500" s="12">
        <v>8</v>
      </c>
      <c r="K500" s="12">
        <v>8</v>
      </c>
    </row>
    <row r="501" spans="1:11" x14ac:dyDescent="0.3">
      <c r="A501" s="2">
        <v>500</v>
      </c>
      <c r="B501" s="2">
        <f t="shared" si="39"/>
        <v>108</v>
      </c>
      <c r="C501" s="1" t="str">
        <f>VLOOKUP(B501,Products!A:C,2,FALSE)</f>
        <v>Kiwi</v>
      </c>
      <c r="D501" s="1" t="str">
        <f t="shared" si="40"/>
        <v>Abuja</v>
      </c>
      <c r="E501" s="3">
        <f t="shared" si="44"/>
        <v>8</v>
      </c>
      <c r="F501" s="1" t="str">
        <f t="shared" si="44"/>
        <v>Aug</v>
      </c>
      <c r="G501" s="11">
        <v>500</v>
      </c>
      <c r="H501" s="11">
        <v>100</v>
      </c>
      <c r="I501" s="4" t="str">
        <f>_xlfn.XLOOKUP(D501,'Sales Manager'!$A$2:$A$6,'Sales Manager'!$B$2:$B$6,"")</f>
        <v>Emeka Nwosu</v>
      </c>
      <c r="J501" s="12">
        <v>6</v>
      </c>
      <c r="K501" s="12">
        <v>5</v>
      </c>
    </row>
    <row r="502" spans="1:11" x14ac:dyDescent="0.3">
      <c r="A502" s="2">
        <v>501</v>
      </c>
      <c r="B502" s="2">
        <f t="shared" si="39"/>
        <v>108</v>
      </c>
      <c r="C502" s="1" t="str">
        <f>VLOOKUP(B502,Products!A:C,2,FALSE)</f>
        <v>Kiwi</v>
      </c>
      <c r="D502" s="1" t="str">
        <f t="shared" si="40"/>
        <v>Abuja</v>
      </c>
      <c r="E502" s="3">
        <f t="shared" si="44"/>
        <v>9</v>
      </c>
      <c r="F502" s="1" t="str">
        <f t="shared" si="44"/>
        <v>Sept</v>
      </c>
      <c r="G502" s="11">
        <v>400</v>
      </c>
      <c r="H502" s="11">
        <v>200</v>
      </c>
      <c r="I502" s="4" t="str">
        <f>_xlfn.XLOOKUP(D502,'Sales Manager'!$A$2:$A$6,'Sales Manager'!$B$2:$B$6,"")</f>
        <v>Emeka Nwosu</v>
      </c>
      <c r="J502" s="12">
        <v>7</v>
      </c>
      <c r="K502" s="12">
        <v>6</v>
      </c>
    </row>
    <row r="503" spans="1:11" x14ac:dyDescent="0.3">
      <c r="A503" s="2">
        <v>502</v>
      </c>
      <c r="B503" s="2">
        <f t="shared" si="39"/>
        <v>108</v>
      </c>
      <c r="C503" s="1" t="str">
        <f>VLOOKUP(B503,Products!A:C,2,FALSE)</f>
        <v>Kiwi</v>
      </c>
      <c r="D503" s="1" t="str">
        <f t="shared" si="40"/>
        <v>Abuja</v>
      </c>
      <c r="E503" s="3">
        <f t="shared" si="44"/>
        <v>10</v>
      </c>
      <c r="F503" s="1" t="str">
        <f t="shared" si="44"/>
        <v>Oct</v>
      </c>
      <c r="G503" s="11">
        <v>2000</v>
      </c>
      <c r="H503" s="11">
        <v>1400</v>
      </c>
      <c r="I503" s="4" t="str">
        <f>_xlfn.XLOOKUP(D503,'Sales Manager'!$A$2:$A$6,'Sales Manager'!$B$2:$B$6,"")</f>
        <v>Emeka Nwosu</v>
      </c>
      <c r="J503" s="12">
        <v>10</v>
      </c>
      <c r="K503" s="12">
        <v>7</v>
      </c>
    </row>
    <row r="504" spans="1:11" x14ac:dyDescent="0.3">
      <c r="A504" s="2">
        <v>503</v>
      </c>
      <c r="B504" s="2">
        <f t="shared" si="39"/>
        <v>108</v>
      </c>
      <c r="C504" s="1" t="str">
        <f>VLOOKUP(B504,Products!A:C,2,FALSE)</f>
        <v>Kiwi</v>
      </c>
      <c r="D504" s="1" t="str">
        <f t="shared" si="40"/>
        <v>Abuja</v>
      </c>
      <c r="E504" s="3">
        <f t="shared" si="44"/>
        <v>11</v>
      </c>
      <c r="F504" s="1" t="str">
        <f t="shared" si="44"/>
        <v>Nov</v>
      </c>
      <c r="G504" s="11">
        <v>2333.3333333333335</v>
      </c>
      <c r="H504" s="11">
        <v>2033.3333333333335</v>
      </c>
      <c r="I504" s="4" t="str">
        <f>_xlfn.XLOOKUP(D504,'Sales Manager'!$A$2:$A$6,'Sales Manager'!$B$2:$B$6,"")</f>
        <v>Emeka Nwosu</v>
      </c>
      <c r="J504" s="12">
        <v>6</v>
      </c>
      <c r="K504" s="12">
        <v>6</v>
      </c>
    </row>
    <row r="505" spans="1:11" x14ac:dyDescent="0.3">
      <c r="A505" s="2">
        <v>504</v>
      </c>
      <c r="B505" s="2">
        <f t="shared" si="39"/>
        <v>108</v>
      </c>
      <c r="C505" s="1" t="str">
        <f>VLOOKUP(B505,Products!A:C,2,FALSE)</f>
        <v>Kiwi</v>
      </c>
      <c r="D505" s="1" t="str">
        <f t="shared" si="40"/>
        <v>Abuja</v>
      </c>
      <c r="E505" s="3">
        <f t="shared" si="44"/>
        <v>12</v>
      </c>
      <c r="F505" s="1" t="str">
        <f t="shared" si="44"/>
        <v>Dec</v>
      </c>
      <c r="G505" s="11">
        <v>250</v>
      </c>
      <c r="H505" s="11">
        <v>650</v>
      </c>
      <c r="I505" s="4" t="str">
        <f>_xlfn.XLOOKUP(D505,'Sales Manager'!$A$2:$A$6,'Sales Manager'!$B$2:$B$6,"")</f>
        <v>Emeka Nwosu</v>
      </c>
      <c r="J505" s="12">
        <v>10</v>
      </c>
      <c r="K505" s="12">
        <v>8</v>
      </c>
    </row>
    <row r="506" spans="1:11" x14ac:dyDescent="0.3">
      <c r="A506" s="2">
        <v>505</v>
      </c>
      <c r="B506" s="2">
        <f t="shared" si="39"/>
        <v>108</v>
      </c>
      <c r="C506" s="1" t="str">
        <f>VLOOKUP(B506,Products!A:C,2,FALSE)</f>
        <v>Kiwi</v>
      </c>
      <c r="D506" s="1" t="str">
        <f t="shared" si="40"/>
        <v>Warri</v>
      </c>
      <c r="E506" s="3">
        <f t="shared" si="44"/>
        <v>1</v>
      </c>
      <c r="F506" s="1" t="str">
        <f t="shared" si="44"/>
        <v>Jan</v>
      </c>
      <c r="G506" s="11">
        <v>1000</v>
      </c>
      <c r="H506" s="11">
        <v>1000</v>
      </c>
      <c r="I506" s="4" t="str">
        <f>_xlfn.XLOOKUP(D506,'Sales Manager'!$A$2:$A$6,'Sales Manager'!$B$2:$B$6,"")</f>
        <v>Gbenga Adesanya</v>
      </c>
      <c r="J506" s="12">
        <v>6</v>
      </c>
      <c r="K506" s="12">
        <v>7</v>
      </c>
    </row>
    <row r="507" spans="1:11" x14ac:dyDescent="0.3">
      <c r="A507" s="2">
        <v>506</v>
      </c>
      <c r="B507" s="2">
        <f t="shared" si="39"/>
        <v>108</v>
      </c>
      <c r="C507" s="1" t="str">
        <f>VLOOKUP(B507,Products!A:C,2,FALSE)</f>
        <v>Kiwi</v>
      </c>
      <c r="D507" s="1" t="str">
        <f t="shared" si="40"/>
        <v>Warri</v>
      </c>
      <c r="E507" s="3">
        <f t="shared" si="44"/>
        <v>2</v>
      </c>
      <c r="F507" s="1" t="str">
        <f t="shared" si="44"/>
        <v>Feb</v>
      </c>
      <c r="G507" s="11">
        <v>2000</v>
      </c>
      <c r="H507" s="11">
        <v>2000</v>
      </c>
      <c r="I507" s="4" t="str">
        <f>_xlfn.XLOOKUP(D507,'Sales Manager'!$A$2:$A$6,'Sales Manager'!$B$2:$B$6,"")</f>
        <v>Gbenga Adesanya</v>
      </c>
      <c r="J507" s="12">
        <v>6</v>
      </c>
      <c r="K507" s="12">
        <v>5</v>
      </c>
    </row>
    <row r="508" spans="1:11" x14ac:dyDescent="0.3">
      <c r="A508" s="2">
        <v>507</v>
      </c>
      <c r="B508" s="2">
        <f t="shared" si="39"/>
        <v>108</v>
      </c>
      <c r="C508" s="1" t="str">
        <f>VLOOKUP(B508,Products!A:C,2,FALSE)</f>
        <v>Kiwi</v>
      </c>
      <c r="D508" s="1" t="str">
        <f t="shared" si="40"/>
        <v>Warri</v>
      </c>
      <c r="E508" s="3">
        <f t="shared" si="44"/>
        <v>3</v>
      </c>
      <c r="F508" s="1" t="str">
        <f t="shared" si="44"/>
        <v>Mar</v>
      </c>
      <c r="G508" s="11">
        <v>400</v>
      </c>
      <c r="H508" s="11">
        <v>300</v>
      </c>
      <c r="I508" s="4" t="str">
        <f>_xlfn.XLOOKUP(D508,'Sales Manager'!$A$2:$A$6,'Sales Manager'!$B$2:$B$6,"")</f>
        <v>Gbenga Adesanya</v>
      </c>
      <c r="J508" s="12">
        <v>5</v>
      </c>
      <c r="K508" s="12">
        <v>8</v>
      </c>
    </row>
    <row r="509" spans="1:11" x14ac:dyDescent="0.3">
      <c r="A509" s="2">
        <v>508</v>
      </c>
      <c r="B509" s="2">
        <f t="shared" si="39"/>
        <v>108</v>
      </c>
      <c r="C509" s="1" t="str">
        <f>VLOOKUP(B509,Products!A:C,2,FALSE)</f>
        <v>Kiwi</v>
      </c>
      <c r="D509" s="1" t="str">
        <f t="shared" si="40"/>
        <v>Warri</v>
      </c>
      <c r="E509" s="3">
        <f t="shared" si="44"/>
        <v>4</v>
      </c>
      <c r="F509" s="1" t="str">
        <f t="shared" si="44"/>
        <v>Apr</v>
      </c>
      <c r="G509" s="11">
        <v>3000</v>
      </c>
      <c r="H509" s="11">
        <v>2400</v>
      </c>
      <c r="I509" s="4" t="str">
        <f>_xlfn.XLOOKUP(D509,'Sales Manager'!$A$2:$A$6,'Sales Manager'!$B$2:$B$6,"")</f>
        <v>Gbenga Adesanya</v>
      </c>
      <c r="J509" s="12">
        <v>9</v>
      </c>
      <c r="K509" s="12">
        <v>7</v>
      </c>
    </row>
    <row r="510" spans="1:11" x14ac:dyDescent="0.3">
      <c r="A510" s="2">
        <v>509</v>
      </c>
      <c r="B510" s="2">
        <f t="shared" si="39"/>
        <v>108</v>
      </c>
      <c r="C510" s="1" t="str">
        <f>VLOOKUP(B510,Products!A:C,2,FALSE)</f>
        <v>Kiwi</v>
      </c>
      <c r="D510" s="1" t="str">
        <f t="shared" si="40"/>
        <v>Warri</v>
      </c>
      <c r="E510" s="3">
        <f t="shared" si="44"/>
        <v>5</v>
      </c>
      <c r="F510" s="1" t="str">
        <f t="shared" si="44"/>
        <v>May</v>
      </c>
      <c r="G510" s="11">
        <v>1333.3333333333333</v>
      </c>
      <c r="H510" s="11">
        <v>933.33333333333326</v>
      </c>
      <c r="I510" s="4" t="str">
        <f>_xlfn.XLOOKUP(D510,'Sales Manager'!$A$2:$A$6,'Sales Manager'!$B$2:$B$6,"")</f>
        <v>Gbenga Adesanya</v>
      </c>
      <c r="J510" s="12">
        <v>7</v>
      </c>
      <c r="K510" s="12">
        <v>8</v>
      </c>
    </row>
    <row r="511" spans="1:11" x14ac:dyDescent="0.3">
      <c r="A511" s="2">
        <v>510</v>
      </c>
      <c r="B511" s="2">
        <f t="shared" ref="B511:B574" si="45">B451+1</f>
        <v>108</v>
      </c>
      <c r="C511" s="1" t="str">
        <f>VLOOKUP(B511,Products!A:C,2,FALSE)</f>
        <v>Kiwi</v>
      </c>
      <c r="D511" s="1" t="str">
        <f t="shared" ref="D511:D574" si="46">D451</f>
        <v>Warri</v>
      </c>
      <c r="E511" s="3">
        <f t="shared" ref="E511:F526" si="47">E499</f>
        <v>6</v>
      </c>
      <c r="F511" s="1" t="str">
        <f t="shared" si="47"/>
        <v>Jun</v>
      </c>
      <c r="G511" s="11">
        <v>333.33333333333331</v>
      </c>
      <c r="H511" s="11">
        <v>166.66666666666669</v>
      </c>
      <c r="I511" s="4" t="str">
        <f>_xlfn.XLOOKUP(D511,'Sales Manager'!$A$2:$A$6,'Sales Manager'!$B$2:$B$6,"")</f>
        <v>Gbenga Adesanya</v>
      </c>
      <c r="J511" s="12">
        <v>8</v>
      </c>
      <c r="K511" s="12">
        <v>10</v>
      </c>
    </row>
    <row r="512" spans="1:11" x14ac:dyDescent="0.3">
      <c r="A512" s="2">
        <v>511</v>
      </c>
      <c r="B512" s="2">
        <f t="shared" si="45"/>
        <v>108</v>
      </c>
      <c r="C512" s="1" t="str">
        <f>VLOOKUP(B512,Products!A:C,2,FALSE)</f>
        <v>Kiwi</v>
      </c>
      <c r="D512" s="1" t="str">
        <f t="shared" si="46"/>
        <v>Warri</v>
      </c>
      <c r="E512" s="3">
        <f t="shared" si="47"/>
        <v>7</v>
      </c>
      <c r="F512" s="1" t="str">
        <f t="shared" si="47"/>
        <v>Jul</v>
      </c>
      <c r="G512" s="11">
        <v>600</v>
      </c>
      <c r="H512" s="11">
        <v>400</v>
      </c>
      <c r="I512" s="4" t="str">
        <f>_xlfn.XLOOKUP(D512,'Sales Manager'!$A$2:$A$6,'Sales Manager'!$B$2:$B$6,"")</f>
        <v>Gbenga Adesanya</v>
      </c>
      <c r="J512" s="12">
        <v>5</v>
      </c>
      <c r="K512" s="12">
        <v>7</v>
      </c>
    </row>
    <row r="513" spans="1:11" x14ac:dyDescent="0.3">
      <c r="A513" s="2">
        <v>512</v>
      </c>
      <c r="B513" s="2">
        <f t="shared" si="45"/>
        <v>108</v>
      </c>
      <c r="C513" s="1" t="str">
        <f>VLOOKUP(B513,Products!A:C,2,FALSE)</f>
        <v>Kiwi</v>
      </c>
      <c r="D513" s="1" t="str">
        <f t="shared" si="46"/>
        <v>Warri</v>
      </c>
      <c r="E513" s="3">
        <f t="shared" si="47"/>
        <v>8</v>
      </c>
      <c r="F513" s="1" t="str">
        <f t="shared" si="47"/>
        <v>Aug</v>
      </c>
      <c r="G513" s="11">
        <v>1000</v>
      </c>
      <c r="H513" s="11">
        <v>1000</v>
      </c>
      <c r="I513" s="4" t="str">
        <f>_xlfn.XLOOKUP(D513,'Sales Manager'!$A$2:$A$6,'Sales Manager'!$B$2:$B$6,"")</f>
        <v>Gbenga Adesanya</v>
      </c>
      <c r="J513" s="12">
        <v>6</v>
      </c>
      <c r="K513" s="12">
        <v>8</v>
      </c>
    </row>
    <row r="514" spans="1:11" x14ac:dyDescent="0.3">
      <c r="A514" s="2">
        <v>513</v>
      </c>
      <c r="B514" s="2">
        <f t="shared" si="45"/>
        <v>108</v>
      </c>
      <c r="C514" s="1" t="str">
        <f>VLOOKUP(B514,Products!A:C,2,FALSE)</f>
        <v>Kiwi</v>
      </c>
      <c r="D514" s="1" t="str">
        <f t="shared" si="46"/>
        <v>Warri</v>
      </c>
      <c r="E514" s="3">
        <f t="shared" si="47"/>
        <v>9</v>
      </c>
      <c r="F514" s="1" t="str">
        <f t="shared" si="47"/>
        <v>Sept</v>
      </c>
      <c r="G514" s="11">
        <v>2000</v>
      </c>
      <c r="H514" s="11">
        <v>1700</v>
      </c>
      <c r="I514" s="4" t="str">
        <f>_xlfn.XLOOKUP(D514,'Sales Manager'!$A$2:$A$6,'Sales Manager'!$B$2:$B$6,"")</f>
        <v>Gbenga Adesanya</v>
      </c>
      <c r="J514" s="12">
        <v>9</v>
      </c>
      <c r="K514" s="12">
        <v>10</v>
      </c>
    </row>
    <row r="515" spans="1:11" x14ac:dyDescent="0.3">
      <c r="A515" s="2">
        <v>514</v>
      </c>
      <c r="B515" s="2">
        <f t="shared" si="45"/>
        <v>108</v>
      </c>
      <c r="C515" s="1" t="str">
        <f>VLOOKUP(B515,Products!A:C,2,FALSE)</f>
        <v>Kiwi</v>
      </c>
      <c r="D515" s="1" t="str">
        <f t="shared" si="46"/>
        <v>Warri</v>
      </c>
      <c r="E515" s="3">
        <f t="shared" si="47"/>
        <v>10</v>
      </c>
      <c r="F515" s="1" t="str">
        <f t="shared" si="47"/>
        <v>Oct</v>
      </c>
      <c r="G515" s="11">
        <v>250</v>
      </c>
      <c r="H515" s="11">
        <v>150</v>
      </c>
      <c r="I515" s="4" t="str">
        <f>_xlfn.XLOOKUP(D515,'Sales Manager'!$A$2:$A$6,'Sales Manager'!$B$2:$B$6,"")</f>
        <v>Gbenga Adesanya</v>
      </c>
      <c r="J515" s="12">
        <v>8</v>
      </c>
      <c r="K515" s="12">
        <v>5</v>
      </c>
    </row>
    <row r="516" spans="1:11" x14ac:dyDescent="0.3">
      <c r="A516" s="2">
        <v>515</v>
      </c>
      <c r="B516" s="2">
        <f t="shared" si="45"/>
        <v>108</v>
      </c>
      <c r="C516" s="1" t="str">
        <f>VLOOKUP(B516,Products!A:C,2,FALSE)</f>
        <v>Kiwi</v>
      </c>
      <c r="D516" s="1" t="str">
        <f t="shared" si="46"/>
        <v>Warri</v>
      </c>
      <c r="E516" s="3">
        <f t="shared" si="47"/>
        <v>11</v>
      </c>
      <c r="F516" s="1" t="str">
        <f t="shared" si="47"/>
        <v>Nov</v>
      </c>
      <c r="G516" s="11">
        <v>1500</v>
      </c>
      <c r="H516" s="11">
        <v>1400</v>
      </c>
      <c r="I516" s="4" t="str">
        <f>_xlfn.XLOOKUP(D516,'Sales Manager'!$A$2:$A$6,'Sales Manager'!$B$2:$B$6,"")</f>
        <v>Gbenga Adesanya</v>
      </c>
      <c r="J516" s="12">
        <v>10</v>
      </c>
      <c r="K516" s="12">
        <v>6</v>
      </c>
    </row>
    <row r="517" spans="1:11" x14ac:dyDescent="0.3">
      <c r="A517" s="2">
        <v>516</v>
      </c>
      <c r="B517" s="2">
        <f t="shared" si="45"/>
        <v>108</v>
      </c>
      <c r="C517" s="1" t="str">
        <f>VLOOKUP(B517,Products!A:C,2,FALSE)</f>
        <v>Kiwi</v>
      </c>
      <c r="D517" s="1" t="str">
        <f t="shared" si="46"/>
        <v>Warri</v>
      </c>
      <c r="E517" s="3">
        <f t="shared" si="47"/>
        <v>12</v>
      </c>
      <c r="F517" s="1" t="str">
        <f t="shared" si="47"/>
        <v>Dec</v>
      </c>
      <c r="G517" s="11">
        <v>3000</v>
      </c>
      <c r="H517" s="11">
        <v>3000</v>
      </c>
      <c r="I517" s="4" t="str">
        <f>_xlfn.XLOOKUP(D517,'Sales Manager'!$A$2:$A$6,'Sales Manager'!$B$2:$B$6,"")</f>
        <v>Gbenga Adesanya</v>
      </c>
      <c r="J517" s="12">
        <v>8</v>
      </c>
      <c r="K517" s="12">
        <v>8</v>
      </c>
    </row>
    <row r="518" spans="1:11" x14ac:dyDescent="0.3">
      <c r="A518" s="2">
        <v>517</v>
      </c>
      <c r="B518" s="2">
        <f t="shared" si="45"/>
        <v>108</v>
      </c>
      <c r="C518" s="1" t="str">
        <f>VLOOKUP(B518,Products!A:C,2,FALSE)</f>
        <v>Kiwi</v>
      </c>
      <c r="D518" s="1" t="str">
        <f t="shared" si="46"/>
        <v>Kaduna</v>
      </c>
      <c r="E518" s="3">
        <f t="shared" si="47"/>
        <v>1</v>
      </c>
      <c r="F518" s="1" t="str">
        <f t="shared" si="47"/>
        <v>Jan</v>
      </c>
      <c r="G518" s="11">
        <v>3500</v>
      </c>
      <c r="H518" s="11">
        <v>2900</v>
      </c>
      <c r="I518" s="4" t="str">
        <f>_xlfn.XLOOKUP(D518,'Sales Manager'!$A$2:$A$6,'Sales Manager'!$B$2:$B$6,"")</f>
        <v>Musa Garba</v>
      </c>
      <c r="J518" s="12">
        <v>9</v>
      </c>
      <c r="K518" s="12">
        <v>7</v>
      </c>
    </row>
    <row r="519" spans="1:11" x14ac:dyDescent="0.3">
      <c r="A519" s="2">
        <v>518</v>
      </c>
      <c r="B519" s="2">
        <f t="shared" si="45"/>
        <v>108</v>
      </c>
      <c r="C519" s="1" t="str">
        <f>VLOOKUP(B519,Products!A:C,2,FALSE)</f>
        <v>Kiwi</v>
      </c>
      <c r="D519" s="1" t="str">
        <f t="shared" si="46"/>
        <v>Kaduna</v>
      </c>
      <c r="E519" s="3">
        <f t="shared" si="47"/>
        <v>2</v>
      </c>
      <c r="F519" s="1" t="str">
        <f t="shared" si="47"/>
        <v>Feb</v>
      </c>
      <c r="G519" s="11">
        <v>2000</v>
      </c>
      <c r="H519" s="11">
        <v>1800</v>
      </c>
      <c r="I519" s="4" t="str">
        <f>_xlfn.XLOOKUP(D519,'Sales Manager'!$A$2:$A$6,'Sales Manager'!$B$2:$B$6,"")</f>
        <v>Musa Garba</v>
      </c>
      <c r="J519" s="12">
        <v>8</v>
      </c>
      <c r="K519" s="12">
        <v>9</v>
      </c>
    </row>
    <row r="520" spans="1:11" x14ac:dyDescent="0.3">
      <c r="A520" s="2">
        <v>519</v>
      </c>
      <c r="B520" s="2">
        <f t="shared" si="45"/>
        <v>108</v>
      </c>
      <c r="C520" s="1" t="str">
        <f>VLOOKUP(B520,Products!A:C,2,FALSE)</f>
        <v>Kiwi</v>
      </c>
      <c r="D520" s="1" t="str">
        <f t="shared" si="46"/>
        <v>Kaduna</v>
      </c>
      <c r="E520" s="3">
        <f t="shared" si="47"/>
        <v>3</v>
      </c>
      <c r="F520" s="1" t="str">
        <f t="shared" si="47"/>
        <v>Mar</v>
      </c>
      <c r="G520" s="11">
        <v>400</v>
      </c>
      <c r="H520" s="11">
        <v>300</v>
      </c>
      <c r="I520" s="4" t="str">
        <f>_xlfn.XLOOKUP(D520,'Sales Manager'!$A$2:$A$6,'Sales Manager'!$B$2:$B$6,"")</f>
        <v>Musa Garba</v>
      </c>
      <c r="J520" s="12">
        <v>9</v>
      </c>
      <c r="K520" s="12">
        <v>8</v>
      </c>
    </row>
    <row r="521" spans="1:11" x14ac:dyDescent="0.3">
      <c r="A521" s="2">
        <v>520</v>
      </c>
      <c r="B521" s="2">
        <f t="shared" si="45"/>
        <v>108</v>
      </c>
      <c r="C521" s="1" t="str">
        <f>VLOOKUP(B521,Products!A:C,2,FALSE)</f>
        <v>Kiwi</v>
      </c>
      <c r="D521" s="1" t="str">
        <f t="shared" si="46"/>
        <v>Kaduna</v>
      </c>
      <c r="E521" s="3">
        <f t="shared" si="47"/>
        <v>4</v>
      </c>
      <c r="F521" s="1" t="str">
        <f t="shared" si="47"/>
        <v>Apr</v>
      </c>
      <c r="G521" s="11">
        <v>3000</v>
      </c>
      <c r="H521" s="11">
        <v>2500</v>
      </c>
      <c r="I521" s="4" t="str">
        <f>_xlfn.XLOOKUP(D521,'Sales Manager'!$A$2:$A$6,'Sales Manager'!$B$2:$B$6,"")</f>
        <v>Musa Garba</v>
      </c>
      <c r="J521" s="12">
        <v>7</v>
      </c>
      <c r="K521" s="12">
        <v>10</v>
      </c>
    </row>
    <row r="522" spans="1:11" x14ac:dyDescent="0.3">
      <c r="A522" s="2">
        <v>521</v>
      </c>
      <c r="B522" s="2">
        <f t="shared" si="45"/>
        <v>108</v>
      </c>
      <c r="C522" s="1" t="str">
        <f>VLOOKUP(B522,Products!A:C,2,FALSE)</f>
        <v>Kiwi</v>
      </c>
      <c r="D522" s="1" t="str">
        <f t="shared" si="46"/>
        <v>Kaduna</v>
      </c>
      <c r="E522" s="3">
        <f t="shared" si="47"/>
        <v>5</v>
      </c>
      <c r="F522" s="1" t="str">
        <f t="shared" si="47"/>
        <v>May</v>
      </c>
      <c r="G522" s="11">
        <v>1000</v>
      </c>
      <c r="H522" s="11">
        <v>800</v>
      </c>
      <c r="I522" s="4" t="str">
        <f>_xlfn.XLOOKUP(D522,'Sales Manager'!$A$2:$A$6,'Sales Manager'!$B$2:$B$6,"")</f>
        <v>Musa Garba</v>
      </c>
      <c r="J522" s="12">
        <v>7</v>
      </c>
      <c r="K522" s="12">
        <v>5</v>
      </c>
    </row>
    <row r="523" spans="1:11" x14ac:dyDescent="0.3">
      <c r="A523" s="2">
        <v>522</v>
      </c>
      <c r="B523" s="2">
        <f t="shared" si="45"/>
        <v>108</v>
      </c>
      <c r="C523" s="1" t="str">
        <f>VLOOKUP(B523,Products!A:C,2,FALSE)</f>
        <v>Kiwi</v>
      </c>
      <c r="D523" s="1" t="str">
        <f t="shared" si="46"/>
        <v>Kaduna</v>
      </c>
      <c r="E523" s="3">
        <f t="shared" si="47"/>
        <v>6</v>
      </c>
      <c r="F523" s="1" t="str">
        <f t="shared" si="47"/>
        <v>Jun</v>
      </c>
      <c r="G523" s="11">
        <v>333.33333333333331</v>
      </c>
      <c r="H523" s="11">
        <v>166.66666666666669</v>
      </c>
      <c r="I523" s="4" t="str">
        <f>_xlfn.XLOOKUP(D523,'Sales Manager'!$A$2:$A$6,'Sales Manager'!$B$2:$B$6,"")</f>
        <v>Musa Garba</v>
      </c>
      <c r="J523" s="12">
        <v>10</v>
      </c>
      <c r="K523" s="12">
        <v>7</v>
      </c>
    </row>
    <row r="524" spans="1:11" x14ac:dyDescent="0.3">
      <c r="A524" s="2">
        <v>523</v>
      </c>
      <c r="B524" s="2">
        <f t="shared" si="45"/>
        <v>108</v>
      </c>
      <c r="C524" s="1" t="str">
        <f>VLOOKUP(B524,Products!A:C,2,FALSE)</f>
        <v>Kiwi</v>
      </c>
      <c r="D524" s="1" t="str">
        <f t="shared" si="46"/>
        <v>Kaduna</v>
      </c>
      <c r="E524" s="3">
        <f t="shared" si="47"/>
        <v>7</v>
      </c>
      <c r="F524" s="1" t="str">
        <f t="shared" si="47"/>
        <v>Jul</v>
      </c>
      <c r="G524" s="11">
        <v>200</v>
      </c>
      <c r="H524" s="11">
        <v>400</v>
      </c>
      <c r="I524" s="4" t="str">
        <f>_xlfn.XLOOKUP(D524,'Sales Manager'!$A$2:$A$6,'Sales Manager'!$B$2:$B$6,"")</f>
        <v>Musa Garba</v>
      </c>
      <c r="J524" s="12">
        <v>7</v>
      </c>
      <c r="K524" s="12">
        <v>10</v>
      </c>
    </row>
    <row r="525" spans="1:11" x14ac:dyDescent="0.3">
      <c r="A525" s="2">
        <v>524</v>
      </c>
      <c r="B525" s="2">
        <f t="shared" si="45"/>
        <v>108</v>
      </c>
      <c r="C525" s="1" t="str">
        <f>VLOOKUP(B525,Products!A:C,2,FALSE)</f>
        <v>Kiwi</v>
      </c>
      <c r="D525" s="1" t="str">
        <f t="shared" si="46"/>
        <v>Kaduna</v>
      </c>
      <c r="E525" s="3">
        <f t="shared" si="47"/>
        <v>8</v>
      </c>
      <c r="F525" s="1" t="str">
        <f t="shared" si="47"/>
        <v>Aug</v>
      </c>
      <c r="G525" s="11">
        <v>600</v>
      </c>
      <c r="H525" s="11">
        <v>600</v>
      </c>
      <c r="I525" s="4" t="str">
        <f>_xlfn.XLOOKUP(D525,'Sales Manager'!$A$2:$A$6,'Sales Manager'!$B$2:$B$6,"")</f>
        <v>Musa Garba</v>
      </c>
      <c r="J525" s="12">
        <v>8</v>
      </c>
      <c r="K525" s="12">
        <v>6</v>
      </c>
    </row>
    <row r="526" spans="1:11" x14ac:dyDescent="0.3">
      <c r="A526" s="2">
        <v>525</v>
      </c>
      <c r="B526" s="2">
        <f t="shared" si="45"/>
        <v>108</v>
      </c>
      <c r="C526" s="1" t="str">
        <f>VLOOKUP(B526,Products!A:C,2,FALSE)</f>
        <v>Kiwi</v>
      </c>
      <c r="D526" s="1" t="str">
        <f t="shared" si="46"/>
        <v>Kaduna</v>
      </c>
      <c r="E526" s="3">
        <f t="shared" si="47"/>
        <v>9</v>
      </c>
      <c r="F526" s="1" t="str">
        <f t="shared" si="47"/>
        <v>Sept</v>
      </c>
      <c r="G526" s="11">
        <v>3000</v>
      </c>
      <c r="H526" s="11">
        <v>2700</v>
      </c>
      <c r="I526" s="4" t="str">
        <f>_xlfn.XLOOKUP(D526,'Sales Manager'!$A$2:$A$6,'Sales Manager'!$B$2:$B$6,"")</f>
        <v>Musa Garba</v>
      </c>
      <c r="J526" s="12">
        <v>9</v>
      </c>
      <c r="K526" s="12">
        <v>8</v>
      </c>
    </row>
    <row r="527" spans="1:11" x14ac:dyDescent="0.3">
      <c r="A527" s="2">
        <v>526</v>
      </c>
      <c r="B527" s="2">
        <f t="shared" si="45"/>
        <v>108</v>
      </c>
      <c r="C527" s="1" t="str">
        <f>VLOOKUP(B527,Products!A:C,2,FALSE)</f>
        <v>Kiwi</v>
      </c>
      <c r="D527" s="1" t="str">
        <f t="shared" si="46"/>
        <v>Kaduna</v>
      </c>
      <c r="E527" s="3">
        <f t="shared" ref="E527:F542" si="48">E515</f>
        <v>10</v>
      </c>
      <c r="F527" s="1" t="str">
        <f t="shared" si="48"/>
        <v>Oct</v>
      </c>
      <c r="G527" s="11">
        <v>1666.6666666666667</v>
      </c>
      <c r="H527" s="11">
        <v>866.66666666666674</v>
      </c>
      <c r="I527" s="4" t="str">
        <f>_xlfn.XLOOKUP(D527,'Sales Manager'!$A$2:$A$6,'Sales Manager'!$B$2:$B$6,"")</f>
        <v>Musa Garba</v>
      </c>
      <c r="J527" s="12">
        <v>8</v>
      </c>
      <c r="K527" s="12">
        <v>9</v>
      </c>
    </row>
    <row r="528" spans="1:11" x14ac:dyDescent="0.3">
      <c r="A528" s="2">
        <v>527</v>
      </c>
      <c r="B528" s="2">
        <f t="shared" si="45"/>
        <v>108</v>
      </c>
      <c r="C528" s="1" t="str">
        <f>VLOOKUP(B528,Products!A:C,2,FALSE)</f>
        <v>Kiwi</v>
      </c>
      <c r="D528" s="1" t="str">
        <f t="shared" si="46"/>
        <v>Kaduna</v>
      </c>
      <c r="E528" s="3">
        <f t="shared" si="48"/>
        <v>11</v>
      </c>
      <c r="F528" s="1" t="str">
        <f t="shared" si="48"/>
        <v>Nov</v>
      </c>
      <c r="G528" s="11">
        <v>1000</v>
      </c>
      <c r="H528" s="11">
        <v>400</v>
      </c>
      <c r="I528" s="4" t="str">
        <f>_xlfn.XLOOKUP(D528,'Sales Manager'!$A$2:$A$6,'Sales Manager'!$B$2:$B$6,"")</f>
        <v>Musa Garba</v>
      </c>
      <c r="J528" s="12">
        <v>5</v>
      </c>
      <c r="K528" s="12">
        <v>7</v>
      </c>
    </row>
    <row r="529" spans="1:11" x14ac:dyDescent="0.3">
      <c r="A529" s="2">
        <v>528</v>
      </c>
      <c r="B529" s="2">
        <f t="shared" si="45"/>
        <v>108</v>
      </c>
      <c r="C529" s="1" t="str">
        <f>VLOOKUP(B529,Products!A:C,2,FALSE)</f>
        <v>Kiwi</v>
      </c>
      <c r="D529" s="1" t="str">
        <f t="shared" si="46"/>
        <v>Kaduna</v>
      </c>
      <c r="E529" s="3">
        <f t="shared" si="48"/>
        <v>12</v>
      </c>
      <c r="F529" s="1" t="str">
        <f t="shared" si="48"/>
        <v>Dec</v>
      </c>
      <c r="G529" s="11">
        <v>1333.3333333333333</v>
      </c>
      <c r="H529" s="11">
        <v>833.33333333333326</v>
      </c>
      <c r="I529" s="4" t="str">
        <f>_xlfn.XLOOKUP(D529,'Sales Manager'!$A$2:$A$6,'Sales Manager'!$B$2:$B$6,"")</f>
        <v>Musa Garba</v>
      </c>
      <c r="J529" s="12">
        <v>6</v>
      </c>
      <c r="K529" s="12">
        <v>7</v>
      </c>
    </row>
    <row r="530" spans="1:11" x14ac:dyDescent="0.3">
      <c r="A530" s="2">
        <v>529</v>
      </c>
      <c r="B530" s="2">
        <f t="shared" si="45"/>
        <v>108</v>
      </c>
      <c r="C530" s="1" t="str">
        <f>VLOOKUP(B530,Products!A:C,2,FALSE)</f>
        <v>Kiwi</v>
      </c>
      <c r="D530" s="1" t="str">
        <f t="shared" si="46"/>
        <v>Ibadan</v>
      </c>
      <c r="E530" s="3">
        <f t="shared" si="48"/>
        <v>1</v>
      </c>
      <c r="F530" s="1" t="str">
        <f t="shared" si="48"/>
        <v>Jan</v>
      </c>
      <c r="G530" s="11">
        <v>1666.6666666666667</v>
      </c>
      <c r="H530" s="11">
        <v>1366.6666666666667</v>
      </c>
      <c r="I530" s="4" t="str">
        <f>_xlfn.XLOOKUP(D530,'Sales Manager'!$A$2:$A$6,'Sales Manager'!$B$2:$B$6,"")</f>
        <v>Funmi Adeyemi</v>
      </c>
      <c r="J530" s="12">
        <v>5</v>
      </c>
      <c r="K530" s="12">
        <v>5</v>
      </c>
    </row>
    <row r="531" spans="1:11" x14ac:dyDescent="0.3">
      <c r="A531" s="2">
        <v>530</v>
      </c>
      <c r="B531" s="2">
        <f t="shared" si="45"/>
        <v>108</v>
      </c>
      <c r="C531" s="1" t="str">
        <f>VLOOKUP(B531,Products!A:C,2,FALSE)</f>
        <v>Kiwi</v>
      </c>
      <c r="D531" s="1" t="str">
        <f t="shared" si="46"/>
        <v>Ibadan</v>
      </c>
      <c r="E531" s="3">
        <f t="shared" si="48"/>
        <v>2</v>
      </c>
      <c r="F531" s="1" t="str">
        <f t="shared" si="48"/>
        <v>Feb</v>
      </c>
      <c r="G531" s="11">
        <v>333.33333333333331</v>
      </c>
      <c r="H531" s="11">
        <v>166.66666666666669</v>
      </c>
      <c r="I531" s="4" t="str">
        <f>_xlfn.XLOOKUP(D531,'Sales Manager'!$A$2:$A$6,'Sales Manager'!$B$2:$B$6,"")</f>
        <v>Funmi Adeyemi</v>
      </c>
      <c r="J531" s="12">
        <v>10</v>
      </c>
      <c r="K531" s="12">
        <v>5</v>
      </c>
    </row>
    <row r="532" spans="1:11" x14ac:dyDescent="0.3">
      <c r="A532" s="2">
        <v>531</v>
      </c>
      <c r="B532" s="2">
        <f t="shared" si="45"/>
        <v>108</v>
      </c>
      <c r="C532" s="1" t="str">
        <f>VLOOKUP(B532,Products!A:C,2,FALSE)</f>
        <v>Kiwi</v>
      </c>
      <c r="D532" s="1" t="str">
        <f t="shared" si="46"/>
        <v>Ibadan</v>
      </c>
      <c r="E532" s="3">
        <f t="shared" si="48"/>
        <v>3</v>
      </c>
      <c r="F532" s="1" t="str">
        <f t="shared" si="48"/>
        <v>Mar</v>
      </c>
      <c r="G532" s="11">
        <v>1000</v>
      </c>
      <c r="H532" s="11">
        <v>900</v>
      </c>
      <c r="I532" s="4" t="str">
        <f>_xlfn.XLOOKUP(D532,'Sales Manager'!$A$2:$A$6,'Sales Manager'!$B$2:$B$6,"")</f>
        <v>Funmi Adeyemi</v>
      </c>
      <c r="J532" s="12">
        <v>5</v>
      </c>
      <c r="K532" s="12">
        <v>7</v>
      </c>
    </row>
    <row r="533" spans="1:11" x14ac:dyDescent="0.3">
      <c r="A533" s="2">
        <v>532</v>
      </c>
      <c r="B533" s="2">
        <f t="shared" si="45"/>
        <v>108</v>
      </c>
      <c r="C533" s="1" t="str">
        <f>VLOOKUP(B533,Products!A:C,2,FALSE)</f>
        <v>Kiwi</v>
      </c>
      <c r="D533" s="1" t="str">
        <f t="shared" si="46"/>
        <v>Ibadan</v>
      </c>
      <c r="E533" s="3">
        <f t="shared" si="48"/>
        <v>4</v>
      </c>
      <c r="F533" s="1" t="str">
        <f t="shared" si="48"/>
        <v>Apr</v>
      </c>
      <c r="G533" s="11">
        <v>2000</v>
      </c>
      <c r="H533" s="11">
        <v>2000</v>
      </c>
      <c r="I533" s="4" t="str">
        <f>_xlfn.XLOOKUP(D533,'Sales Manager'!$A$2:$A$6,'Sales Manager'!$B$2:$B$6,"")</f>
        <v>Funmi Adeyemi</v>
      </c>
      <c r="J533" s="12">
        <v>5</v>
      </c>
      <c r="K533" s="12">
        <v>5</v>
      </c>
    </row>
    <row r="534" spans="1:11" x14ac:dyDescent="0.3">
      <c r="A534" s="2">
        <v>533</v>
      </c>
      <c r="B534" s="2">
        <f t="shared" si="45"/>
        <v>108</v>
      </c>
      <c r="C534" s="1" t="str">
        <f>VLOOKUP(B534,Products!A:C,2,FALSE)</f>
        <v>Kiwi</v>
      </c>
      <c r="D534" s="1" t="str">
        <f t="shared" si="46"/>
        <v>Ibadan</v>
      </c>
      <c r="E534" s="3">
        <f t="shared" si="48"/>
        <v>5</v>
      </c>
      <c r="F534" s="1" t="str">
        <f t="shared" si="48"/>
        <v>May</v>
      </c>
      <c r="G534" s="11">
        <v>1333.3333333333333</v>
      </c>
      <c r="H534" s="11">
        <v>1333.3333333333333</v>
      </c>
      <c r="I534" s="4" t="str">
        <f>_xlfn.XLOOKUP(D534,'Sales Manager'!$A$2:$A$6,'Sales Manager'!$B$2:$B$6,"")</f>
        <v>Funmi Adeyemi</v>
      </c>
      <c r="J534" s="12">
        <v>9</v>
      </c>
      <c r="K534" s="12">
        <v>5</v>
      </c>
    </row>
    <row r="535" spans="1:11" x14ac:dyDescent="0.3">
      <c r="A535" s="2">
        <v>534</v>
      </c>
      <c r="B535" s="2">
        <f t="shared" si="45"/>
        <v>108</v>
      </c>
      <c r="C535" s="1" t="str">
        <f>VLOOKUP(B535,Products!A:C,2,FALSE)</f>
        <v>Kiwi</v>
      </c>
      <c r="D535" s="1" t="str">
        <f t="shared" si="46"/>
        <v>Ibadan</v>
      </c>
      <c r="E535" s="3">
        <f t="shared" si="48"/>
        <v>6</v>
      </c>
      <c r="F535" s="1" t="str">
        <f t="shared" si="48"/>
        <v>Jun</v>
      </c>
      <c r="G535" s="11">
        <v>1750</v>
      </c>
      <c r="H535" s="11">
        <v>1050</v>
      </c>
      <c r="I535" s="4" t="str">
        <f>_xlfn.XLOOKUP(D535,'Sales Manager'!$A$2:$A$6,'Sales Manager'!$B$2:$B$6,"")</f>
        <v>Funmi Adeyemi</v>
      </c>
      <c r="J535" s="12">
        <v>5</v>
      </c>
      <c r="K535" s="12">
        <v>10</v>
      </c>
    </row>
    <row r="536" spans="1:11" x14ac:dyDescent="0.3">
      <c r="A536" s="2">
        <v>535</v>
      </c>
      <c r="B536" s="2">
        <f t="shared" si="45"/>
        <v>108</v>
      </c>
      <c r="C536" s="1" t="str">
        <f>VLOOKUP(B536,Products!A:C,2,FALSE)</f>
        <v>Kiwi</v>
      </c>
      <c r="D536" s="1" t="str">
        <f t="shared" si="46"/>
        <v>Ibadan</v>
      </c>
      <c r="E536" s="3">
        <f t="shared" si="48"/>
        <v>7</v>
      </c>
      <c r="F536" s="1" t="str">
        <f t="shared" si="48"/>
        <v>Jul</v>
      </c>
      <c r="G536" s="11">
        <v>1666.6666666666667</v>
      </c>
      <c r="H536" s="11">
        <v>966.66666666666674</v>
      </c>
      <c r="I536" s="4" t="str">
        <f>_xlfn.XLOOKUP(D536,'Sales Manager'!$A$2:$A$6,'Sales Manager'!$B$2:$B$6,"")</f>
        <v>Funmi Adeyemi</v>
      </c>
      <c r="J536" s="12">
        <v>10</v>
      </c>
      <c r="K536" s="12">
        <v>9</v>
      </c>
    </row>
    <row r="537" spans="1:11" x14ac:dyDescent="0.3">
      <c r="A537" s="2">
        <v>536</v>
      </c>
      <c r="B537" s="2">
        <f t="shared" si="45"/>
        <v>108</v>
      </c>
      <c r="C537" s="1" t="str">
        <f>VLOOKUP(B537,Products!A:C,2,FALSE)</f>
        <v>Kiwi</v>
      </c>
      <c r="D537" s="1" t="str">
        <f t="shared" si="46"/>
        <v>Ibadan</v>
      </c>
      <c r="E537" s="3">
        <f t="shared" si="48"/>
        <v>8</v>
      </c>
      <c r="F537" s="1" t="str">
        <f t="shared" si="48"/>
        <v>Aug</v>
      </c>
      <c r="G537" s="11">
        <v>400</v>
      </c>
      <c r="H537" s="11">
        <v>400</v>
      </c>
      <c r="I537" s="4" t="str">
        <f>_xlfn.XLOOKUP(D537,'Sales Manager'!$A$2:$A$6,'Sales Manager'!$B$2:$B$6,"")</f>
        <v>Funmi Adeyemi</v>
      </c>
      <c r="J537" s="12">
        <v>9</v>
      </c>
      <c r="K537" s="12">
        <v>9</v>
      </c>
    </row>
    <row r="538" spans="1:11" x14ac:dyDescent="0.3">
      <c r="A538" s="2">
        <v>537</v>
      </c>
      <c r="B538" s="2">
        <f t="shared" si="45"/>
        <v>108</v>
      </c>
      <c r="C538" s="1" t="str">
        <f>VLOOKUP(B538,Products!A:C,2,FALSE)</f>
        <v>Kiwi</v>
      </c>
      <c r="D538" s="1" t="str">
        <f t="shared" si="46"/>
        <v>Ibadan</v>
      </c>
      <c r="E538" s="3">
        <f t="shared" si="48"/>
        <v>9</v>
      </c>
      <c r="F538" s="1" t="str">
        <f t="shared" si="48"/>
        <v>Sept</v>
      </c>
      <c r="G538" s="11">
        <v>1666.6666666666667</v>
      </c>
      <c r="H538" s="11">
        <v>1366.6666666666667</v>
      </c>
      <c r="I538" s="4" t="str">
        <f>_xlfn.XLOOKUP(D538,'Sales Manager'!$A$2:$A$6,'Sales Manager'!$B$2:$B$6,"")</f>
        <v>Funmi Adeyemi</v>
      </c>
      <c r="J538" s="12">
        <v>8</v>
      </c>
      <c r="K538" s="12">
        <v>8</v>
      </c>
    </row>
    <row r="539" spans="1:11" x14ac:dyDescent="0.3">
      <c r="A539" s="2">
        <v>538</v>
      </c>
      <c r="B539" s="2">
        <f t="shared" si="45"/>
        <v>108</v>
      </c>
      <c r="C539" s="1" t="str">
        <f>VLOOKUP(B539,Products!A:C,2,FALSE)</f>
        <v>Kiwi</v>
      </c>
      <c r="D539" s="1" t="str">
        <f t="shared" si="46"/>
        <v>Ibadan</v>
      </c>
      <c r="E539" s="3">
        <f t="shared" si="48"/>
        <v>10</v>
      </c>
      <c r="F539" s="1" t="str">
        <f t="shared" si="48"/>
        <v>Oct</v>
      </c>
      <c r="G539" s="11">
        <v>1250</v>
      </c>
      <c r="H539" s="11">
        <v>850</v>
      </c>
      <c r="I539" s="4" t="str">
        <f>_xlfn.XLOOKUP(D539,'Sales Manager'!$A$2:$A$6,'Sales Manager'!$B$2:$B$6,"")</f>
        <v>Funmi Adeyemi</v>
      </c>
      <c r="J539" s="12">
        <v>7</v>
      </c>
      <c r="K539" s="12">
        <v>9</v>
      </c>
    </row>
    <row r="540" spans="1:11" x14ac:dyDescent="0.3">
      <c r="A540" s="2">
        <v>539</v>
      </c>
      <c r="B540" s="2">
        <f t="shared" si="45"/>
        <v>108</v>
      </c>
      <c r="C540" s="1" t="str">
        <f>VLOOKUP(B540,Products!A:C,2,FALSE)</f>
        <v>Kiwi</v>
      </c>
      <c r="D540" s="1" t="str">
        <f t="shared" si="46"/>
        <v>Ibadan</v>
      </c>
      <c r="E540" s="3">
        <f t="shared" si="48"/>
        <v>11</v>
      </c>
      <c r="F540" s="1" t="str">
        <f t="shared" si="48"/>
        <v>Nov</v>
      </c>
      <c r="G540" s="11">
        <v>800</v>
      </c>
      <c r="H540" s="11">
        <v>400</v>
      </c>
      <c r="I540" s="4" t="str">
        <f>_xlfn.XLOOKUP(D540,'Sales Manager'!$A$2:$A$6,'Sales Manager'!$B$2:$B$6,"")</f>
        <v>Funmi Adeyemi</v>
      </c>
      <c r="J540" s="12">
        <v>9</v>
      </c>
      <c r="K540" s="12">
        <v>5</v>
      </c>
    </row>
    <row r="541" spans="1:11" x14ac:dyDescent="0.3">
      <c r="A541" s="2">
        <v>540</v>
      </c>
      <c r="B541" s="2">
        <f t="shared" si="45"/>
        <v>108</v>
      </c>
      <c r="C541" s="1" t="str">
        <f>VLOOKUP(B541,Products!A:C,2,FALSE)</f>
        <v>Kiwi</v>
      </c>
      <c r="D541" s="1" t="str">
        <f t="shared" si="46"/>
        <v>Ibadan</v>
      </c>
      <c r="E541" s="3">
        <f t="shared" si="48"/>
        <v>12</v>
      </c>
      <c r="F541" s="1" t="str">
        <f t="shared" si="48"/>
        <v>Dec</v>
      </c>
      <c r="G541" s="11">
        <v>1000</v>
      </c>
      <c r="H541" s="11">
        <v>700</v>
      </c>
      <c r="I541" s="4" t="str">
        <f>_xlfn.XLOOKUP(D541,'Sales Manager'!$A$2:$A$6,'Sales Manager'!$B$2:$B$6,"")</f>
        <v>Funmi Adeyemi</v>
      </c>
      <c r="J541" s="12">
        <v>5</v>
      </c>
      <c r="K541" s="12">
        <v>7</v>
      </c>
    </row>
    <row r="542" spans="1:11" x14ac:dyDescent="0.3">
      <c r="A542" s="2">
        <v>541</v>
      </c>
      <c r="B542" s="2">
        <f t="shared" si="45"/>
        <v>109</v>
      </c>
      <c r="C542" s="1" t="str">
        <f>VLOOKUP(B542,Products!A:C,2,FALSE)</f>
        <v>Pawpaw</v>
      </c>
      <c r="D542" s="1" t="str">
        <f t="shared" si="46"/>
        <v>Lagos</v>
      </c>
      <c r="E542" s="3">
        <f t="shared" si="48"/>
        <v>1</v>
      </c>
      <c r="F542" s="1" t="str">
        <f t="shared" si="48"/>
        <v>Jan</v>
      </c>
      <c r="G542" s="11">
        <v>750</v>
      </c>
      <c r="H542" s="11">
        <v>250</v>
      </c>
      <c r="I542" s="4" t="str">
        <f>_xlfn.XLOOKUP(D542,'Sales Manager'!$A$2:$A$6,'Sales Manager'!$B$2:$B$6,"")</f>
        <v>Adaora Okafor</v>
      </c>
      <c r="J542" s="12">
        <v>7</v>
      </c>
      <c r="K542" s="12">
        <v>10</v>
      </c>
    </row>
    <row r="543" spans="1:11" x14ac:dyDescent="0.3">
      <c r="A543" s="2">
        <v>542</v>
      </c>
      <c r="B543" s="2">
        <f t="shared" si="45"/>
        <v>109</v>
      </c>
      <c r="C543" s="1" t="str">
        <f>VLOOKUP(B543,Products!A:C,2,FALSE)</f>
        <v>Pawpaw</v>
      </c>
      <c r="D543" s="1" t="str">
        <f t="shared" si="46"/>
        <v>Lagos</v>
      </c>
      <c r="E543" s="3">
        <f t="shared" ref="E543:F558" si="49">E531</f>
        <v>2</v>
      </c>
      <c r="F543" s="1" t="str">
        <f t="shared" si="49"/>
        <v>Feb</v>
      </c>
      <c r="G543" s="11">
        <v>750</v>
      </c>
      <c r="H543" s="11">
        <v>750</v>
      </c>
      <c r="I543" s="4" t="str">
        <f>_xlfn.XLOOKUP(D543,'Sales Manager'!$A$2:$A$6,'Sales Manager'!$B$2:$B$6,"")</f>
        <v>Adaora Okafor</v>
      </c>
      <c r="J543" s="12">
        <v>8</v>
      </c>
      <c r="K543" s="12">
        <v>7</v>
      </c>
    </row>
    <row r="544" spans="1:11" x14ac:dyDescent="0.3">
      <c r="A544" s="2">
        <v>543</v>
      </c>
      <c r="B544" s="2">
        <f t="shared" si="45"/>
        <v>109</v>
      </c>
      <c r="C544" s="1" t="str">
        <f>VLOOKUP(B544,Products!A:C,2,FALSE)</f>
        <v>Pawpaw</v>
      </c>
      <c r="D544" s="1" t="str">
        <f t="shared" si="46"/>
        <v>Lagos</v>
      </c>
      <c r="E544" s="3">
        <f t="shared" si="49"/>
        <v>3</v>
      </c>
      <c r="F544" s="1" t="str">
        <f t="shared" si="49"/>
        <v>Mar</v>
      </c>
      <c r="G544" s="11">
        <v>1000</v>
      </c>
      <c r="H544" s="11">
        <v>700</v>
      </c>
      <c r="I544" s="4" t="str">
        <f>_xlfn.XLOOKUP(D544,'Sales Manager'!$A$2:$A$6,'Sales Manager'!$B$2:$B$6,"")</f>
        <v>Adaora Okafor</v>
      </c>
      <c r="J544" s="12">
        <v>7</v>
      </c>
      <c r="K544" s="12">
        <v>5</v>
      </c>
    </row>
    <row r="545" spans="1:11" x14ac:dyDescent="0.3">
      <c r="A545" s="2">
        <v>544</v>
      </c>
      <c r="B545" s="2">
        <f t="shared" si="45"/>
        <v>109</v>
      </c>
      <c r="C545" s="1" t="str">
        <f>VLOOKUP(B545,Products!A:C,2,FALSE)</f>
        <v>Pawpaw</v>
      </c>
      <c r="D545" s="1" t="str">
        <f t="shared" si="46"/>
        <v>Lagos</v>
      </c>
      <c r="E545" s="3">
        <f t="shared" si="49"/>
        <v>4</v>
      </c>
      <c r="F545" s="1" t="str">
        <f t="shared" si="49"/>
        <v>Apr</v>
      </c>
      <c r="G545" s="11">
        <v>500</v>
      </c>
      <c r="H545" s="11">
        <v>400</v>
      </c>
      <c r="I545" s="4" t="str">
        <f>_xlfn.XLOOKUP(D545,'Sales Manager'!$A$2:$A$6,'Sales Manager'!$B$2:$B$6,"")</f>
        <v>Adaora Okafor</v>
      </c>
      <c r="J545" s="12">
        <v>5</v>
      </c>
      <c r="K545" s="12">
        <v>8</v>
      </c>
    </row>
    <row r="546" spans="1:11" x14ac:dyDescent="0.3">
      <c r="A546" s="2">
        <v>545</v>
      </c>
      <c r="B546" s="2">
        <f t="shared" si="45"/>
        <v>109</v>
      </c>
      <c r="C546" s="1" t="str">
        <f>VLOOKUP(B546,Products!A:C,2,FALSE)</f>
        <v>Pawpaw</v>
      </c>
      <c r="D546" s="1" t="str">
        <f t="shared" si="46"/>
        <v>Lagos</v>
      </c>
      <c r="E546" s="3">
        <f t="shared" si="49"/>
        <v>5</v>
      </c>
      <c r="F546" s="1" t="str">
        <f t="shared" si="49"/>
        <v>May</v>
      </c>
      <c r="G546" s="11">
        <v>1000</v>
      </c>
      <c r="H546" s="11">
        <v>600</v>
      </c>
      <c r="I546" s="4" t="str">
        <f>_xlfn.XLOOKUP(D546,'Sales Manager'!$A$2:$A$6,'Sales Manager'!$B$2:$B$6,"")</f>
        <v>Adaora Okafor</v>
      </c>
      <c r="J546" s="12">
        <v>5</v>
      </c>
      <c r="K546" s="12">
        <v>6</v>
      </c>
    </row>
    <row r="547" spans="1:11" x14ac:dyDescent="0.3">
      <c r="A547" s="2">
        <v>546</v>
      </c>
      <c r="B547" s="2">
        <f t="shared" si="45"/>
        <v>109</v>
      </c>
      <c r="C547" s="1" t="str">
        <f>VLOOKUP(B547,Products!A:C,2,FALSE)</f>
        <v>Pawpaw</v>
      </c>
      <c r="D547" s="1" t="str">
        <f t="shared" si="46"/>
        <v>Lagos</v>
      </c>
      <c r="E547" s="3">
        <f t="shared" si="49"/>
        <v>6</v>
      </c>
      <c r="F547" s="1" t="str">
        <f t="shared" si="49"/>
        <v>Jun</v>
      </c>
      <c r="G547" s="11">
        <v>1000</v>
      </c>
      <c r="H547" s="11">
        <v>700</v>
      </c>
      <c r="I547" s="4" t="str">
        <f>_xlfn.XLOOKUP(D547,'Sales Manager'!$A$2:$A$6,'Sales Manager'!$B$2:$B$6,"")</f>
        <v>Adaora Okafor</v>
      </c>
      <c r="J547" s="12">
        <v>5</v>
      </c>
      <c r="K547" s="12">
        <v>8</v>
      </c>
    </row>
    <row r="548" spans="1:11" x14ac:dyDescent="0.3">
      <c r="A548" s="2">
        <v>547</v>
      </c>
      <c r="B548" s="2">
        <f t="shared" si="45"/>
        <v>109</v>
      </c>
      <c r="C548" s="1" t="str">
        <f>VLOOKUP(B548,Products!A:C,2,FALSE)</f>
        <v>Pawpaw</v>
      </c>
      <c r="D548" s="1" t="str">
        <f t="shared" si="46"/>
        <v>Lagos</v>
      </c>
      <c r="E548" s="3">
        <f t="shared" si="49"/>
        <v>7</v>
      </c>
      <c r="F548" s="1" t="str">
        <f t="shared" si="49"/>
        <v>Jul</v>
      </c>
      <c r="G548" s="11">
        <v>250</v>
      </c>
      <c r="H548" s="11">
        <v>150</v>
      </c>
      <c r="I548" s="4" t="str">
        <f>_xlfn.XLOOKUP(D548,'Sales Manager'!$A$2:$A$6,'Sales Manager'!$B$2:$B$6,"")</f>
        <v>Adaora Okafor</v>
      </c>
      <c r="J548" s="12">
        <v>6</v>
      </c>
      <c r="K548" s="12">
        <v>8</v>
      </c>
    </row>
    <row r="549" spans="1:11" x14ac:dyDescent="0.3">
      <c r="A549" s="2">
        <v>548</v>
      </c>
      <c r="B549" s="2">
        <f t="shared" si="45"/>
        <v>109</v>
      </c>
      <c r="C549" s="1" t="str">
        <f>VLOOKUP(B549,Products!A:C,2,FALSE)</f>
        <v>Pawpaw</v>
      </c>
      <c r="D549" s="1" t="str">
        <f t="shared" si="46"/>
        <v>Lagos</v>
      </c>
      <c r="E549" s="3">
        <f t="shared" si="49"/>
        <v>8</v>
      </c>
      <c r="F549" s="1" t="str">
        <f t="shared" si="49"/>
        <v>Aug</v>
      </c>
      <c r="G549" s="11">
        <v>500</v>
      </c>
      <c r="H549" s="11">
        <v>100</v>
      </c>
      <c r="I549" s="4" t="str">
        <f>_xlfn.XLOOKUP(D549,'Sales Manager'!$A$2:$A$6,'Sales Manager'!$B$2:$B$6,"")</f>
        <v>Adaora Okafor</v>
      </c>
      <c r="J549" s="12">
        <v>5</v>
      </c>
      <c r="K549" s="12">
        <v>7</v>
      </c>
    </row>
    <row r="550" spans="1:11" x14ac:dyDescent="0.3">
      <c r="A550" s="2">
        <v>549</v>
      </c>
      <c r="B550" s="2">
        <f t="shared" si="45"/>
        <v>109</v>
      </c>
      <c r="C550" s="1" t="str">
        <f>VLOOKUP(B550,Products!A:C,2,FALSE)</f>
        <v>Pawpaw</v>
      </c>
      <c r="D550" s="1" t="str">
        <f t="shared" si="46"/>
        <v>Lagos</v>
      </c>
      <c r="E550" s="3">
        <f t="shared" si="49"/>
        <v>9</v>
      </c>
      <c r="F550" s="1" t="str">
        <f t="shared" si="49"/>
        <v>Sept</v>
      </c>
      <c r="G550" s="11">
        <v>250</v>
      </c>
      <c r="H550" s="11">
        <v>350</v>
      </c>
      <c r="I550" s="4" t="str">
        <f>_xlfn.XLOOKUP(D550,'Sales Manager'!$A$2:$A$6,'Sales Manager'!$B$2:$B$6,"")</f>
        <v>Adaora Okafor</v>
      </c>
      <c r="J550" s="12">
        <v>6</v>
      </c>
      <c r="K550" s="12">
        <v>5</v>
      </c>
    </row>
    <row r="551" spans="1:11" x14ac:dyDescent="0.3">
      <c r="A551" s="2">
        <v>550</v>
      </c>
      <c r="B551" s="2">
        <f t="shared" si="45"/>
        <v>109</v>
      </c>
      <c r="C551" s="1" t="str">
        <f>VLOOKUP(B551,Products!A:C,2,FALSE)</f>
        <v>Pawpaw</v>
      </c>
      <c r="D551" s="1" t="str">
        <f t="shared" si="46"/>
        <v>Lagos</v>
      </c>
      <c r="E551" s="3">
        <f t="shared" si="49"/>
        <v>10</v>
      </c>
      <c r="F551" s="1" t="str">
        <f t="shared" si="49"/>
        <v>Oct</v>
      </c>
      <c r="G551" s="11">
        <v>3500</v>
      </c>
      <c r="H551" s="11">
        <v>3400</v>
      </c>
      <c r="I551" s="4" t="str">
        <f>_xlfn.XLOOKUP(D551,'Sales Manager'!$A$2:$A$6,'Sales Manager'!$B$2:$B$6,"")</f>
        <v>Adaora Okafor</v>
      </c>
      <c r="J551" s="12">
        <v>5</v>
      </c>
      <c r="K551" s="12">
        <v>7</v>
      </c>
    </row>
    <row r="552" spans="1:11" x14ac:dyDescent="0.3">
      <c r="A552" s="2">
        <v>551</v>
      </c>
      <c r="B552" s="2">
        <f t="shared" si="45"/>
        <v>109</v>
      </c>
      <c r="C552" s="1" t="str">
        <f>VLOOKUP(B552,Products!A:C,2,FALSE)</f>
        <v>Pawpaw</v>
      </c>
      <c r="D552" s="1" t="str">
        <f t="shared" si="46"/>
        <v>Lagos</v>
      </c>
      <c r="E552" s="3">
        <f t="shared" si="49"/>
        <v>11</v>
      </c>
      <c r="F552" s="1" t="str">
        <f t="shared" si="49"/>
        <v>Nov</v>
      </c>
      <c r="G552" s="11">
        <v>333.33333333333331</v>
      </c>
      <c r="H552" s="11">
        <v>166.66666666666669</v>
      </c>
      <c r="I552" s="4" t="str">
        <f>_xlfn.XLOOKUP(D552,'Sales Manager'!$A$2:$A$6,'Sales Manager'!$B$2:$B$6,"")</f>
        <v>Adaora Okafor</v>
      </c>
      <c r="J552" s="12">
        <v>6</v>
      </c>
      <c r="K552" s="12">
        <v>5</v>
      </c>
    </row>
    <row r="553" spans="1:11" x14ac:dyDescent="0.3">
      <c r="A553" s="2">
        <v>552</v>
      </c>
      <c r="B553" s="2">
        <f t="shared" si="45"/>
        <v>109</v>
      </c>
      <c r="C553" s="1" t="str">
        <f>VLOOKUP(B553,Products!A:C,2,FALSE)</f>
        <v>Pawpaw</v>
      </c>
      <c r="D553" s="1" t="str">
        <f t="shared" si="46"/>
        <v>Lagos</v>
      </c>
      <c r="E553" s="3">
        <f t="shared" si="49"/>
        <v>12</v>
      </c>
      <c r="F553" s="1" t="str">
        <f t="shared" si="49"/>
        <v>Dec</v>
      </c>
      <c r="G553" s="11">
        <v>2000</v>
      </c>
      <c r="H553" s="11">
        <v>1800</v>
      </c>
      <c r="I553" s="4" t="str">
        <f>_xlfn.XLOOKUP(D553,'Sales Manager'!$A$2:$A$6,'Sales Manager'!$B$2:$B$6,"")</f>
        <v>Adaora Okafor</v>
      </c>
      <c r="J553" s="12">
        <v>9</v>
      </c>
      <c r="K553" s="12">
        <v>9</v>
      </c>
    </row>
    <row r="554" spans="1:11" x14ac:dyDescent="0.3">
      <c r="A554" s="2">
        <v>553</v>
      </c>
      <c r="B554" s="2">
        <f t="shared" si="45"/>
        <v>109</v>
      </c>
      <c r="C554" s="1" t="str">
        <f>VLOOKUP(B554,Products!A:C,2,FALSE)</f>
        <v>Pawpaw</v>
      </c>
      <c r="D554" s="1" t="str">
        <f t="shared" si="46"/>
        <v>Abuja</v>
      </c>
      <c r="E554" s="3">
        <f t="shared" si="49"/>
        <v>1</v>
      </c>
      <c r="F554" s="1" t="str">
        <f t="shared" si="49"/>
        <v>Jan</v>
      </c>
      <c r="G554" s="11">
        <v>400</v>
      </c>
      <c r="H554" s="11">
        <v>200</v>
      </c>
      <c r="I554" s="4" t="str">
        <f>_xlfn.XLOOKUP(D554,'Sales Manager'!$A$2:$A$6,'Sales Manager'!$B$2:$B$6,"")</f>
        <v>Emeka Nwosu</v>
      </c>
      <c r="J554" s="12">
        <v>10</v>
      </c>
      <c r="K554" s="12">
        <v>6</v>
      </c>
    </row>
    <row r="555" spans="1:11" x14ac:dyDescent="0.3">
      <c r="A555" s="2">
        <v>554</v>
      </c>
      <c r="B555" s="2">
        <f t="shared" si="45"/>
        <v>109</v>
      </c>
      <c r="C555" s="1" t="str">
        <f>VLOOKUP(B555,Products!A:C,2,FALSE)</f>
        <v>Pawpaw</v>
      </c>
      <c r="D555" s="1" t="str">
        <f t="shared" si="46"/>
        <v>Abuja</v>
      </c>
      <c r="E555" s="3">
        <f t="shared" si="49"/>
        <v>2</v>
      </c>
      <c r="F555" s="1" t="str">
        <f t="shared" si="49"/>
        <v>Feb</v>
      </c>
      <c r="G555" s="11">
        <v>4000</v>
      </c>
      <c r="H555" s="11">
        <v>3800</v>
      </c>
      <c r="I555" s="4" t="str">
        <f>_xlfn.XLOOKUP(D555,'Sales Manager'!$A$2:$A$6,'Sales Manager'!$B$2:$B$6,"")</f>
        <v>Emeka Nwosu</v>
      </c>
      <c r="J555" s="12">
        <v>10</v>
      </c>
      <c r="K555" s="12">
        <v>5</v>
      </c>
    </row>
    <row r="556" spans="1:11" x14ac:dyDescent="0.3">
      <c r="A556" s="2">
        <v>555</v>
      </c>
      <c r="B556" s="2">
        <f t="shared" si="45"/>
        <v>109</v>
      </c>
      <c r="C556" s="1" t="str">
        <f>VLOOKUP(B556,Products!A:C,2,FALSE)</f>
        <v>Pawpaw</v>
      </c>
      <c r="D556" s="1" t="str">
        <f t="shared" si="46"/>
        <v>Abuja</v>
      </c>
      <c r="E556" s="3">
        <f t="shared" si="49"/>
        <v>3</v>
      </c>
      <c r="F556" s="1" t="str">
        <f t="shared" si="49"/>
        <v>Mar</v>
      </c>
      <c r="G556" s="11">
        <v>4500</v>
      </c>
      <c r="H556" s="11">
        <v>3800</v>
      </c>
      <c r="I556" s="4" t="str">
        <f>_xlfn.XLOOKUP(D556,'Sales Manager'!$A$2:$A$6,'Sales Manager'!$B$2:$B$6,"")</f>
        <v>Emeka Nwosu</v>
      </c>
      <c r="J556" s="12">
        <v>10</v>
      </c>
      <c r="K556" s="12">
        <v>10</v>
      </c>
    </row>
    <row r="557" spans="1:11" x14ac:dyDescent="0.3">
      <c r="A557" s="2">
        <v>556</v>
      </c>
      <c r="B557" s="2">
        <f t="shared" si="45"/>
        <v>109</v>
      </c>
      <c r="C557" s="1" t="str">
        <f>VLOOKUP(B557,Products!A:C,2,FALSE)</f>
        <v>Pawpaw</v>
      </c>
      <c r="D557" s="1" t="str">
        <f t="shared" si="46"/>
        <v>Abuja</v>
      </c>
      <c r="E557" s="3">
        <f t="shared" si="49"/>
        <v>4</v>
      </c>
      <c r="F557" s="1" t="str">
        <f t="shared" si="49"/>
        <v>Apr</v>
      </c>
      <c r="G557" s="11">
        <v>1800</v>
      </c>
      <c r="H557" s="11">
        <v>1700</v>
      </c>
      <c r="I557" s="4" t="str">
        <f>_xlfn.XLOOKUP(D557,'Sales Manager'!$A$2:$A$6,'Sales Manager'!$B$2:$B$6,"")</f>
        <v>Emeka Nwosu</v>
      </c>
      <c r="J557" s="12">
        <v>8</v>
      </c>
      <c r="K557" s="12">
        <v>8</v>
      </c>
    </row>
    <row r="558" spans="1:11" x14ac:dyDescent="0.3">
      <c r="A558" s="2">
        <v>557</v>
      </c>
      <c r="B558" s="2">
        <f t="shared" si="45"/>
        <v>109</v>
      </c>
      <c r="C558" s="1" t="str">
        <f>VLOOKUP(B558,Products!A:C,2,FALSE)</f>
        <v>Pawpaw</v>
      </c>
      <c r="D558" s="1" t="str">
        <f t="shared" si="46"/>
        <v>Abuja</v>
      </c>
      <c r="E558" s="3">
        <f t="shared" si="49"/>
        <v>5</v>
      </c>
      <c r="F558" s="1" t="str">
        <f t="shared" si="49"/>
        <v>May</v>
      </c>
      <c r="G558" s="11">
        <v>800</v>
      </c>
      <c r="H558" s="11">
        <v>500</v>
      </c>
      <c r="I558" s="4" t="str">
        <f>_xlfn.XLOOKUP(D558,'Sales Manager'!$A$2:$A$6,'Sales Manager'!$B$2:$B$6,"")</f>
        <v>Emeka Nwosu</v>
      </c>
      <c r="J558" s="12">
        <v>6</v>
      </c>
      <c r="K558" s="12">
        <v>5</v>
      </c>
    </row>
    <row r="559" spans="1:11" x14ac:dyDescent="0.3">
      <c r="A559" s="2">
        <v>558</v>
      </c>
      <c r="B559" s="2">
        <f t="shared" si="45"/>
        <v>109</v>
      </c>
      <c r="C559" s="1" t="str">
        <f>VLOOKUP(B559,Products!A:C,2,FALSE)</f>
        <v>Pawpaw</v>
      </c>
      <c r="D559" s="1" t="str">
        <f t="shared" si="46"/>
        <v>Abuja</v>
      </c>
      <c r="E559" s="3">
        <f t="shared" ref="E559:F574" si="50">E547</f>
        <v>6</v>
      </c>
      <c r="F559" s="1" t="str">
        <f t="shared" si="50"/>
        <v>Jun</v>
      </c>
      <c r="G559" s="11">
        <v>2333.3333333333335</v>
      </c>
      <c r="H559" s="11">
        <v>2033.3333333333335</v>
      </c>
      <c r="I559" s="4" t="str">
        <f>_xlfn.XLOOKUP(D559,'Sales Manager'!$A$2:$A$6,'Sales Manager'!$B$2:$B$6,"")</f>
        <v>Emeka Nwosu</v>
      </c>
      <c r="J559" s="12">
        <v>7</v>
      </c>
      <c r="K559" s="12">
        <v>10</v>
      </c>
    </row>
    <row r="560" spans="1:11" x14ac:dyDescent="0.3">
      <c r="A560" s="2">
        <v>559</v>
      </c>
      <c r="B560" s="2">
        <f t="shared" si="45"/>
        <v>109</v>
      </c>
      <c r="C560" s="1" t="str">
        <f>VLOOKUP(B560,Products!A:C,2,FALSE)</f>
        <v>Pawpaw</v>
      </c>
      <c r="D560" s="1" t="str">
        <f t="shared" si="46"/>
        <v>Abuja</v>
      </c>
      <c r="E560" s="3">
        <f t="shared" si="50"/>
        <v>7</v>
      </c>
      <c r="F560" s="1" t="str">
        <f t="shared" si="50"/>
        <v>Jul</v>
      </c>
      <c r="G560" s="11">
        <v>1000</v>
      </c>
      <c r="H560" s="11">
        <v>500</v>
      </c>
      <c r="I560" s="4" t="str">
        <f>_xlfn.XLOOKUP(D560,'Sales Manager'!$A$2:$A$6,'Sales Manager'!$B$2:$B$6,"")</f>
        <v>Emeka Nwosu</v>
      </c>
      <c r="J560" s="12">
        <v>7</v>
      </c>
      <c r="K560" s="12">
        <v>6</v>
      </c>
    </row>
    <row r="561" spans="1:11" x14ac:dyDescent="0.3">
      <c r="A561" s="2">
        <v>560</v>
      </c>
      <c r="B561" s="2">
        <f t="shared" si="45"/>
        <v>109</v>
      </c>
      <c r="C561" s="1" t="str">
        <f>VLOOKUP(B561,Products!A:C,2,FALSE)</f>
        <v>Pawpaw</v>
      </c>
      <c r="D561" s="1" t="str">
        <f t="shared" si="46"/>
        <v>Abuja</v>
      </c>
      <c r="E561" s="3">
        <f t="shared" si="50"/>
        <v>8</v>
      </c>
      <c r="F561" s="1" t="str">
        <f t="shared" si="50"/>
        <v>Aug</v>
      </c>
      <c r="G561" s="11">
        <v>1750</v>
      </c>
      <c r="H561" s="11">
        <v>1750</v>
      </c>
      <c r="I561" s="4" t="str">
        <f>_xlfn.XLOOKUP(D561,'Sales Manager'!$A$2:$A$6,'Sales Manager'!$B$2:$B$6,"")</f>
        <v>Emeka Nwosu</v>
      </c>
      <c r="J561" s="12">
        <v>10</v>
      </c>
      <c r="K561" s="12">
        <v>6</v>
      </c>
    </row>
    <row r="562" spans="1:11" x14ac:dyDescent="0.3">
      <c r="A562" s="2">
        <v>561</v>
      </c>
      <c r="B562" s="2">
        <f t="shared" si="45"/>
        <v>109</v>
      </c>
      <c r="C562" s="1" t="str">
        <f>VLOOKUP(B562,Products!A:C,2,FALSE)</f>
        <v>Pawpaw</v>
      </c>
      <c r="D562" s="1" t="str">
        <f t="shared" si="46"/>
        <v>Abuja</v>
      </c>
      <c r="E562" s="3">
        <f t="shared" si="50"/>
        <v>9</v>
      </c>
      <c r="F562" s="1" t="str">
        <f t="shared" si="50"/>
        <v>Sept</v>
      </c>
      <c r="G562" s="11">
        <v>750</v>
      </c>
      <c r="H562" s="11">
        <v>250</v>
      </c>
      <c r="I562" s="4" t="str">
        <f>_xlfn.XLOOKUP(D562,'Sales Manager'!$A$2:$A$6,'Sales Manager'!$B$2:$B$6,"")</f>
        <v>Emeka Nwosu</v>
      </c>
      <c r="J562" s="12">
        <v>6</v>
      </c>
      <c r="K562" s="12">
        <v>6</v>
      </c>
    </row>
    <row r="563" spans="1:11" x14ac:dyDescent="0.3">
      <c r="A563" s="2">
        <v>562</v>
      </c>
      <c r="B563" s="2">
        <f t="shared" si="45"/>
        <v>109</v>
      </c>
      <c r="C563" s="1" t="str">
        <f>VLOOKUP(B563,Products!A:C,2,FALSE)</f>
        <v>Pawpaw</v>
      </c>
      <c r="D563" s="1" t="str">
        <f t="shared" si="46"/>
        <v>Abuja</v>
      </c>
      <c r="E563" s="3">
        <f t="shared" si="50"/>
        <v>10</v>
      </c>
      <c r="F563" s="1" t="str">
        <f t="shared" si="50"/>
        <v>Oct</v>
      </c>
      <c r="G563" s="11">
        <v>1000</v>
      </c>
      <c r="H563" s="11">
        <v>700</v>
      </c>
      <c r="I563" s="4" t="str">
        <f>_xlfn.XLOOKUP(D563,'Sales Manager'!$A$2:$A$6,'Sales Manager'!$B$2:$B$6,"")</f>
        <v>Emeka Nwosu</v>
      </c>
      <c r="J563" s="12">
        <v>8</v>
      </c>
      <c r="K563" s="12">
        <v>8</v>
      </c>
    </row>
    <row r="564" spans="1:11" x14ac:dyDescent="0.3">
      <c r="A564" s="2">
        <v>563</v>
      </c>
      <c r="B564" s="2">
        <f t="shared" si="45"/>
        <v>109</v>
      </c>
      <c r="C564" s="1" t="str">
        <f>VLOOKUP(B564,Products!A:C,2,FALSE)</f>
        <v>Pawpaw</v>
      </c>
      <c r="D564" s="1" t="str">
        <f t="shared" si="46"/>
        <v>Abuja</v>
      </c>
      <c r="E564" s="3">
        <f t="shared" si="50"/>
        <v>11</v>
      </c>
      <c r="F564" s="1" t="str">
        <f t="shared" si="50"/>
        <v>Nov</v>
      </c>
      <c r="G564" s="11">
        <v>1000</v>
      </c>
      <c r="H564" s="11">
        <v>800</v>
      </c>
      <c r="I564" s="4" t="str">
        <f>_xlfn.XLOOKUP(D564,'Sales Manager'!$A$2:$A$6,'Sales Manager'!$B$2:$B$6,"")</f>
        <v>Emeka Nwosu</v>
      </c>
      <c r="J564" s="12">
        <v>5</v>
      </c>
      <c r="K564" s="12">
        <v>5</v>
      </c>
    </row>
    <row r="565" spans="1:11" x14ac:dyDescent="0.3">
      <c r="A565" s="2">
        <v>564</v>
      </c>
      <c r="B565" s="2">
        <f t="shared" si="45"/>
        <v>109</v>
      </c>
      <c r="C565" s="1" t="str">
        <f>VLOOKUP(B565,Products!A:C,2,FALSE)</f>
        <v>Pawpaw</v>
      </c>
      <c r="D565" s="1" t="str">
        <f t="shared" si="46"/>
        <v>Abuja</v>
      </c>
      <c r="E565" s="3">
        <f t="shared" si="50"/>
        <v>12</v>
      </c>
      <c r="F565" s="1" t="str">
        <f t="shared" si="50"/>
        <v>Dec</v>
      </c>
      <c r="G565" s="11">
        <v>500</v>
      </c>
      <c r="H565" s="11">
        <v>400</v>
      </c>
      <c r="I565" s="4" t="str">
        <f>_xlfn.XLOOKUP(D565,'Sales Manager'!$A$2:$A$6,'Sales Manager'!$B$2:$B$6,"")</f>
        <v>Emeka Nwosu</v>
      </c>
      <c r="J565" s="12">
        <v>6</v>
      </c>
      <c r="K565" s="12">
        <v>5</v>
      </c>
    </row>
    <row r="566" spans="1:11" x14ac:dyDescent="0.3">
      <c r="A566" s="2">
        <v>565</v>
      </c>
      <c r="B566" s="2">
        <f t="shared" si="45"/>
        <v>109</v>
      </c>
      <c r="C566" s="1" t="str">
        <f>VLOOKUP(B566,Products!A:C,2,FALSE)</f>
        <v>Pawpaw</v>
      </c>
      <c r="D566" s="1" t="str">
        <f t="shared" si="46"/>
        <v>Warri</v>
      </c>
      <c r="E566" s="3">
        <f t="shared" si="50"/>
        <v>1</v>
      </c>
      <c r="F566" s="1" t="str">
        <f t="shared" si="50"/>
        <v>Jan</v>
      </c>
      <c r="G566" s="11">
        <v>1000</v>
      </c>
      <c r="H566" s="11">
        <v>600</v>
      </c>
      <c r="I566" s="4" t="str">
        <f>_xlfn.XLOOKUP(D566,'Sales Manager'!$A$2:$A$6,'Sales Manager'!$B$2:$B$6,"")</f>
        <v>Gbenga Adesanya</v>
      </c>
      <c r="J566" s="12">
        <v>7</v>
      </c>
      <c r="K566" s="12">
        <v>5</v>
      </c>
    </row>
    <row r="567" spans="1:11" x14ac:dyDescent="0.3">
      <c r="A567" s="2">
        <v>566</v>
      </c>
      <c r="B567" s="2">
        <f t="shared" si="45"/>
        <v>109</v>
      </c>
      <c r="C567" s="1" t="str">
        <f>VLOOKUP(B567,Products!A:C,2,FALSE)</f>
        <v>Pawpaw</v>
      </c>
      <c r="D567" s="1" t="str">
        <f t="shared" si="46"/>
        <v>Warri</v>
      </c>
      <c r="E567" s="3">
        <f t="shared" si="50"/>
        <v>2</v>
      </c>
      <c r="F567" s="1" t="str">
        <f t="shared" si="50"/>
        <v>Feb</v>
      </c>
      <c r="G567" s="11">
        <v>1500</v>
      </c>
      <c r="H567" s="11">
        <v>1400</v>
      </c>
      <c r="I567" s="4" t="str">
        <f>_xlfn.XLOOKUP(D567,'Sales Manager'!$A$2:$A$6,'Sales Manager'!$B$2:$B$6,"")</f>
        <v>Gbenga Adesanya</v>
      </c>
      <c r="J567" s="12">
        <v>10</v>
      </c>
      <c r="K567" s="12">
        <v>9</v>
      </c>
    </row>
    <row r="568" spans="1:11" x14ac:dyDescent="0.3">
      <c r="A568" s="2">
        <v>567</v>
      </c>
      <c r="B568" s="2">
        <f t="shared" si="45"/>
        <v>109</v>
      </c>
      <c r="C568" s="1" t="str">
        <f>VLOOKUP(B568,Products!A:C,2,FALSE)</f>
        <v>Pawpaw</v>
      </c>
      <c r="D568" s="1" t="str">
        <f t="shared" si="46"/>
        <v>Warri</v>
      </c>
      <c r="E568" s="3">
        <f t="shared" si="50"/>
        <v>3</v>
      </c>
      <c r="F568" s="1" t="str">
        <f t="shared" si="50"/>
        <v>Mar</v>
      </c>
      <c r="G568" s="11">
        <v>666.66666666666663</v>
      </c>
      <c r="H568" s="11">
        <v>466.66666666666663</v>
      </c>
      <c r="I568" s="4" t="str">
        <f>_xlfn.XLOOKUP(D568,'Sales Manager'!$A$2:$A$6,'Sales Manager'!$B$2:$B$6,"")</f>
        <v>Gbenga Adesanya</v>
      </c>
      <c r="J568" s="12">
        <v>6</v>
      </c>
      <c r="K568" s="12">
        <v>9</v>
      </c>
    </row>
    <row r="569" spans="1:11" x14ac:dyDescent="0.3">
      <c r="A569" s="2">
        <v>568</v>
      </c>
      <c r="B569" s="2">
        <f t="shared" si="45"/>
        <v>109</v>
      </c>
      <c r="C569" s="1" t="str">
        <f>VLOOKUP(B569,Products!A:C,2,FALSE)</f>
        <v>Pawpaw</v>
      </c>
      <c r="D569" s="1" t="str">
        <f t="shared" si="46"/>
        <v>Warri</v>
      </c>
      <c r="E569" s="3">
        <f t="shared" si="50"/>
        <v>4</v>
      </c>
      <c r="F569" s="1" t="str">
        <f t="shared" si="50"/>
        <v>Apr</v>
      </c>
      <c r="G569" s="11">
        <v>500</v>
      </c>
      <c r="H569" s="11">
        <v>200</v>
      </c>
      <c r="I569" s="4" t="str">
        <f>_xlfn.XLOOKUP(D569,'Sales Manager'!$A$2:$A$6,'Sales Manager'!$B$2:$B$6,"")</f>
        <v>Gbenga Adesanya</v>
      </c>
      <c r="J569" s="12">
        <v>5</v>
      </c>
      <c r="K569" s="12">
        <v>6</v>
      </c>
    </row>
    <row r="570" spans="1:11" x14ac:dyDescent="0.3">
      <c r="A570" s="2">
        <v>569</v>
      </c>
      <c r="B570" s="2">
        <f t="shared" si="45"/>
        <v>109</v>
      </c>
      <c r="C570" s="1" t="str">
        <f>VLOOKUP(B570,Products!A:C,2,FALSE)</f>
        <v>Pawpaw</v>
      </c>
      <c r="D570" s="1" t="str">
        <f t="shared" si="46"/>
        <v>Warri</v>
      </c>
      <c r="E570" s="3">
        <f t="shared" si="50"/>
        <v>5</v>
      </c>
      <c r="F570" s="1" t="str">
        <f t="shared" si="50"/>
        <v>May</v>
      </c>
      <c r="G570" s="11">
        <v>1500</v>
      </c>
      <c r="H570" s="11">
        <v>1200</v>
      </c>
      <c r="I570" s="4" t="str">
        <f>_xlfn.XLOOKUP(D570,'Sales Manager'!$A$2:$A$6,'Sales Manager'!$B$2:$B$6,"")</f>
        <v>Gbenga Adesanya</v>
      </c>
      <c r="J570" s="12">
        <v>10</v>
      </c>
      <c r="K570" s="12">
        <v>5</v>
      </c>
    </row>
    <row r="571" spans="1:11" x14ac:dyDescent="0.3">
      <c r="A571" s="2">
        <v>570</v>
      </c>
      <c r="B571" s="2">
        <f t="shared" si="45"/>
        <v>109</v>
      </c>
      <c r="C571" s="1" t="str">
        <f>VLOOKUP(B571,Products!A:C,2,FALSE)</f>
        <v>Pawpaw</v>
      </c>
      <c r="D571" s="1" t="str">
        <f t="shared" si="46"/>
        <v>Warri</v>
      </c>
      <c r="E571" s="3">
        <f t="shared" si="50"/>
        <v>6</v>
      </c>
      <c r="F571" s="1" t="str">
        <f t="shared" si="50"/>
        <v>Jun</v>
      </c>
      <c r="G571" s="11">
        <v>250</v>
      </c>
      <c r="H571" s="11">
        <v>450</v>
      </c>
      <c r="I571" s="4" t="str">
        <f>_xlfn.XLOOKUP(D571,'Sales Manager'!$A$2:$A$6,'Sales Manager'!$B$2:$B$6,"")</f>
        <v>Gbenga Adesanya</v>
      </c>
      <c r="J571" s="12">
        <v>8</v>
      </c>
      <c r="K571" s="12">
        <v>6</v>
      </c>
    </row>
    <row r="572" spans="1:11" x14ac:dyDescent="0.3">
      <c r="A572" s="2">
        <v>571</v>
      </c>
      <c r="B572" s="2">
        <f t="shared" si="45"/>
        <v>109</v>
      </c>
      <c r="C572" s="1" t="str">
        <f>VLOOKUP(B572,Products!A:C,2,FALSE)</f>
        <v>Pawpaw</v>
      </c>
      <c r="D572" s="1" t="str">
        <f t="shared" si="46"/>
        <v>Warri</v>
      </c>
      <c r="E572" s="3">
        <f t="shared" si="50"/>
        <v>7</v>
      </c>
      <c r="F572" s="1" t="str">
        <f t="shared" si="50"/>
        <v>Jul</v>
      </c>
      <c r="G572" s="11">
        <v>1750</v>
      </c>
      <c r="H572" s="11">
        <v>1450</v>
      </c>
      <c r="I572" s="4" t="str">
        <f>_xlfn.XLOOKUP(D572,'Sales Manager'!$A$2:$A$6,'Sales Manager'!$B$2:$B$6,"")</f>
        <v>Gbenga Adesanya</v>
      </c>
      <c r="J572" s="12">
        <v>9</v>
      </c>
      <c r="K572" s="12">
        <v>9</v>
      </c>
    </row>
    <row r="573" spans="1:11" x14ac:dyDescent="0.3">
      <c r="A573" s="2">
        <v>572</v>
      </c>
      <c r="B573" s="2">
        <f t="shared" si="45"/>
        <v>109</v>
      </c>
      <c r="C573" s="1" t="str">
        <f>VLOOKUP(B573,Products!A:C,2,FALSE)</f>
        <v>Pawpaw</v>
      </c>
      <c r="D573" s="1" t="str">
        <f t="shared" si="46"/>
        <v>Warri</v>
      </c>
      <c r="E573" s="3">
        <f t="shared" si="50"/>
        <v>8</v>
      </c>
      <c r="F573" s="1" t="str">
        <f t="shared" si="50"/>
        <v>Aug</v>
      </c>
      <c r="G573" s="11">
        <v>1600</v>
      </c>
      <c r="H573" s="11">
        <v>1000</v>
      </c>
      <c r="I573" s="4" t="str">
        <f>_xlfn.XLOOKUP(D573,'Sales Manager'!$A$2:$A$6,'Sales Manager'!$B$2:$B$6,"")</f>
        <v>Gbenga Adesanya</v>
      </c>
      <c r="J573" s="12">
        <v>8</v>
      </c>
      <c r="K573" s="12">
        <v>7</v>
      </c>
    </row>
    <row r="574" spans="1:11" x14ac:dyDescent="0.3">
      <c r="A574" s="2">
        <v>573</v>
      </c>
      <c r="B574" s="2">
        <f t="shared" si="45"/>
        <v>109</v>
      </c>
      <c r="C574" s="1" t="str">
        <f>VLOOKUP(B574,Products!A:C,2,FALSE)</f>
        <v>Pawpaw</v>
      </c>
      <c r="D574" s="1" t="str">
        <f t="shared" si="46"/>
        <v>Warri</v>
      </c>
      <c r="E574" s="3">
        <f t="shared" si="50"/>
        <v>9</v>
      </c>
      <c r="F574" s="1" t="str">
        <f t="shared" si="50"/>
        <v>Sept</v>
      </c>
      <c r="G574" s="11">
        <v>250</v>
      </c>
      <c r="H574" s="11">
        <v>150</v>
      </c>
      <c r="I574" s="4" t="str">
        <f>_xlfn.XLOOKUP(D574,'Sales Manager'!$A$2:$A$6,'Sales Manager'!$B$2:$B$6,"")</f>
        <v>Gbenga Adesanya</v>
      </c>
      <c r="J574" s="12">
        <v>10</v>
      </c>
      <c r="K574" s="12">
        <v>8</v>
      </c>
    </row>
    <row r="575" spans="1:11" x14ac:dyDescent="0.3">
      <c r="A575" s="2">
        <v>574</v>
      </c>
      <c r="B575" s="2">
        <f t="shared" ref="B575:B601" si="51">B515+1</f>
        <v>109</v>
      </c>
      <c r="C575" s="1" t="str">
        <f>VLOOKUP(B575,Products!A:C,2,FALSE)</f>
        <v>Pawpaw</v>
      </c>
      <c r="D575" s="1" t="str">
        <f t="shared" ref="D575:D601" si="52">D515</f>
        <v>Warri</v>
      </c>
      <c r="E575" s="3">
        <f t="shared" ref="E575:F590" si="53">E563</f>
        <v>10</v>
      </c>
      <c r="F575" s="1" t="str">
        <f t="shared" si="53"/>
        <v>Oct</v>
      </c>
      <c r="G575" s="11">
        <v>1666.6666666666667</v>
      </c>
      <c r="H575" s="11">
        <v>966.66666666666674</v>
      </c>
      <c r="I575" s="4" t="str">
        <f>_xlfn.XLOOKUP(D575,'Sales Manager'!$A$2:$A$6,'Sales Manager'!$B$2:$B$6,"")</f>
        <v>Gbenga Adesanya</v>
      </c>
      <c r="J575" s="12">
        <v>10</v>
      </c>
      <c r="K575" s="12">
        <v>10</v>
      </c>
    </row>
    <row r="576" spans="1:11" x14ac:dyDescent="0.3">
      <c r="A576" s="2">
        <v>575</v>
      </c>
      <c r="B576" s="2">
        <f t="shared" si="51"/>
        <v>109</v>
      </c>
      <c r="C576" s="1" t="str">
        <f>VLOOKUP(B576,Products!A:C,2,FALSE)</f>
        <v>Pawpaw</v>
      </c>
      <c r="D576" s="1" t="str">
        <f t="shared" si="52"/>
        <v>Warri</v>
      </c>
      <c r="E576" s="3">
        <f t="shared" si="53"/>
        <v>11</v>
      </c>
      <c r="F576" s="1" t="str">
        <f t="shared" si="53"/>
        <v>Nov</v>
      </c>
      <c r="G576" s="11">
        <v>333.33333333333331</v>
      </c>
      <c r="H576" s="11">
        <v>233.33333333333331</v>
      </c>
      <c r="I576" s="4" t="str">
        <f>_xlfn.XLOOKUP(D576,'Sales Manager'!$A$2:$A$6,'Sales Manager'!$B$2:$B$6,"")</f>
        <v>Gbenga Adesanya</v>
      </c>
      <c r="J576" s="12">
        <v>5</v>
      </c>
      <c r="K576" s="12">
        <v>5</v>
      </c>
    </row>
    <row r="577" spans="1:11" x14ac:dyDescent="0.3">
      <c r="A577" s="2">
        <v>576</v>
      </c>
      <c r="B577" s="2">
        <f t="shared" si="51"/>
        <v>109</v>
      </c>
      <c r="C577" s="1" t="str">
        <f>VLOOKUP(B577,Products!A:C,2,FALSE)</f>
        <v>Pawpaw</v>
      </c>
      <c r="D577" s="1" t="str">
        <f t="shared" si="52"/>
        <v>Warri</v>
      </c>
      <c r="E577" s="3">
        <f t="shared" si="53"/>
        <v>12</v>
      </c>
      <c r="F577" s="1" t="str">
        <f t="shared" si="53"/>
        <v>Dec</v>
      </c>
      <c r="G577" s="11">
        <v>750</v>
      </c>
      <c r="H577" s="11">
        <v>750</v>
      </c>
      <c r="I577" s="4" t="str">
        <f>_xlfn.XLOOKUP(D577,'Sales Manager'!$A$2:$A$6,'Sales Manager'!$B$2:$B$6,"")</f>
        <v>Gbenga Adesanya</v>
      </c>
      <c r="J577" s="12">
        <v>8</v>
      </c>
      <c r="K577" s="12">
        <v>10</v>
      </c>
    </row>
    <row r="578" spans="1:11" x14ac:dyDescent="0.3">
      <c r="A578" s="2">
        <v>577</v>
      </c>
      <c r="B578" s="2">
        <f t="shared" si="51"/>
        <v>109</v>
      </c>
      <c r="C578" s="1" t="str">
        <f>VLOOKUP(B578,Products!A:C,2,FALSE)</f>
        <v>Pawpaw</v>
      </c>
      <c r="D578" s="1" t="str">
        <f t="shared" si="52"/>
        <v>Kaduna</v>
      </c>
      <c r="E578" s="3">
        <f t="shared" si="53"/>
        <v>1</v>
      </c>
      <c r="F578" s="1" t="str">
        <f t="shared" si="53"/>
        <v>Jan</v>
      </c>
      <c r="G578" s="11">
        <v>2000</v>
      </c>
      <c r="H578" s="11">
        <v>1600</v>
      </c>
      <c r="I578" s="4" t="str">
        <f>_xlfn.XLOOKUP(D578,'Sales Manager'!$A$2:$A$6,'Sales Manager'!$B$2:$B$6,"")</f>
        <v>Musa Garba</v>
      </c>
      <c r="J578" s="12">
        <v>6</v>
      </c>
      <c r="K578" s="12">
        <v>9</v>
      </c>
    </row>
    <row r="579" spans="1:11" x14ac:dyDescent="0.3">
      <c r="A579" s="2">
        <v>578</v>
      </c>
      <c r="B579" s="2">
        <f t="shared" si="51"/>
        <v>109</v>
      </c>
      <c r="C579" s="1" t="str">
        <f>VLOOKUP(B579,Products!A:C,2,FALSE)</f>
        <v>Pawpaw</v>
      </c>
      <c r="D579" s="1" t="str">
        <f t="shared" si="52"/>
        <v>Kaduna</v>
      </c>
      <c r="E579" s="3">
        <f t="shared" si="53"/>
        <v>2</v>
      </c>
      <c r="F579" s="1" t="str">
        <f t="shared" si="53"/>
        <v>Feb</v>
      </c>
      <c r="G579" s="11">
        <v>1500</v>
      </c>
      <c r="H579" s="11">
        <v>1400</v>
      </c>
      <c r="I579" s="4" t="str">
        <f>_xlfn.XLOOKUP(D579,'Sales Manager'!$A$2:$A$6,'Sales Manager'!$B$2:$B$6,"")</f>
        <v>Musa Garba</v>
      </c>
      <c r="J579" s="12">
        <v>6</v>
      </c>
      <c r="K579" s="12">
        <v>8</v>
      </c>
    </row>
    <row r="580" spans="1:11" x14ac:dyDescent="0.3">
      <c r="A580" s="2">
        <v>579</v>
      </c>
      <c r="B580" s="2">
        <f t="shared" si="51"/>
        <v>109</v>
      </c>
      <c r="C580" s="1" t="str">
        <f>VLOOKUP(B580,Products!A:C,2,FALSE)</f>
        <v>Pawpaw</v>
      </c>
      <c r="D580" s="1" t="str">
        <f t="shared" si="52"/>
        <v>Kaduna</v>
      </c>
      <c r="E580" s="3">
        <f t="shared" si="53"/>
        <v>3</v>
      </c>
      <c r="F580" s="1" t="str">
        <f t="shared" si="53"/>
        <v>Mar</v>
      </c>
      <c r="G580" s="11">
        <v>1250</v>
      </c>
      <c r="H580" s="11">
        <v>450</v>
      </c>
      <c r="I580" s="4" t="str">
        <f>_xlfn.XLOOKUP(D580,'Sales Manager'!$A$2:$A$6,'Sales Manager'!$B$2:$B$6,"")</f>
        <v>Musa Garba</v>
      </c>
      <c r="J580" s="12">
        <v>6</v>
      </c>
      <c r="K580" s="12">
        <v>9</v>
      </c>
    </row>
    <row r="581" spans="1:11" x14ac:dyDescent="0.3">
      <c r="A581" s="2">
        <v>580</v>
      </c>
      <c r="B581" s="2">
        <f t="shared" si="51"/>
        <v>109</v>
      </c>
      <c r="C581" s="1" t="str">
        <f>VLOOKUP(B581,Products!A:C,2,FALSE)</f>
        <v>Pawpaw</v>
      </c>
      <c r="D581" s="1" t="str">
        <f t="shared" si="52"/>
        <v>Kaduna</v>
      </c>
      <c r="E581" s="3">
        <f t="shared" si="53"/>
        <v>4</v>
      </c>
      <c r="F581" s="1" t="str">
        <f t="shared" si="53"/>
        <v>Apr</v>
      </c>
      <c r="G581" s="11">
        <v>400</v>
      </c>
      <c r="H581" s="11">
        <v>400</v>
      </c>
      <c r="I581" s="4" t="str">
        <f>_xlfn.XLOOKUP(D581,'Sales Manager'!$A$2:$A$6,'Sales Manager'!$B$2:$B$6,"")</f>
        <v>Musa Garba</v>
      </c>
      <c r="J581" s="12">
        <v>5</v>
      </c>
      <c r="K581" s="12">
        <v>6</v>
      </c>
    </row>
    <row r="582" spans="1:11" x14ac:dyDescent="0.3">
      <c r="A582" s="2">
        <v>581</v>
      </c>
      <c r="B582" s="2">
        <f t="shared" si="51"/>
        <v>109</v>
      </c>
      <c r="C582" s="1" t="str">
        <f>VLOOKUP(B582,Products!A:C,2,FALSE)</f>
        <v>Pawpaw</v>
      </c>
      <c r="D582" s="1" t="str">
        <f t="shared" si="52"/>
        <v>Kaduna</v>
      </c>
      <c r="E582" s="3">
        <f t="shared" si="53"/>
        <v>5</v>
      </c>
      <c r="F582" s="1" t="str">
        <f t="shared" si="53"/>
        <v>May</v>
      </c>
      <c r="G582" s="11">
        <v>1250</v>
      </c>
      <c r="H582" s="11">
        <v>750</v>
      </c>
      <c r="I582" s="4" t="str">
        <f>_xlfn.XLOOKUP(D582,'Sales Manager'!$A$2:$A$6,'Sales Manager'!$B$2:$B$6,"")</f>
        <v>Musa Garba</v>
      </c>
      <c r="J582" s="12">
        <v>5</v>
      </c>
      <c r="K582" s="12">
        <v>6</v>
      </c>
    </row>
    <row r="583" spans="1:11" x14ac:dyDescent="0.3">
      <c r="A583" s="2">
        <v>582</v>
      </c>
      <c r="B583" s="2">
        <f t="shared" si="51"/>
        <v>109</v>
      </c>
      <c r="C583" s="1" t="str">
        <f>VLOOKUP(B583,Products!A:C,2,FALSE)</f>
        <v>Pawpaw</v>
      </c>
      <c r="D583" s="1" t="str">
        <f t="shared" si="52"/>
        <v>Kaduna</v>
      </c>
      <c r="E583" s="3">
        <f t="shared" si="53"/>
        <v>6</v>
      </c>
      <c r="F583" s="1" t="str">
        <f t="shared" si="53"/>
        <v>Jun</v>
      </c>
      <c r="G583" s="11">
        <v>1000</v>
      </c>
      <c r="H583" s="11">
        <v>1000</v>
      </c>
      <c r="I583" s="4" t="str">
        <f>_xlfn.XLOOKUP(D583,'Sales Manager'!$A$2:$A$6,'Sales Manager'!$B$2:$B$6,"")</f>
        <v>Musa Garba</v>
      </c>
      <c r="J583" s="12">
        <v>6</v>
      </c>
      <c r="K583" s="12">
        <v>5</v>
      </c>
    </row>
    <row r="584" spans="1:11" x14ac:dyDescent="0.3">
      <c r="A584" s="2">
        <v>583</v>
      </c>
      <c r="B584" s="2">
        <f t="shared" si="51"/>
        <v>109</v>
      </c>
      <c r="C584" s="1" t="str">
        <f>VLOOKUP(B584,Products!A:C,2,FALSE)</f>
        <v>Pawpaw</v>
      </c>
      <c r="D584" s="1" t="str">
        <f t="shared" si="52"/>
        <v>Kaduna</v>
      </c>
      <c r="E584" s="3">
        <f t="shared" si="53"/>
        <v>7</v>
      </c>
      <c r="F584" s="1" t="str">
        <f t="shared" si="53"/>
        <v>Jul</v>
      </c>
      <c r="G584" s="11">
        <v>750</v>
      </c>
      <c r="H584" s="11">
        <v>450</v>
      </c>
      <c r="I584" s="4" t="str">
        <f>_xlfn.XLOOKUP(D584,'Sales Manager'!$A$2:$A$6,'Sales Manager'!$B$2:$B$6,"")</f>
        <v>Musa Garba</v>
      </c>
      <c r="J584" s="12">
        <v>5</v>
      </c>
      <c r="K584" s="12">
        <v>6</v>
      </c>
    </row>
    <row r="585" spans="1:11" x14ac:dyDescent="0.3">
      <c r="A585" s="2">
        <v>584</v>
      </c>
      <c r="B585" s="2">
        <f t="shared" si="51"/>
        <v>109</v>
      </c>
      <c r="C585" s="1" t="str">
        <f>VLOOKUP(B585,Products!A:C,2,FALSE)</f>
        <v>Pawpaw</v>
      </c>
      <c r="D585" s="1" t="str">
        <f t="shared" si="52"/>
        <v>Kaduna</v>
      </c>
      <c r="E585" s="3">
        <f t="shared" si="53"/>
        <v>8</v>
      </c>
      <c r="F585" s="1" t="str">
        <f t="shared" si="53"/>
        <v>Aug</v>
      </c>
      <c r="G585" s="11">
        <v>1333.3333333333333</v>
      </c>
      <c r="H585" s="11">
        <v>1333.3333333333333</v>
      </c>
      <c r="I585" s="4" t="str">
        <f>_xlfn.XLOOKUP(D585,'Sales Manager'!$A$2:$A$6,'Sales Manager'!$B$2:$B$6,"")</f>
        <v>Musa Garba</v>
      </c>
      <c r="J585" s="12">
        <v>10</v>
      </c>
      <c r="K585" s="12">
        <v>7</v>
      </c>
    </row>
    <row r="586" spans="1:11" x14ac:dyDescent="0.3">
      <c r="A586" s="2">
        <v>585</v>
      </c>
      <c r="B586" s="2">
        <f t="shared" si="51"/>
        <v>109</v>
      </c>
      <c r="C586" s="1" t="str">
        <f>VLOOKUP(B586,Products!A:C,2,FALSE)</f>
        <v>Pawpaw</v>
      </c>
      <c r="D586" s="1" t="str">
        <f t="shared" si="52"/>
        <v>Kaduna</v>
      </c>
      <c r="E586" s="3">
        <f t="shared" si="53"/>
        <v>9</v>
      </c>
      <c r="F586" s="1" t="str">
        <f t="shared" si="53"/>
        <v>Sept</v>
      </c>
      <c r="G586" s="11">
        <v>4500</v>
      </c>
      <c r="H586" s="11">
        <v>4200</v>
      </c>
      <c r="I586" s="4" t="str">
        <f>_xlfn.XLOOKUP(D586,'Sales Manager'!$A$2:$A$6,'Sales Manager'!$B$2:$B$6,"")</f>
        <v>Musa Garba</v>
      </c>
      <c r="J586" s="12">
        <v>6</v>
      </c>
      <c r="K586" s="12">
        <v>8</v>
      </c>
    </row>
    <row r="587" spans="1:11" x14ac:dyDescent="0.3">
      <c r="A587" s="2">
        <v>586</v>
      </c>
      <c r="B587" s="2">
        <f t="shared" si="51"/>
        <v>109</v>
      </c>
      <c r="C587" s="1" t="str">
        <f>VLOOKUP(B587,Products!A:C,2,FALSE)</f>
        <v>Pawpaw</v>
      </c>
      <c r="D587" s="1" t="str">
        <f t="shared" si="52"/>
        <v>Kaduna</v>
      </c>
      <c r="E587" s="3">
        <f t="shared" si="53"/>
        <v>10</v>
      </c>
      <c r="F587" s="1" t="str">
        <f t="shared" si="53"/>
        <v>Oct</v>
      </c>
      <c r="G587" s="11">
        <v>2000</v>
      </c>
      <c r="H587" s="11">
        <v>1400</v>
      </c>
      <c r="I587" s="4" t="str">
        <f>_xlfn.XLOOKUP(D587,'Sales Manager'!$A$2:$A$6,'Sales Manager'!$B$2:$B$6,"")</f>
        <v>Musa Garba</v>
      </c>
      <c r="J587" s="12">
        <v>10</v>
      </c>
      <c r="K587" s="12">
        <v>7</v>
      </c>
    </row>
    <row r="588" spans="1:11" x14ac:dyDescent="0.3">
      <c r="A588" s="2">
        <v>587</v>
      </c>
      <c r="B588" s="2">
        <f t="shared" si="51"/>
        <v>109</v>
      </c>
      <c r="C588" s="1" t="str">
        <f>VLOOKUP(B588,Products!A:C,2,FALSE)</f>
        <v>Pawpaw</v>
      </c>
      <c r="D588" s="1" t="str">
        <f t="shared" si="52"/>
        <v>Kaduna</v>
      </c>
      <c r="E588" s="3">
        <f t="shared" si="53"/>
        <v>11</v>
      </c>
      <c r="F588" s="1" t="str">
        <f t="shared" si="53"/>
        <v>Nov</v>
      </c>
      <c r="G588" s="11">
        <v>500</v>
      </c>
      <c r="H588" s="11">
        <v>200</v>
      </c>
      <c r="I588" s="4" t="str">
        <f>_xlfn.XLOOKUP(D588,'Sales Manager'!$A$2:$A$6,'Sales Manager'!$B$2:$B$6,"")</f>
        <v>Musa Garba</v>
      </c>
      <c r="J588" s="12">
        <v>9</v>
      </c>
      <c r="K588" s="12">
        <v>8</v>
      </c>
    </row>
    <row r="589" spans="1:11" x14ac:dyDescent="0.3">
      <c r="A589" s="2">
        <v>588</v>
      </c>
      <c r="B589" s="2">
        <f t="shared" si="51"/>
        <v>109</v>
      </c>
      <c r="C589" s="1" t="str">
        <f>VLOOKUP(B589,Products!A:C,2,FALSE)</f>
        <v>Pawpaw</v>
      </c>
      <c r="D589" s="1" t="str">
        <f t="shared" si="52"/>
        <v>Kaduna</v>
      </c>
      <c r="E589" s="3">
        <f t="shared" si="53"/>
        <v>12</v>
      </c>
      <c r="F589" s="1" t="str">
        <f t="shared" si="53"/>
        <v>Dec</v>
      </c>
      <c r="G589" s="11">
        <v>1250</v>
      </c>
      <c r="H589" s="11">
        <v>1250</v>
      </c>
      <c r="I589" s="4" t="str">
        <f>_xlfn.XLOOKUP(D589,'Sales Manager'!$A$2:$A$6,'Sales Manager'!$B$2:$B$6,"")</f>
        <v>Musa Garba</v>
      </c>
      <c r="J589" s="12">
        <v>7</v>
      </c>
      <c r="K589" s="12">
        <v>7</v>
      </c>
    </row>
    <row r="590" spans="1:11" x14ac:dyDescent="0.3">
      <c r="A590" s="2">
        <v>589</v>
      </c>
      <c r="B590" s="2">
        <f t="shared" si="51"/>
        <v>109</v>
      </c>
      <c r="C590" s="1" t="str">
        <f>VLOOKUP(B590,Products!A:C,2,FALSE)</f>
        <v>Pawpaw</v>
      </c>
      <c r="D590" s="1" t="str">
        <f t="shared" si="52"/>
        <v>Ibadan</v>
      </c>
      <c r="E590" s="3">
        <f t="shared" si="53"/>
        <v>1</v>
      </c>
      <c r="F590" s="1" t="str">
        <f t="shared" si="53"/>
        <v>Jan</v>
      </c>
      <c r="G590" s="11">
        <v>600</v>
      </c>
      <c r="H590" s="11">
        <v>500</v>
      </c>
      <c r="I590" s="4" t="str">
        <f>_xlfn.XLOOKUP(D590,'Sales Manager'!$A$2:$A$6,'Sales Manager'!$B$2:$B$6,"")</f>
        <v>Funmi Adeyemi</v>
      </c>
      <c r="J590" s="12">
        <v>7</v>
      </c>
      <c r="K590" s="12">
        <v>6</v>
      </c>
    </row>
    <row r="591" spans="1:11" x14ac:dyDescent="0.3">
      <c r="A591" s="2">
        <v>590</v>
      </c>
      <c r="B591" s="2">
        <f t="shared" si="51"/>
        <v>109</v>
      </c>
      <c r="C591" s="1" t="str">
        <f>VLOOKUP(B591,Products!A:C,2,FALSE)</f>
        <v>Pawpaw</v>
      </c>
      <c r="D591" s="1" t="str">
        <f t="shared" si="52"/>
        <v>Ibadan</v>
      </c>
      <c r="E591" s="3">
        <f t="shared" ref="E591:F601" si="54">E579</f>
        <v>2</v>
      </c>
      <c r="F591" s="1" t="str">
        <f t="shared" si="54"/>
        <v>Feb</v>
      </c>
      <c r="G591" s="11">
        <v>2000</v>
      </c>
      <c r="H591" s="11">
        <v>1300</v>
      </c>
      <c r="I591" s="4" t="str">
        <f>_xlfn.XLOOKUP(D591,'Sales Manager'!$A$2:$A$6,'Sales Manager'!$B$2:$B$6,"")</f>
        <v>Funmi Adeyemi</v>
      </c>
      <c r="J591" s="12">
        <v>7</v>
      </c>
      <c r="K591" s="12">
        <v>10</v>
      </c>
    </row>
    <row r="592" spans="1:11" x14ac:dyDescent="0.3">
      <c r="A592" s="2">
        <v>591</v>
      </c>
      <c r="B592" s="2">
        <f t="shared" si="51"/>
        <v>109</v>
      </c>
      <c r="C592" s="1" t="str">
        <f>VLOOKUP(B592,Products!A:C,2,FALSE)</f>
        <v>Pawpaw</v>
      </c>
      <c r="D592" s="1" t="str">
        <f t="shared" si="52"/>
        <v>Ibadan</v>
      </c>
      <c r="E592" s="3">
        <f t="shared" si="54"/>
        <v>3</v>
      </c>
      <c r="F592" s="1" t="str">
        <f t="shared" si="54"/>
        <v>Mar</v>
      </c>
      <c r="G592" s="11">
        <v>1000</v>
      </c>
      <c r="H592" s="11">
        <v>200</v>
      </c>
      <c r="I592" s="4" t="str">
        <f>_xlfn.XLOOKUP(D592,'Sales Manager'!$A$2:$A$6,'Sales Manager'!$B$2:$B$6,"")</f>
        <v>Funmi Adeyemi</v>
      </c>
      <c r="J592" s="12">
        <v>10</v>
      </c>
      <c r="K592" s="12">
        <v>9</v>
      </c>
    </row>
    <row r="593" spans="1:11" x14ac:dyDescent="0.3">
      <c r="A593" s="2">
        <v>592</v>
      </c>
      <c r="B593" s="2">
        <f t="shared" si="51"/>
        <v>109</v>
      </c>
      <c r="C593" s="1" t="str">
        <f>VLOOKUP(B593,Products!A:C,2,FALSE)</f>
        <v>Pawpaw</v>
      </c>
      <c r="D593" s="1" t="str">
        <f t="shared" si="52"/>
        <v>Ibadan</v>
      </c>
      <c r="E593" s="3">
        <f t="shared" si="54"/>
        <v>4</v>
      </c>
      <c r="F593" s="1" t="str">
        <f t="shared" si="54"/>
        <v>Apr</v>
      </c>
      <c r="G593" s="11">
        <v>1666.6666666666667</v>
      </c>
      <c r="H593" s="11">
        <v>866.66666666666674</v>
      </c>
      <c r="I593" s="4" t="str">
        <f>_xlfn.XLOOKUP(D593,'Sales Manager'!$A$2:$A$6,'Sales Manager'!$B$2:$B$6,"")</f>
        <v>Funmi Adeyemi</v>
      </c>
      <c r="J593" s="12">
        <v>8</v>
      </c>
      <c r="K593" s="12">
        <v>9</v>
      </c>
    </row>
    <row r="594" spans="1:11" x14ac:dyDescent="0.3">
      <c r="A594" s="2">
        <v>593</v>
      </c>
      <c r="B594" s="2">
        <f t="shared" si="51"/>
        <v>109</v>
      </c>
      <c r="C594" s="1" t="str">
        <f>VLOOKUP(B594,Products!A:C,2,FALSE)</f>
        <v>Pawpaw</v>
      </c>
      <c r="D594" s="1" t="str">
        <f t="shared" si="52"/>
        <v>Ibadan</v>
      </c>
      <c r="E594" s="3">
        <f t="shared" si="54"/>
        <v>5</v>
      </c>
      <c r="F594" s="1" t="str">
        <f t="shared" si="54"/>
        <v>May</v>
      </c>
      <c r="G594" s="11">
        <v>1200</v>
      </c>
      <c r="H594" s="11">
        <v>900</v>
      </c>
      <c r="I594" s="4" t="str">
        <f>_xlfn.XLOOKUP(D594,'Sales Manager'!$A$2:$A$6,'Sales Manager'!$B$2:$B$6,"")</f>
        <v>Funmi Adeyemi</v>
      </c>
      <c r="J594" s="12">
        <v>5</v>
      </c>
      <c r="K594" s="12">
        <v>9</v>
      </c>
    </row>
    <row r="595" spans="1:11" x14ac:dyDescent="0.3">
      <c r="A595" s="2">
        <v>594</v>
      </c>
      <c r="B595" s="2">
        <f t="shared" si="51"/>
        <v>109</v>
      </c>
      <c r="C595" s="1" t="str">
        <f>VLOOKUP(B595,Products!A:C,2,FALSE)</f>
        <v>Pawpaw</v>
      </c>
      <c r="D595" s="1" t="str">
        <f t="shared" si="52"/>
        <v>Ibadan</v>
      </c>
      <c r="E595" s="3">
        <f t="shared" si="54"/>
        <v>6</v>
      </c>
      <c r="F595" s="1" t="str">
        <f t="shared" si="54"/>
        <v>Jun</v>
      </c>
      <c r="G595" s="11">
        <v>1600</v>
      </c>
      <c r="H595" s="11">
        <v>1300</v>
      </c>
      <c r="I595" s="4" t="str">
        <f>_xlfn.XLOOKUP(D595,'Sales Manager'!$A$2:$A$6,'Sales Manager'!$B$2:$B$6,"")</f>
        <v>Funmi Adeyemi</v>
      </c>
      <c r="J595" s="12">
        <v>5</v>
      </c>
      <c r="K595" s="12">
        <v>10</v>
      </c>
    </row>
    <row r="596" spans="1:11" x14ac:dyDescent="0.3">
      <c r="A596" s="2">
        <v>595</v>
      </c>
      <c r="B596" s="2">
        <f t="shared" si="51"/>
        <v>109</v>
      </c>
      <c r="C596" s="1" t="str">
        <f>VLOOKUP(B596,Products!A:C,2,FALSE)</f>
        <v>Pawpaw</v>
      </c>
      <c r="D596" s="1" t="str">
        <f t="shared" si="52"/>
        <v>Ibadan</v>
      </c>
      <c r="E596" s="3">
        <f t="shared" si="54"/>
        <v>7</v>
      </c>
      <c r="F596" s="1" t="str">
        <f t="shared" si="54"/>
        <v>Jul</v>
      </c>
      <c r="G596" s="11">
        <v>1250</v>
      </c>
      <c r="H596" s="11">
        <v>1050</v>
      </c>
      <c r="I596" s="4" t="str">
        <f>_xlfn.XLOOKUP(D596,'Sales Manager'!$A$2:$A$6,'Sales Manager'!$B$2:$B$6,"")</f>
        <v>Funmi Adeyemi</v>
      </c>
      <c r="J596" s="12">
        <v>7</v>
      </c>
      <c r="K596" s="12">
        <v>7</v>
      </c>
    </row>
    <row r="597" spans="1:11" x14ac:dyDescent="0.3">
      <c r="A597" s="2">
        <v>596</v>
      </c>
      <c r="B597" s="2">
        <f t="shared" si="51"/>
        <v>109</v>
      </c>
      <c r="C597" s="1" t="str">
        <f>VLOOKUP(B597,Products!A:C,2,FALSE)</f>
        <v>Pawpaw</v>
      </c>
      <c r="D597" s="1" t="str">
        <f t="shared" si="52"/>
        <v>Ibadan</v>
      </c>
      <c r="E597" s="3">
        <f t="shared" si="54"/>
        <v>8</v>
      </c>
      <c r="F597" s="1" t="str">
        <f t="shared" si="54"/>
        <v>Aug</v>
      </c>
      <c r="G597" s="11">
        <v>3000</v>
      </c>
      <c r="H597" s="11">
        <v>2600</v>
      </c>
      <c r="I597" s="4" t="str">
        <f>_xlfn.XLOOKUP(D597,'Sales Manager'!$A$2:$A$6,'Sales Manager'!$B$2:$B$6,"")</f>
        <v>Funmi Adeyemi</v>
      </c>
      <c r="J597" s="12">
        <v>10</v>
      </c>
      <c r="K597" s="12">
        <v>5</v>
      </c>
    </row>
    <row r="598" spans="1:11" x14ac:dyDescent="0.3">
      <c r="A598" s="2">
        <v>597</v>
      </c>
      <c r="B598" s="2">
        <f t="shared" si="51"/>
        <v>109</v>
      </c>
      <c r="C598" s="1" t="str">
        <f>VLOOKUP(B598,Products!A:C,2,FALSE)</f>
        <v>Pawpaw</v>
      </c>
      <c r="D598" s="1" t="str">
        <f t="shared" si="52"/>
        <v>Ibadan</v>
      </c>
      <c r="E598" s="3">
        <f t="shared" si="54"/>
        <v>9</v>
      </c>
      <c r="F598" s="1" t="str">
        <f t="shared" si="54"/>
        <v>Sept</v>
      </c>
      <c r="G598" s="11">
        <v>1500</v>
      </c>
      <c r="H598" s="11">
        <v>1400</v>
      </c>
      <c r="I598" s="4" t="str">
        <f>_xlfn.XLOOKUP(D598,'Sales Manager'!$A$2:$A$6,'Sales Manager'!$B$2:$B$6,"")</f>
        <v>Funmi Adeyemi</v>
      </c>
      <c r="J598" s="12">
        <v>5</v>
      </c>
      <c r="K598" s="12">
        <v>5</v>
      </c>
    </row>
    <row r="599" spans="1:11" x14ac:dyDescent="0.3">
      <c r="A599" s="2">
        <v>598</v>
      </c>
      <c r="B599" s="2">
        <f t="shared" si="51"/>
        <v>109</v>
      </c>
      <c r="C599" s="1" t="str">
        <f>VLOOKUP(B599,Products!A:C,2,FALSE)</f>
        <v>Pawpaw</v>
      </c>
      <c r="D599" s="1" t="str">
        <f t="shared" si="52"/>
        <v>Ibadan</v>
      </c>
      <c r="E599" s="3">
        <f t="shared" si="54"/>
        <v>10</v>
      </c>
      <c r="F599" s="1" t="str">
        <f t="shared" si="54"/>
        <v>Oct</v>
      </c>
      <c r="G599" s="11">
        <v>1500</v>
      </c>
      <c r="H599" s="11">
        <v>1200</v>
      </c>
      <c r="I599" s="4" t="str">
        <f>_xlfn.XLOOKUP(D599,'Sales Manager'!$A$2:$A$6,'Sales Manager'!$B$2:$B$6,"")</f>
        <v>Funmi Adeyemi</v>
      </c>
      <c r="J599" s="12">
        <v>6</v>
      </c>
      <c r="K599" s="12">
        <v>8</v>
      </c>
    </row>
    <row r="600" spans="1:11" x14ac:dyDescent="0.3">
      <c r="A600" s="2">
        <v>599</v>
      </c>
      <c r="B600" s="2">
        <f t="shared" si="51"/>
        <v>109</v>
      </c>
      <c r="C600" s="1" t="str">
        <f>VLOOKUP(B600,Products!A:C,2,FALSE)</f>
        <v>Pawpaw</v>
      </c>
      <c r="D600" s="1" t="str">
        <f t="shared" si="52"/>
        <v>Ibadan</v>
      </c>
      <c r="E600" s="3">
        <f t="shared" si="54"/>
        <v>11</v>
      </c>
      <c r="F600" s="1" t="str">
        <f t="shared" si="54"/>
        <v>Nov</v>
      </c>
      <c r="G600" s="11">
        <v>800</v>
      </c>
      <c r="H600" s="11">
        <v>300</v>
      </c>
      <c r="I600" s="4" t="str">
        <f>_xlfn.XLOOKUP(D600,'Sales Manager'!$A$2:$A$6,'Sales Manager'!$B$2:$B$6,"")</f>
        <v>Funmi Adeyemi</v>
      </c>
      <c r="J600" s="12">
        <v>6</v>
      </c>
      <c r="K600" s="12">
        <v>10</v>
      </c>
    </row>
    <row r="601" spans="1:11" x14ac:dyDescent="0.3">
      <c r="A601" s="2">
        <v>600</v>
      </c>
      <c r="B601" s="2">
        <f t="shared" si="51"/>
        <v>109</v>
      </c>
      <c r="C601" s="1" t="str">
        <f>VLOOKUP(B601,Products!A:C,2,FALSE)</f>
        <v>Pawpaw</v>
      </c>
      <c r="D601" s="1" t="str">
        <f t="shared" si="52"/>
        <v>Ibadan</v>
      </c>
      <c r="E601" s="3">
        <f t="shared" si="54"/>
        <v>12</v>
      </c>
      <c r="F601" s="1" t="str">
        <f t="shared" si="54"/>
        <v>Dec</v>
      </c>
      <c r="G601" s="11">
        <v>2000</v>
      </c>
      <c r="H601" s="11">
        <v>1800</v>
      </c>
      <c r="I601" s="4" t="str">
        <f>_xlfn.XLOOKUP(D601,'Sales Manager'!$A$2:$A$6,'Sales Manager'!$B$2:$B$6,"")</f>
        <v>Funmi Adeyemi</v>
      </c>
      <c r="J601" s="12">
        <v>9</v>
      </c>
      <c r="K601" s="12">
        <v>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22A8F-A1AC-4A3D-B2CF-DE008D78E36E}">
  <dimension ref="A1:B11"/>
  <sheetViews>
    <sheetView workbookViewId="0">
      <selection activeCell="B10" sqref="B10"/>
    </sheetView>
  </sheetViews>
  <sheetFormatPr defaultColWidth="9" defaultRowHeight="12" x14ac:dyDescent="0.3"/>
  <cols>
    <col min="1" max="1" width="9" style="2"/>
    <col min="2" max="2" width="14.6640625" style="1" customWidth="1"/>
    <col min="3" max="16384" width="9" style="1"/>
  </cols>
  <sheetData>
    <row r="1" spans="1:2" ht="16.2" customHeight="1" x14ac:dyDescent="0.3">
      <c r="A1" s="5" t="s">
        <v>27</v>
      </c>
      <c r="B1" s="6" t="s">
        <v>28</v>
      </c>
    </row>
    <row r="2" spans="1:2" x14ac:dyDescent="0.3">
      <c r="A2" s="2">
        <v>100</v>
      </c>
      <c r="B2" s="1" t="s">
        <v>29</v>
      </c>
    </row>
    <row r="3" spans="1:2" x14ac:dyDescent="0.3">
      <c r="A3" s="2">
        <v>101</v>
      </c>
      <c r="B3" s="1" t="s">
        <v>30</v>
      </c>
    </row>
    <row r="4" spans="1:2" x14ac:dyDescent="0.3">
      <c r="A4" s="2">
        <v>102</v>
      </c>
      <c r="B4" s="1" t="s">
        <v>31</v>
      </c>
    </row>
    <row r="5" spans="1:2" x14ac:dyDescent="0.3">
      <c r="A5" s="2">
        <v>103</v>
      </c>
      <c r="B5" s="1" t="s">
        <v>44</v>
      </c>
    </row>
    <row r="6" spans="1:2" x14ac:dyDescent="0.3">
      <c r="A6" s="2">
        <v>104</v>
      </c>
      <c r="B6" s="1" t="s">
        <v>32</v>
      </c>
    </row>
    <row r="7" spans="1:2" x14ac:dyDescent="0.3">
      <c r="A7" s="2">
        <v>105</v>
      </c>
      <c r="B7" s="1" t="s">
        <v>33</v>
      </c>
    </row>
    <row r="8" spans="1:2" x14ac:dyDescent="0.3">
      <c r="A8" s="2">
        <v>106</v>
      </c>
      <c r="B8" s="1" t="s">
        <v>45</v>
      </c>
    </row>
    <row r="9" spans="1:2" x14ac:dyDescent="0.3">
      <c r="A9" s="2">
        <v>107</v>
      </c>
      <c r="B9" s="1" t="s">
        <v>43</v>
      </c>
    </row>
    <row r="10" spans="1:2" x14ac:dyDescent="0.3">
      <c r="A10" s="2">
        <v>108</v>
      </c>
      <c r="B10" s="1" t="s">
        <v>34</v>
      </c>
    </row>
    <row r="11" spans="1:2" x14ac:dyDescent="0.3">
      <c r="A11" s="2">
        <v>109</v>
      </c>
      <c r="B11" s="1" t="s">
        <v>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FB3B4-467E-4FBF-A05B-9BF86D039562}">
  <dimension ref="A1:B6"/>
  <sheetViews>
    <sheetView workbookViewId="0">
      <selection activeCell="C6" sqref="C6"/>
    </sheetView>
  </sheetViews>
  <sheetFormatPr defaultRowHeight="14.4" x14ac:dyDescent="0.3"/>
  <cols>
    <col min="1" max="1" width="7" bestFit="1" customWidth="1"/>
    <col min="2" max="2" width="14.33203125" customWidth="1"/>
  </cols>
  <sheetData>
    <row r="1" spans="1:2" x14ac:dyDescent="0.3">
      <c r="A1" s="5" t="s">
        <v>3</v>
      </c>
      <c r="B1" s="5" t="s">
        <v>36</v>
      </c>
    </row>
    <row r="2" spans="1:2" x14ac:dyDescent="0.3">
      <c r="A2" s="17" t="s">
        <v>8</v>
      </c>
      <c r="B2" s="17" t="s">
        <v>37</v>
      </c>
    </row>
    <row r="3" spans="1:2" x14ac:dyDescent="0.3">
      <c r="A3" s="17" t="s">
        <v>21</v>
      </c>
      <c r="B3" s="17" t="s">
        <v>38</v>
      </c>
    </row>
    <row r="4" spans="1:2" x14ac:dyDescent="0.3">
      <c r="A4" s="17" t="s">
        <v>24</v>
      </c>
      <c r="B4" s="17" t="s">
        <v>39</v>
      </c>
    </row>
    <row r="5" spans="1:2" x14ac:dyDescent="0.3">
      <c r="A5" s="17" t="s">
        <v>23</v>
      </c>
      <c r="B5" s="17" t="s">
        <v>41</v>
      </c>
    </row>
    <row r="6" spans="1:2" x14ac:dyDescent="0.3">
      <c r="A6" s="17" t="s">
        <v>22</v>
      </c>
      <c r="B6" s="17" t="s">
        <v>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4F318-AD5C-4DEA-B184-DA0414EC3FA1}">
  <dimension ref="A1:BU782"/>
  <sheetViews>
    <sheetView topLeftCell="A20" zoomScale="68" workbookViewId="0">
      <selection activeCell="T7" sqref="T7"/>
    </sheetView>
  </sheetViews>
  <sheetFormatPr defaultRowHeight="13.8" x14ac:dyDescent="0.3"/>
  <cols>
    <col min="1" max="1" width="22.21875" style="20" bestFit="1" customWidth="1"/>
    <col min="2" max="2" width="30.33203125" style="20" bestFit="1" customWidth="1"/>
    <col min="3" max="3" width="27.5546875" style="20" bestFit="1" customWidth="1"/>
    <col min="4" max="5" width="28.21875" style="20" bestFit="1" customWidth="1"/>
    <col min="6" max="6" width="13.88671875" style="20" bestFit="1" customWidth="1"/>
    <col min="7" max="7" width="13.44140625" style="20" bestFit="1" customWidth="1"/>
    <col min="8" max="8" width="32.5546875" style="20" bestFit="1" customWidth="1"/>
    <col min="9" max="9" width="28.21875" style="20" bestFit="1" customWidth="1"/>
    <col min="10" max="10" width="32.44140625" style="20" customWidth="1"/>
    <col min="11" max="11" width="23.21875" style="20" customWidth="1"/>
    <col min="12" max="12" width="19.21875" style="20" customWidth="1"/>
    <col min="13" max="13" width="19.44140625" style="20" customWidth="1"/>
    <col min="14" max="14" width="15.33203125" style="20" customWidth="1"/>
    <col min="15" max="15" width="12" style="20" customWidth="1"/>
    <col min="16" max="16" width="22.6640625" style="20" customWidth="1"/>
    <col min="17" max="17" width="16.88671875" style="20" customWidth="1"/>
    <col min="18" max="16384" width="8.88671875" style="20"/>
  </cols>
  <sheetData>
    <row r="1" spans="1:73" x14ac:dyDescent="0.3">
      <c r="A1" s="19"/>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9"/>
      <c r="AI1" s="19"/>
      <c r="AJ1" s="19"/>
      <c r="AK1" s="19"/>
      <c r="AL1" s="19"/>
      <c r="AM1" s="19"/>
      <c r="AN1" s="19"/>
      <c r="AO1" s="19"/>
      <c r="AP1" s="19"/>
      <c r="AQ1" s="19"/>
      <c r="AR1" s="19"/>
      <c r="AS1" s="19"/>
      <c r="AT1" s="19"/>
      <c r="AU1" s="19"/>
      <c r="AV1" s="19"/>
      <c r="AW1" s="19"/>
      <c r="AX1" s="19"/>
      <c r="AY1" s="19"/>
      <c r="AZ1" s="19"/>
      <c r="BA1" s="19"/>
    </row>
    <row r="2" spans="1:73" x14ac:dyDescent="0.3">
      <c r="A2" s="18" t="s">
        <v>72</v>
      </c>
      <c r="B2" s="19"/>
      <c r="C2" s="19"/>
      <c r="D2" s="19"/>
      <c r="E2" s="19"/>
      <c r="G2" s="42" t="s">
        <v>61</v>
      </c>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row>
    <row r="3" spans="1:73" ht="14.4" x14ac:dyDescent="0.3">
      <c r="A3" s="30" t="s">
        <v>5</v>
      </c>
      <c r="B3" s="30" t="s">
        <v>67</v>
      </c>
      <c r="C3" s="30" t="s">
        <v>60</v>
      </c>
      <c r="D3" s="30" t="s">
        <v>55</v>
      </c>
      <c r="E3"/>
      <c r="G3" s="18" t="s">
        <v>71</v>
      </c>
      <c r="H3" s="30" t="s">
        <v>51</v>
      </c>
      <c r="I3" s="30" t="s">
        <v>52</v>
      </c>
      <c r="J3" s="18" t="s">
        <v>55</v>
      </c>
      <c r="K3" s="30" t="s">
        <v>56</v>
      </c>
      <c r="L3" s="30" t="s">
        <v>59</v>
      </c>
      <c r="M3" s="18" t="s">
        <v>53</v>
      </c>
      <c r="N3"/>
      <c r="P3" s="30" t="s">
        <v>70</v>
      </c>
      <c r="Q3" s="30" t="s">
        <v>56</v>
      </c>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row>
    <row r="4" spans="1:73" ht="14.4" x14ac:dyDescent="0.3">
      <c r="A4" s="31" t="s">
        <v>9</v>
      </c>
      <c r="B4" s="34">
        <v>242575</v>
      </c>
      <c r="C4" s="34">
        <v>204000</v>
      </c>
      <c r="D4" s="32">
        <v>0.18909313725490207</v>
      </c>
      <c r="E4"/>
      <c r="G4" s="31" t="s">
        <v>37</v>
      </c>
      <c r="H4" s="34">
        <v>496000</v>
      </c>
      <c r="I4" s="34">
        <v>619911</v>
      </c>
      <c r="J4" s="32">
        <v>0.24982056451612911</v>
      </c>
      <c r="K4" s="32">
        <v>0.80381592411383773</v>
      </c>
      <c r="L4" s="32">
        <v>0.44022640782311262</v>
      </c>
      <c r="M4" s="36">
        <v>28400</v>
      </c>
      <c r="N4"/>
      <c r="P4" s="31" t="s">
        <v>76</v>
      </c>
      <c r="Q4" s="32">
        <v>0.79761944639846349</v>
      </c>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row>
    <row r="5" spans="1:73" ht="14.4" x14ac:dyDescent="0.3">
      <c r="A5" s="31" t="s">
        <v>10</v>
      </c>
      <c r="B5" s="34">
        <v>267362</v>
      </c>
      <c r="C5" s="34">
        <v>222000</v>
      </c>
      <c r="D5" s="32">
        <v>0.20433333333333326</v>
      </c>
      <c r="E5"/>
      <c r="G5" s="39" t="s">
        <v>8</v>
      </c>
      <c r="H5" s="34">
        <v>496000</v>
      </c>
      <c r="I5" s="34">
        <v>619911</v>
      </c>
      <c r="J5" s="32">
        <v>0.24982056451612911</v>
      </c>
      <c r="K5" s="32">
        <v>0.80381592411383773</v>
      </c>
      <c r="L5" s="32">
        <v>0.44022640782311262</v>
      </c>
      <c r="M5" s="36">
        <v>28400</v>
      </c>
      <c r="N5"/>
      <c r="P5" s="31" t="s">
        <v>77</v>
      </c>
      <c r="Q5" s="32">
        <v>0.80860243296221179</v>
      </c>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row>
    <row r="6" spans="1:73" ht="14.4" x14ac:dyDescent="0.3">
      <c r="A6" s="31" t="s">
        <v>11</v>
      </c>
      <c r="B6" s="34">
        <v>270309</v>
      </c>
      <c r="C6" s="34">
        <v>206000</v>
      </c>
      <c r="D6" s="32">
        <v>0.31217961165048536</v>
      </c>
      <c r="E6"/>
      <c r="G6" s="31" t="s">
        <v>38</v>
      </c>
      <c r="H6" s="34">
        <v>490000</v>
      </c>
      <c r="I6" s="34">
        <v>647694</v>
      </c>
      <c r="J6" s="32">
        <v>0.32182448979591838</v>
      </c>
      <c r="K6" s="32">
        <v>0.78986990770332888</v>
      </c>
      <c r="L6" s="32">
        <v>0.5731672816728155</v>
      </c>
      <c r="M6" s="36">
        <v>28700</v>
      </c>
      <c r="N6"/>
      <c r="P6" s="31" t="s">
        <v>78</v>
      </c>
      <c r="Q6" s="32">
        <v>0.74906253551001856</v>
      </c>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row>
    <row r="7" spans="1:73" ht="14.4" x14ac:dyDescent="0.3">
      <c r="A7" s="31" t="s">
        <v>12</v>
      </c>
      <c r="B7" s="34">
        <v>248987</v>
      </c>
      <c r="C7" s="34">
        <v>208000</v>
      </c>
      <c r="D7" s="32">
        <v>0.1970528846153845</v>
      </c>
      <c r="E7"/>
      <c r="G7" s="39" t="s">
        <v>21</v>
      </c>
      <c r="H7" s="34">
        <v>490000</v>
      </c>
      <c r="I7" s="34">
        <v>647694</v>
      </c>
      <c r="J7" s="32">
        <v>0.32182448979591838</v>
      </c>
      <c r="K7" s="32">
        <v>0.78986990770332888</v>
      </c>
      <c r="L7" s="32">
        <v>0.5731672816728155</v>
      </c>
      <c r="M7" s="36">
        <v>28700</v>
      </c>
      <c r="N7"/>
      <c r="P7" s="31" t="s">
        <v>79</v>
      </c>
      <c r="Q7" s="32">
        <v>0.7867354369596522</v>
      </c>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row>
    <row r="8" spans="1:73" ht="14.4" x14ac:dyDescent="0.3">
      <c r="A8" s="31" t="s">
        <v>13</v>
      </c>
      <c r="B8" s="34">
        <v>262487</v>
      </c>
      <c r="C8" s="34">
        <v>181000</v>
      </c>
      <c r="D8" s="32">
        <v>0.45020441988950277</v>
      </c>
      <c r="E8"/>
      <c r="G8" s="31" t="s">
        <v>39</v>
      </c>
      <c r="H8" s="34">
        <v>506000</v>
      </c>
      <c r="I8" s="34">
        <v>594639</v>
      </c>
      <c r="J8" s="32">
        <v>0.17517588932806327</v>
      </c>
      <c r="K8" s="32">
        <v>0.76526374265170394</v>
      </c>
      <c r="L8" s="32">
        <v>0.34611941034363758</v>
      </c>
      <c r="M8" s="36">
        <v>28366.666666666668</v>
      </c>
      <c r="N8"/>
      <c r="P8" s="31" t="s">
        <v>80</v>
      </c>
      <c r="Q8" s="32">
        <v>0.68450730754062861</v>
      </c>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row>
    <row r="9" spans="1:73" ht="14.4" x14ac:dyDescent="0.3">
      <c r="A9" s="31" t="s">
        <v>14</v>
      </c>
      <c r="B9" s="34">
        <v>252575</v>
      </c>
      <c r="C9" s="34">
        <v>209000</v>
      </c>
      <c r="D9" s="32">
        <v>0.20849282296650729</v>
      </c>
      <c r="E9"/>
      <c r="G9" s="39" t="s">
        <v>24</v>
      </c>
      <c r="H9" s="34">
        <v>506000</v>
      </c>
      <c r="I9" s="34">
        <v>594639</v>
      </c>
      <c r="J9" s="32">
        <v>0.17517588932806327</v>
      </c>
      <c r="K9" s="32">
        <v>0.76526374265170394</v>
      </c>
      <c r="L9" s="32">
        <v>0.34611941034363758</v>
      </c>
      <c r="M9" s="36">
        <v>28366.666666666668</v>
      </c>
      <c r="N9"/>
      <c r="P9" s="31" t="s">
        <v>81</v>
      </c>
      <c r="Q9" s="32">
        <v>0.76111239250057661</v>
      </c>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row>
    <row r="10" spans="1:73" ht="14.4" x14ac:dyDescent="0.3">
      <c r="A10" s="31" t="s">
        <v>15</v>
      </c>
      <c r="B10" s="34">
        <v>258992</v>
      </c>
      <c r="C10" s="34">
        <v>214000</v>
      </c>
      <c r="D10" s="32">
        <v>0.2102429906542056</v>
      </c>
      <c r="E10"/>
      <c r="G10" s="31" t="s">
        <v>40</v>
      </c>
      <c r="H10" s="34">
        <v>509000</v>
      </c>
      <c r="I10" s="34">
        <v>621223</v>
      </c>
      <c r="J10" s="32">
        <v>0.22047740667976434</v>
      </c>
      <c r="K10" s="32">
        <v>0.79277436068314711</v>
      </c>
      <c r="L10" s="32">
        <v>0.39911837121212135</v>
      </c>
      <c r="M10" s="36">
        <v>28266.666666666668</v>
      </c>
      <c r="N10"/>
      <c r="P10" s="31" t="s">
        <v>82</v>
      </c>
      <c r="Q10" s="32">
        <v>0.76552571965301941</v>
      </c>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row>
    <row r="11" spans="1:73" ht="14.4" x14ac:dyDescent="0.3">
      <c r="A11" s="31" t="s">
        <v>16</v>
      </c>
      <c r="B11" s="34">
        <v>282981</v>
      </c>
      <c r="C11" s="34">
        <v>218000</v>
      </c>
      <c r="D11" s="32">
        <v>0.29807798165137611</v>
      </c>
      <c r="E11"/>
      <c r="G11" s="39" t="s">
        <v>22</v>
      </c>
      <c r="H11" s="34">
        <v>509000</v>
      </c>
      <c r="I11" s="34">
        <v>621223</v>
      </c>
      <c r="J11" s="32">
        <v>0.22047740667976434</v>
      </c>
      <c r="K11" s="32">
        <v>0.79277436068314711</v>
      </c>
      <c r="L11" s="32">
        <v>0.39911837121212135</v>
      </c>
      <c r="M11" s="36">
        <v>28266.666666666668</v>
      </c>
      <c r="N11"/>
      <c r="P11" s="31" t="s">
        <v>83</v>
      </c>
      <c r="Q11" s="32">
        <v>0.82204766407253849</v>
      </c>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row>
    <row r="12" spans="1:73" ht="14.4" x14ac:dyDescent="0.3">
      <c r="A12" s="31" t="s">
        <v>17</v>
      </c>
      <c r="B12" s="34">
        <v>251436</v>
      </c>
      <c r="C12" s="34">
        <v>219000</v>
      </c>
      <c r="D12" s="32">
        <v>0.14810958904109595</v>
      </c>
      <c r="E12"/>
      <c r="G12" s="31" t="s">
        <v>41</v>
      </c>
      <c r="H12" s="34">
        <v>535000</v>
      </c>
      <c r="I12" s="34">
        <v>635835</v>
      </c>
      <c r="J12" s="32">
        <v>0.18847663551401861</v>
      </c>
      <c r="K12" s="32">
        <v>0.78068209519765341</v>
      </c>
      <c r="L12" s="32">
        <v>0.37789035392088843</v>
      </c>
      <c r="M12" s="36">
        <v>35300</v>
      </c>
      <c r="N12"/>
      <c r="P12" s="31" t="s">
        <v>84</v>
      </c>
      <c r="Q12" s="32">
        <v>0.86255956565893288</v>
      </c>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row>
    <row r="13" spans="1:73" ht="14.4" x14ac:dyDescent="0.3">
      <c r="A13" s="31" t="s">
        <v>18</v>
      </c>
      <c r="B13" s="34">
        <v>266731</v>
      </c>
      <c r="C13" s="34">
        <v>234000</v>
      </c>
      <c r="D13" s="32">
        <v>0.13987606837606847</v>
      </c>
      <c r="E13"/>
      <c r="G13" s="39" t="s">
        <v>23</v>
      </c>
      <c r="H13" s="34">
        <v>535000</v>
      </c>
      <c r="I13" s="34">
        <v>635835</v>
      </c>
      <c r="J13" s="32">
        <v>0.18847663551401861</v>
      </c>
      <c r="K13" s="32">
        <v>0.78068209519765341</v>
      </c>
      <c r="L13" s="32">
        <v>0.37789035392088843</v>
      </c>
      <c r="M13" s="36">
        <v>35300</v>
      </c>
      <c r="N13"/>
      <c r="P13" s="31" t="s">
        <v>85</v>
      </c>
      <c r="Q13" s="32">
        <v>0.72911135573830654</v>
      </c>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row>
    <row r="14" spans="1:73" ht="14.4" x14ac:dyDescent="0.3">
      <c r="A14" s="31" t="s">
        <v>19</v>
      </c>
      <c r="B14" s="34">
        <v>270681</v>
      </c>
      <c r="C14" s="34">
        <v>208000</v>
      </c>
      <c r="D14" s="32">
        <v>0.30135096153846153</v>
      </c>
      <c r="E14"/>
      <c r="G14" s="43" t="s">
        <v>50</v>
      </c>
      <c r="H14" s="35">
        <v>2536000</v>
      </c>
      <c r="I14" s="35">
        <v>3119302</v>
      </c>
      <c r="J14" s="33">
        <v>0.23000867507886436</v>
      </c>
      <c r="K14" s="33">
        <v>0.78665633102106369</v>
      </c>
      <c r="L14" s="33">
        <v>0.42540948213265528</v>
      </c>
      <c r="M14" s="37">
        <v>149033.33333333334</v>
      </c>
      <c r="N14"/>
      <c r="P14" s="31" t="s">
        <v>86</v>
      </c>
      <c r="Q14" s="32">
        <v>0.76689032230181631</v>
      </c>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row>
    <row r="15" spans="1:73" ht="14.4" x14ac:dyDescent="0.3">
      <c r="A15" s="31" t="s">
        <v>20</v>
      </c>
      <c r="B15" s="34">
        <v>244186</v>
      </c>
      <c r="C15" s="34">
        <v>213000</v>
      </c>
      <c r="D15" s="32">
        <v>0.14641314553990603</v>
      </c>
      <c r="E15"/>
      <c r="F15"/>
      <c r="G15"/>
      <c r="H15"/>
      <c r="I15"/>
      <c r="J15"/>
      <c r="K15"/>
      <c r="L15"/>
      <c r="M15"/>
      <c r="N15"/>
      <c r="P15" s="31" t="s">
        <v>87</v>
      </c>
      <c r="Q15" s="32">
        <v>0.74887400734858367</v>
      </c>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row>
    <row r="16" spans="1:73" ht="14.4" x14ac:dyDescent="0.3">
      <c r="A16" s="43" t="s">
        <v>50</v>
      </c>
      <c r="B16" s="35">
        <v>3119302</v>
      </c>
      <c r="C16" s="35">
        <v>2536000</v>
      </c>
      <c r="D16" s="33">
        <v>0.23000867507886436</v>
      </c>
      <c r="E16"/>
      <c r="F16"/>
      <c r="G16"/>
      <c r="H16"/>
      <c r="I16"/>
      <c r="J16"/>
      <c r="K16"/>
      <c r="L16"/>
      <c r="M16"/>
      <c r="N16"/>
      <c r="P16" s="31" t="s">
        <v>88</v>
      </c>
      <c r="Q16" s="32">
        <v>0.85667840172370668</v>
      </c>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row>
    <row r="17" spans="1:53" x14ac:dyDescent="0.3">
      <c r="A17" s="19"/>
      <c r="B17" s="19"/>
      <c r="C17" s="19"/>
      <c r="D17" s="19"/>
      <c r="E17" s="19"/>
      <c r="F17" s="19"/>
      <c r="G17" s="19"/>
      <c r="H17" s="19"/>
      <c r="I17" s="19"/>
      <c r="J17" s="19"/>
      <c r="K17" s="19"/>
      <c r="L17" s="19"/>
      <c r="M17" s="19"/>
      <c r="N17" s="19"/>
      <c r="P17" s="31" t="s">
        <v>89</v>
      </c>
      <c r="Q17" s="32">
        <v>0.83397526485448015</v>
      </c>
      <c r="R17" s="19"/>
      <c r="S17" s="19"/>
      <c r="T17" s="19"/>
      <c r="U17" s="19"/>
      <c r="V17" s="19"/>
      <c r="W17" s="19"/>
      <c r="X17" s="19"/>
      <c r="Y17" s="19"/>
      <c r="Z17" s="19"/>
      <c r="AA17" s="19"/>
      <c r="AB17" s="19"/>
      <c r="AC17" s="19"/>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row>
    <row r="18" spans="1:53" x14ac:dyDescent="0.3">
      <c r="A18" s="18" t="s">
        <v>73</v>
      </c>
      <c r="B18" s="19"/>
      <c r="C18" s="19"/>
      <c r="D18" s="19"/>
      <c r="E18" s="19"/>
      <c r="G18" s="21" t="s">
        <v>129</v>
      </c>
      <c r="H18" s="19"/>
      <c r="I18" s="19"/>
      <c r="J18" s="19"/>
      <c r="K18" s="19"/>
      <c r="L18" s="19"/>
      <c r="M18" s="19"/>
      <c r="N18" s="19"/>
      <c r="P18" s="31" t="s">
        <v>90</v>
      </c>
      <c r="Q18" s="32">
        <v>0.83896185115697308</v>
      </c>
      <c r="R18" s="19"/>
      <c r="S18" s="19"/>
      <c r="T18" s="19"/>
      <c r="U18" s="19"/>
      <c r="V18" s="19"/>
      <c r="W18" s="19"/>
      <c r="X18" s="19"/>
      <c r="Y18" s="19"/>
      <c r="Z18" s="19"/>
      <c r="AA18" s="19"/>
      <c r="AB18" s="19"/>
      <c r="AC18" s="19"/>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row>
    <row r="19" spans="1:53" ht="14.4" x14ac:dyDescent="0.3">
      <c r="A19" s="30" t="s">
        <v>5</v>
      </c>
      <c r="B19" s="18" t="s">
        <v>69</v>
      </c>
      <c r="C19" s="18" t="s">
        <v>68</v>
      </c>
      <c r="D19" s="18" t="s">
        <v>57</v>
      </c>
      <c r="E19"/>
      <c r="G19" s="30" t="s">
        <v>70</v>
      </c>
      <c r="H19" s="30" t="s">
        <v>56</v>
      </c>
      <c r="I19"/>
      <c r="J19" s="30" t="s">
        <v>70</v>
      </c>
      <c r="K19" s="30" t="s">
        <v>56</v>
      </c>
      <c r="L19" s="30" t="s">
        <v>59</v>
      </c>
      <c r="M19"/>
      <c r="N19"/>
      <c r="P19" s="31" t="s">
        <v>91</v>
      </c>
      <c r="Q19" s="32">
        <v>0.80834918492156016</v>
      </c>
      <c r="R19" s="19"/>
      <c r="S19" s="19"/>
      <c r="T19" s="19"/>
      <c r="U19" s="19"/>
      <c r="V19" s="19"/>
      <c r="W19" s="19"/>
      <c r="X19" s="19"/>
      <c r="Y19" s="19"/>
      <c r="Z19" s="19"/>
      <c r="AA19" s="19"/>
      <c r="AB19" s="19"/>
      <c r="AC19" s="19"/>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row>
    <row r="20" spans="1:53" ht="14.4" x14ac:dyDescent="0.3">
      <c r="A20" s="31" t="s">
        <v>9</v>
      </c>
      <c r="B20" s="34">
        <v>52816.666666666657</v>
      </c>
      <c r="C20" s="34">
        <v>64683.333333333328</v>
      </c>
      <c r="D20" s="32">
        <v>0.22467655411801846</v>
      </c>
      <c r="E20"/>
      <c r="G20" s="31" t="s">
        <v>43</v>
      </c>
      <c r="H20" s="32">
        <v>0.75835469354775242</v>
      </c>
      <c r="I20"/>
      <c r="J20" s="31" t="s">
        <v>31</v>
      </c>
      <c r="K20" s="32">
        <v>0.81009669977647891</v>
      </c>
      <c r="L20" s="32">
        <v>0.66673224715647095</v>
      </c>
      <c r="M20"/>
      <c r="N20"/>
      <c r="P20" s="31" t="s">
        <v>92</v>
      </c>
      <c r="Q20" s="32">
        <v>0.7233544281168437</v>
      </c>
      <c r="R20" s="19"/>
      <c r="S20" s="19"/>
      <c r="T20" s="19"/>
      <c r="U20" s="19"/>
      <c r="V20" s="19"/>
      <c r="W20" s="19"/>
      <c r="X20" s="19"/>
      <c r="Y20" s="19"/>
      <c r="Z20" s="19"/>
      <c r="AA20" s="19"/>
      <c r="AB20" s="19"/>
      <c r="AC20" s="19"/>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row>
    <row r="21" spans="1:53" ht="14.4" x14ac:dyDescent="0.3">
      <c r="A21" s="31" t="s">
        <v>10</v>
      </c>
      <c r="B21" s="34">
        <v>57549.999999999985</v>
      </c>
      <c r="C21" s="34">
        <v>68383.333333333343</v>
      </c>
      <c r="D21" s="32">
        <v>0.18824210831161348</v>
      </c>
      <c r="E21"/>
      <c r="G21" s="31" t="s">
        <v>45</v>
      </c>
      <c r="H21" s="32">
        <v>0.76599063962558511</v>
      </c>
      <c r="I21"/>
      <c r="J21" s="31" t="s">
        <v>30</v>
      </c>
      <c r="K21" s="32">
        <v>0.80945188250692546</v>
      </c>
      <c r="L21" s="32">
        <v>0.56971819805516954</v>
      </c>
      <c r="M21"/>
      <c r="N21"/>
      <c r="P21" s="31" t="s">
        <v>93</v>
      </c>
      <c r="Q21" s="32">
        <v>0.74819329453735495</v>
      </c>
      <c r="R21" s="19"/>
      <c r="S21" s="19"/>
      <c r="T21" s="19"/>
      <c r="U21" s="19"/>
      <c r="V21" s="19"/>
      <c r="W21" s="19"/>
      <c r="X21" s="19"/>
      <c r="Y21" s="19"/>
      <c r="Z21" s="19"/>
      <c r="AA21" s="19"/>
      <c r="AB21" s="19"/>
      <c r="AC21" s="19"/>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row>
    <row r="22" spans="1:53" ht="14.4" x14ac:dyDescent="0.3">
      <c r="A22" s="31" t="s">
        <v>11</v>
      </c>
      <c r="B22" s="34">
        <v>61450</v>
      </c>
      <c r="C22" s="34">
        <v>72850.000000000015</v>
      </c>
      <c r="D22" s="32">
        <v>0.18551668022782764</v>
      </c>
      <c r="E22"/>
      <c r="G22" s="31" t="s">
        <v>32</v>
      </c>
      <c r="H22" s="32">
        <v>0.76787729987372255</v>
      </c>
      <c r="I22"/>
      <c r="J22" s="31" t="s">
        <v>35</v>
      </c>
      <c r="K22" s="32">
        <v>0.79682525238409396</v>
      </c>
      <c r="L22" s="32">
        <v>0.34187175043327556</v>
      </c>
      <c r="M22"/>
      <c r="N22"/>
      <c r="P22" s="31" t="s">
        <v>94</v>
      </c>
      <c r="Q22" s="32">
        <v>0.79591107845688358</v>
      </c>
      <c r="R22" s="19"/>
      <c r="S22" s="19"/>
      <c r="T22" s="19"/>
      <c r="U22" s="19"/>
      <c r="V22" s="19"/>
      <c r="W22" s="19"/>
      <c r="X22" s="19"/>
      <c r="Y22" s="19"/>
      <c r="Z22" s="19"/>
      <c r="AA22" s="19"/>
      <c r="AB22" s="19"/>
      <c r="AC22" s="19"/>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row>
    <row r="23" spans="1:53" ht="14.4" x14ac:dyDescent="0.3">
      <c r="A23" s="31" t="s">
        <v>12</v>
      </c>
      <c r="B23" s="34">
        <v>54716.666666666664</v>
      </c>
      <c r="C23" s="34">
        <v>67716.666666666672</v>
      </c>
      <c r="D23" s="32">
        <v>0.23758757234236993</v>
      </c>
      <c r="E23"/>
      <c r="G23" s="31" t="s">
        <v>29</v>
      </c>
      <c r="H23" s="32">
        <v>0.78243938507696131</v>
      </c>
      <c r="I23"/>
      <c r="J23" s="31" t="s">
        <v>34</v>
      </c>
      <c r="K23" s="32">
        <v>0.79482900333461481</v>
      </c>
      <c r="L23" s="32">
        <v>0.48946998535871189</v>
      </c>
      <c r="M23"/>
      <c r="N23"/>
      <c r="P23" s="31" t="s">
        <v>95</v>
      </c>
      <c r="Q23" s="32">
        <v>0.69671980941909473</v>
      </c>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row>
    <row r="24" spans="1:53" ht="14.4" x14ac:dyDescent="0.3">
      <c r="A24" s="31" t="s">
        <v>13</v>
      </c>
      <c r="B24" s="34">
        <v>42533.333333333343</v>
      </c>
      <c r="C24" s="34">
        <v>55000</v>
      </c>
      <c r="D24" s="32">
        <v>0.29310344827586188</v>
      </c>
      <c r="E24"/>
      <c r="G24" s="31" t="s">
        <v>44</v>
      </c>
      <c r="H24" s="32">
        <v>0.78606131138758806</v>
      </c>
      <c r="I24"/>
      <c r="J24" s="31" t="s">
        <v>33</v>
      </c>
      <c r="K24" s="32">
        <v>0.79149810506979124</v>
      </c>
      <c r="L24" s="32">
        <v>0.41976491159898965</v>
      </c>
      <c r="M24"/>
      <c r="N24"/>
      <c r="P24" s="31" t="s">
        <v>96</v>
      </c>
      <c r="Q24" s="32">
        <v>0.84451996997626999</v>
      </c>
      <c r="R24" s="19"/>
      <c r="S24" s="19"/>
      <c r="T24" s="19"/>
      <c r="U24" s="19"/>
      <c r="V24" s="19"/>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row>
    <row r="25" spans="1:53" ht="14.4" x14ac:dyDescent="0.3">
      <c r="A25" s="31" t="s">
        <v>14</v>
      </c>
      <c r="B25" s="34">
        <v>59516.666666666657</v>
      </c>
      <c r="C25" s="34">
        <v>70116.666666666672</v>
      </c>
      <c r="D25" s="32">
        <v>0.17810137216466004</v>
      </c>
      <c r="E25"/>
      <c r="G25" s="31" t="s">
        <v>33</v>
      </c>
      <c r="H25" s="32">
        <v>0.79149810506979124</v>
      </c>
      <c r="I25"/>
      <c r="J25" s="31" t="s">
        <v>44</v>
      </c>
      <c r="K25" s="32">
        <v>0.78606131138758806</v>
      </c>
      <c r="L25" s="32">
        <v>0.28362745098039199</v>
      </c>
      <c r="M25"/>
      <c r="N25"/>
      <c r="P25" s="31" t="s">
        <v>97</v>
      </c>
      <c r="Q25" s="32">
        <v>0.82501787860805531</v>
      </c>
      <c r="R25" s="19"/>
      <c r="S25" s="19"/>
      <c r="T25" s="19"/>
      <c r="U25" s="19"/>
      <c r="V25" s="19"/>
      <c r="W25" s="19"/>
      <c r="X25" s="19"/>
      <c r="Y25" s="19"/>
      <c r="Z25" s="19"/>
      <c r="AA25" s="19"/>
      <c r="AB25" s="19"/>
      <c r="AC25" s="19"/>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row>
    <row r="26" spans="1:53" ht="14.4" x14ac:dyDescent="0.3">
      <c r="A26" s="31" t="s">
        <v>15</v>
      </c>
      <c r="B26" s="34">
        <v>51116.666666666664</v>
      </c>
      <c r="C26" s="34">
        <v>65716.666666666657</v>
      </c>
      <c r="D26" s="32">
        <v>0.28562112813824569</v>
      </c>
      <c r="E26"/>
      <c r="G26" s="31" t="s">
        <v>34</v>
      </c>
      <c r="H26" s="32">
        <v>0.79482900333461481</v>
      </c>
      <c r="I26"/>
      <c r="J26" s="31" t="s">
        <v>29</v>
      </c>
      <c r="K26" s="32">
        <v>0.78243938507696131</v>
      </c>
      <c r="L26" s="32">
        <v>0.51953031243534054</v>
      </c>
      <c r="M26"/>
      <c r="N26"/>
      <c r="P26" s="31" t="s">
        <v>98</v>
      </c>
      <c r="Q26" s="32">
        <v>0.77969259911259348</v>
      </c>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row>
    <row r="27" spans="1:53" ht="14.4" x14ac:dyDescent="0.3">
      <c r="A27" s="31" t="s">
        <v>16</v>
      </c>
      <c r="B27" s="34">
        <v>59900</v>
      </c>
      <c r="C27" s="34">
        <v>70866.666666666672</v>
      </c>
      <c r="D27" s="32">
        <v>0.18308291597106296</v>
      </c>
      <c r="E27"/>
      <c r="G27" s="31" t="s">
        <v>35</v>
      </c>
      <c r="H27" s="32">
        <v>0.79682525238409396</v>
      </c>
      <c r="I27"/>
      <c r="J27" s="31" t="s">
        <v>32</v>
      </c>
      <c r="K27" s="32">
        <v>0.76787729987372255</v>
      </c>
      <c r="L27" s="32">
        <v>0.27929129464285718</v>
      </c>
      <c r="M27"/>
      <c r="N27"/>
      <c r="P27" s="31" t="s">
        <v>99</v>
      </c>
      <c r="Q27" s="32">
        <v>0.71908275122308551</v>
      </c>
      <c r="R27" s="19"/>
      <c r="S27" s="19"/>
      <c r="T27" s="19"/>
      <c r="U27" s="19"/>
      <c r="V27" s="19"/>
      <c r="W27" s="19"/>
      <c r="X27" s="19"/>
      <c r="Y27" s="19"/>
      <c r="Z27" s="19"/>
      <c r="AA27" s="19"/>
      <c r="AB27" s="19"/>
      <c r="AC27" s="19"/>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row>
    <row r="28" spans="1:53" ht="14.4" x14ac:dyDescent="0.3">
      <c r="A28" s="31" t="s">
        <v>17</v>
      </c>
      <c r="B28" s="34">
        <v>59883.333333333321</v>
      </c>
      <c r="C28" s="34">
        <v>72383.333333333314</v>
      </c>
      <c r="D28" s="32">
        <v>0.20873921514055094</v>
      </c>
      <c r="E28"/>
      <c r="G28" s="31" t="s">
        <v>30</v>
      </c>
      <c r="H28" s="32">
        <v>0.80945188250692546</v>
      </c>
      <c r="I28"/>
      <c r="J28" s="31" t="s">
        <v>45</v>
      </c>
      <c r="K28" s="32">
        <v>0.76599063962558511</v>
      </c>
      <c r="L28" s="32">
        <v>0.29366964543095997</v>
      </c>
      <c r="M28"/>
      <c r="N28"/>
      <c r="P28" s="31" t="s">
        <v>100</v>
      </c>
      <c r="Q28" s="32">
        <v>0.78444096367569183</v>
      </c>
      <c r="R28" s="19"/>
      <c r="S28" s="19"/>
      <c r="T28" s="19"/>
      <c r="U28" s="19"/>
      <c r="V28" s="19"/>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row>
    <row r="29" spans="1:53" ht="14.4" x14ac:dyDescent="0.3">
      <c r="A29" s="31" t="s">
        <v>18</v>
      </c>
      <c r="B29" s="34">
        <v>59166.666666666664</v>
      </c>
      <c r="C29" s="34">
        <v>73766.666666666672</v>
      </c>
      <c r="D29" s="32">
        <v>0.24676056338028185</v>
      </c>
      <c r="E29"/>
      <c r="G29" s="31" t="s">
        <v>31</v>
      </c>
      <c r="H29" s="32">
        <v>0.81009669977647891</v>
      </c>
      <c r="I29"/>
      <c r="J29" s="31" t="s">
        <v>43</v>
      </c>
      <c r="K29" s="32">
        <v>0.75835469354775242</v>
      </c>
      <c r="L29" s="32">
        <v>0.42964533612246814</v>
      </c>
      <c r="M29"/>
      <c r="N29"/>
      <c r="P29" s="31" t="s">
        <v>101</v>
      </c>
      <c r="Q29" s="32">
        <v>0.78039562025773246</v>
      </c>
      <c r="R29" s="19"/>
      <c r="S29" s="19"/>
      <c r="T29" s="19"/>
      <c r="U29" s="19"/>
      <c r="V29" s="19"/>
      <c r="W29" s="19"/>
      <c r="X29" s="19"/>
      <c r="Y29" s="19"/>
      <c r="Z29" s="19"/>
      <c r="AA29" s="19"/>
      <c r="AB29" s="19"/>
      <c r="AC29" s="19"/>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row>
    <row r="30" spans="1:53" ht="14.4" x14ac:dyDescent="0.3">
      <c r="A30" s="31" t="s">
        <v>19</v>
      </c>
      <c r="B30" s="34">
        <v>48833.333333333336</v>
      </c>
      <c r="C30" s="34">
        <v>65300.000000000007</v>
      </c>
      <c r="D30" s="32">
        <v>0.33720136518771349</v>
      </c>
      <c r="E30"/>
      <c r="G30" s="43" t="s">
        <v>50</v>
      </c>
      <c r="H30" s="33">
        <v>0.78665633102106414</v>
      </c>
      <c r="I30"/>
      <c r="J30" s="43" t="s">
        <v>50</v>
      </c>
      <c r="K30" s="33">
        <v>0.78665633102106414</v>
      </c>
      <c r="L30" s="33">
        <v>0.42540948213265639</v>
      </c>
      <c r="M30"/>
      <c r="N30"/>
      <c r="P30" s="31" t="s">
        <v>102</v>
      </c>
      <c r="Q30" s="32">
        <v>0.77573665633105171</v>
      </c>
      <c r="R30" s="19"/>
      <c r="S30" s="19"/>
      <c r="T30" s="19"/>
      <c r="U30" s="19"/>
      <c r="V30" s="19"/>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row>
    <row r="31" spans="1:53" ht="14.4" x14ac:dyDescent="0.3">
      <c r="A31" s="31" t="s">
        <v>20</v>
      </c>
      <c r="B31" s="34">
        <v>58000</v>
      </c>
      <c r="C31" s="34">
        <v>67733.333333333343</v>
      </c>
      <c r="D31" s="32">
        <v>0.16781609195402325</v>
      </c>
      <c r="E31"/>
      <c r="F31" s="19"/>
      <c r="G31" s="19"/>
      <c r="H31" s="19"/>
      <c r="I31"/>
      <c r="J31"/>
      <c r="K31" s="19"/>
      <c r="L31"/>
      <c r="M31"/>
      <c r="N31"/>
      <c r="P31" s="31" t="s">
        <v>103</v>
      </c>
      <c r="Q31" s="32">
        <v>0.7469993230255324</v>
      </c>
      <c r="R31" s="19"/>
      <c r="S31" s="19"/>
      <c r="T31" s="19"/>
      <c r="U31" s="19"/>
      <c r="V31" s="19"/>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row>
    <row r="32" spans="1:53" ht="14.4" x14ac:dyDescent="0.3">
      <c r="A32" s="43" t="s">
        <v>50</v>
      </c>
      <c r="B32" s="35">
        <v>665483.33333333326</v>
      </c>
      <c r="C32" s="35">
        <v>814516.66666666674</v>
      </c>
      <c r="D32" s="33">
        <v>0.22394750682461351</v>
      </c>
      <c r="E32"/>
      <c r="F32" s="19"/>
      <c r="G32" s="19"/>
      <c r="H32" s="19"/>
      <c r="I32"/>
      <c r="J32"/>
      <c r="K32" s="19"/>
      <c r="L32"/>
      <c r="M32"/>
      <c r="N32"/>
      <c r="P32" s="31" t="s">
        <v>104</v>
      </c>
      <c r="Q32" s="32">
        <v>0.8119810292695655</v>
      </c>
      <c r="R32" s="19"/>
      <c r="S32" s="19"/>
      <c r="T32" s="19"/>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row>
    <row r="33" spans="1:53" ht="14.4" x14ac:dyDescent="0.3">
      <c r="A33" s="19"/>
      <c r="B33" s="19"/>
      <c r="C33" s="19"/>
      <c r="D33" s="19"/>
      <c r="E33" s="19"/>
      <c r="F33" s="19"/>
      <c r="G33" s="19"/>
      <c r="H33" s="19"/>
      <c r="I33"/>
      <c r="J33"/>
      <c r="K33" s="19"/>
      <c r="L33"/>
      <c r="M33"/>
      <c r="N33"/>
      <c r="P33" s="31" t="s">
        <v>105</v>
      </c>
      <c r="Q33" s="32">
        <v>0.79865695682751414</v>
      </c>
      <c r="R33" s="19"/>
      <c r="S33" s="19"/>
      <c r="T33" s="19"/>
      <c r="U33" s="19"/>
      <c r="V33" s="19"/>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row>
    <row r="34" spans="1:53" ht="14.4" x14ac:dyDescent="0.3">
      <c r="A34" s="21" t="s">
        <v>61</v>
      </c>
      <c r="B34" s="19"/>
      <c r="C34" s="19"/>
      <c r="D34" s="19"/>
      <c r="E34" s="19"/>
      <c r="G34" s="18" t="s">
        <v>128</v>
      </c>
      <c r="H34" s="19"/>
      <c r="I34"/>
      <c r="K34"/>
      <c r="L34"/>
      <c r="M34"/>
      <c r="N34"/>
      <c r="P34" s="31" t="s">
        <v>106</v>
      </c>
      <c r="Q34" s="32">
        <v>0.77555930620892721</v>
      </c>
      <c r="R34" s="19"/>
      <c r="S34" s="19"/>
      <c r="T34" s="19"/>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row>
    <row r="35" spans="1:53" ht="14.4" x14ac:dyDescent="0.3">
      <c r="A35" s="30" t="s">
        <v>5</v>
      </c>
      <c r="B35" s="30" t="s">
        <v>56</v>
      </c>
      <c r="C35" s="30" t="s">
        <v>59</v>
      </c>
      <c r="D35"/>
      <c r="E35" s="19"/>
      <c r="G35" s="30" t="s">
        <v>36</v>
      </c>
      <c r="H35" s="30" t="s">
        <v>53</v>
      </c>
      <c r="I35"/>
      <c r="J35" s="30" t="s">
        <v>2</v>
      </c>
      <c r="K35" s="30" t="s">
        <v>5</v>
      </c>
      <c r="L35" s="30" t="s">
        <v>3</v>
      </c>
      <c r="M35" s="30" t="s">
        <v>74</v>
      </c>
      <c r="N35" s="30" t="s">
        <v>126</v>
      </c>
      <c r="P35" s="31" t="s">
        <v>107</v>
      </c>
      <c r="Q35" s="32">
        <v>0.75204160459085145</v>
      </c>
      <c r="R35" s="19"/>
      <c r="S35" s="19"/>
      <c r="T35" s="19"/>
      <c r="U35" s="19"/>
      <c r="V35" s="19"/>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row>
    <row r="36" spans="1:53" ht="14.4" x14ac:dyDescent="0.3">
      <c r="A36" s="31" t="s">
        <v>9</v>
      </c>
      <c r="B36" s="32">
        <v>0.78226665292521225</v>
      </c>
      <c r="C36" s="32">
        <v>0.36206484029190134</v>
      </c>
      <c r="D36"/>
      <c r="E36" s="19"/>
      <c r="G36" s="31" t="s">
        <v>40</v>
      </c>
      <c r="H36" s="36">
        <v>28266.666666666668</v>
      </c>
      <c r="I36"/>
      <c r="J36" s="19" t="s">
        <v>45</v>
      </c>
      <c r="K36" s="19"/>
      <c r="L36" s="19"/>
      <c r="M36" s="46">
        <v>-3127.3333333333335</v>
      </c>
      <c r="N36" s="44">
        <v>4</v>
      </c>
      <c r="P36" s="31" t="s">
        <v>108</v>
      </c>
      <c r="Q36" s="32">
        <v>0.80079681274900394</v>
      </c>
      <c r="R36" s="19"/>
      <c r="S36" s="19"/>
      <c r="T36" s="19"/>
      <c r="U36" s="19"/>
      <c r="V36" s="19"/>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row>
    <row r="37" spans="1:53" ht="14.4" x14ac:dyDescent="0.3">
      <c r="A37" s="31" t="s">
        <v>10</v>
      </c>
      <c r="B37" s="32">
        <v>0.7847487675885132</v>
      </c>
      <c r="C37" s="32">
        <v>0.3658153412173164</v>
      </c>
      <c r="D37"/>
      <c r="E37" s="19"/>
      <c r="G37" s="31" t="s">
        <v>39</v>
      </c>
      <c r="H37" s="36">
        <v>28366.666666666668</v>
      </c>
      <c r="I37"/>
      <c r="J37" s="19" t="s">
        <v>43</v>
      </c>
      <c r="K37" s="19"/>
      <c r="L37" s="19"/>
      <c r="M37" s="46">
        <v>-4095.3333333333335</v>
      </c>
      <c r="N37" s="44">
        <v>4</v>
      </c>
      <c r="P37" s="31" t="s">
        <v>109</v>
      </c>
      <c r="Q37" s="32">
        <v>0.77596135333345007</v>
      </c>
      <c r="R37" s="19"/>
      <c r="S37" s="19"/>
      <c r="T37" s="19"/>
      <c r="U37" s="19"/>
      <c r="V37" s="19"/>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row>
    <row r="38" spans="1:53" ht="14.4" x14ac:dyDescent="0.3">
      <c r="A38" s="31" t="s">
        <v>11</v>
      </c>
      <c r="B38" s="32">
        <v>0.77266757673625375</v>
      </c>
      <c r="C38" s="32">
        <v>0.5685993240705971</v>
      </c>
      <c r="D38"/>
      <c r="E38" s="19"/>
      <c r="G38" s="31" t="s">
        <v>37</v>
      </c>
      <c r="H38" s="36">
        <v>28400</v>
      </c>
      <c r="I38"/>
      <c r="J38" s="19" t="s">
        <v>44</v>
      </c>
      <c r="K38" s="19"/>
      <c r="L38" s="19"/>
      <c r="M38" s="46">
        <v>-1546.3333333333335</v>
      </c>
      <c r="N38" s="44">
        <v>3</v>
      </c>
      <c r="P38" s="31" t="s">
        <v>110</v>
      </c>
      <c r="Q38" s="32">
        <v>0.81779049575659757</v>
      </c>
      <c r="R38" s="19"/>
      <c r="S38" s="19"/>
      <c r="T38" s="19"/>
      <c r="U38" s="19"/>
      <c r="V38" s="19"/>
      <c r="W38" s="19"/>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row>
    <row r="39" spans="1:53" ht="14.4" x14ac:dyDescent="0.3">
      <c r="A39" s="31" t="s">
        <v>12</v>
      </c>
      <c r="B39" s="32">
        <v>0.78024287747285337</v>
      </c>
      <c r="C39" s="32">
        <v>0.3848425804918616</v>
      </c>
      <c r="D39"/>
      <c r="E39" s="19"/>
      <c r="G39" s="31" t="s">
        <v>38</v>
      </c>
      <c r="H39" s="36">
        <v>28700</v>
      </c>
      <c r="I39"/>
      <c r="J39" s="19" t="s">
        <v>35</v>
      </c>
      <c r="K39" s="19"/>
      <c r="L39" s="19"/>
      <c r="M39" s="46">
        <v>-1237</v>
      </c>
      <c r="N39" s="44">
        <v>2</v>
      </c>
      <c r="P39" s="31" t="s">
        <v>111</v>
      </c>
      <c r="Q39" s="32">
        <v>0.79203421545041452</v>
      </c>
      <c r="R39" s="19"/>
      <c r="S39" s="19"/>
      <c r="T39" s="19"/>
      <c r="U39" s="19"/>
      <c r="V39" s="19"/>
      <c r="W39" s="19"/>
      <c r="X39" s="19"/>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row>
    <row r="40" spans="1:53" ht="14.4" x14ac:dyDescent="0.3">
      <c r="A40" s="31" t="s">
        <v>13</v>
      </c>
      <c r="B40" s="32">
        <v>0.8379602291415067</v>
      </c>
      <c r="C40" s="32">
        <v>0.74566402116402108</v>
      </c>
      <c r="D40"/>
      <c r="E40" s="19"/>
      <c r="G40" s="31" t="s">
        <v>41</v>
      </c>
      <c r="H40" s="36">
        <v>35300</v>
      </c>
      <c r="I40"/>
      <c r="J40" s="19" t="s">
        <v>33</v>
      </c>
      <c r="K40" s="19"/>
      <c r="L40" s="19"/>
      <c r="M40" s="46">
        <v>-1368</v>
      </c>
      <c r="N40" s="44">
        <v>1</v>
      </c>
      <c r="P40" s="31" t="s">
        <v>112</v>
      </c>
      <c r="Q40" s="32">
        <v>0.78393257697245822</v>
      </c>
      <c r="R40" s="19"/>
      <c r="S40" s="19"/>
      <c r="T40" s="19"/>
      <c r="U40" s="19"/>
      <c r="V40" s="19"/>
      <c r="W40" s="19"/>
      <c r="X40" s="19"/>
      <c r="Y40" s="19"/>
      <c r="Z40" s="19"/>
      <c r="AA40" s="19"/>
      <c r="AB40" s="19"/>
      <c r="AC40" s="19"/>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row>
    <row r="41" spans="1:53" ht="14.4" x14ac:dyDescent="0.3">
      <c r="A41" s="31" t="s">
        <v>14</v>
      </c>
      <c r="B41" s="32">
        <v>0.76436042099706369</v>
      </c>
      <c r="C41" s="32">
        <v>0.39007560302412125</v>
      </c>
      <c r="D41"/>
      <c r="E41" s="19"/>
      <c r="G41" s="43" t="s">
        <v>50</v>
      </c>
      <c r="H41" s="37">
        <v>149033.33333333334</v>
      </c>
      <c r="I41"/>
      <c r="J41" s="19" t="s">
        <v>29</v>
      </c>
      <c r="K41" s="19"/>
      <c r="L41" s="19"/>
      <c r="M41" s="46">
        <v>-82</v>
      </c>
      <c r="N41" s="44">
        <v>1</v>
      </c>
      <c r="P41" s="31" t="s">
        <v>113</v>
      </c>
      <c r="Q41" s="32">
        <v>0.80056033050002384</v>
      </c>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row>
    <row r="42" spans="1:53" ht="14.4" x14ac:dyDescent="0.3">
      <c r="A42" s="31" t="s">
        <v>15</v>
      </c>
      <c r="B42" s="32">
        <v>0.8026322563373901</v>
      </c>
      <c r="C42" s="32">
        <v>0.40187928515229854</v>
      </c>
      <c r="D42"/>
      <c r="E42" s="19"/>
      <c r="F42" s="19"/>
      <c r="G42" s="19"/>
      <c r="H42" s="19"/>
      <c r="I42"/>
      <c r="J42" s="43" t="s">
        <v>50</v>
      </c>
      <c r="K42" s="43"/>
      <c r="L42" s="43"/>
      <c r="M42" s="37">
        <v>-11456.000000000002</v>
      </c>
      <c r="N42" s="45">
        <v>15</v>
      </c>
      <c r="P42" s="31" t="s">
        <v>114</v>
      </c>
      <c r="Q42" s="32">
        <v>0.8223049585378237</v>
      </c>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row>
    <row r="43" spans="1:53" ht="14.4" x14ac:dyDescent="0.3">
      <c r="A43" s="31" t="s">
        <v>16</v>
      </c>
      <c r="B43" s="32">
        <v>0.78832501121983456</v>
      </c>
      <c r="C43" s="32">
        <v>0.51618260081558676</v>
      </c>
      <c r="D43"/>
      <c r="E43" s="19"/>
      <c r="H43"/>
      <c r="I43"/>
      <c r="J43"/>
      <c r="K43"/>
      <c r="L43"/>
      <c r="M43"/>
      <c r="N43"/>
      <c r="P43" s="31" t="s">
        <v>115</v>
      </c>
      <c r="Q43" s="32">
        <v>0.84617930819630638</v>
      </c>
      <c r="R43" s="19"/>
      <c r="S43" s="19"/>
      <c r="T43" s="19"/>
      <c r="U43" s="19"/>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row>
    <row r="44" spans="1:53" ht="14.4" x14ac:dyDescent="0.3">
      <c r="A44" s="31" t="s">
        <v>17</v>
      </c>
      <c r="B44" s="32">
        <v>0.76183468821754519</v>
      </c>
      <c r="C44" s="32">
        <v>0.30648630214845984</v>
      </c>
      <c r="D44"/>
      <c r="E44" s="19"/>
      <c r="G44" s="18" t="s">
        <v>127</v>
      </c>
      <c r="I44"/>
      <c r="J44"/>
      <c r="K44"/>
      <c r="L44"/>
      <c r="M44"/>
      <c r="N44"/>
      <c r="P44" s="31" t="s">
        <v>116</v>
      </c>
      <c r="Q44" s="32">
        <v>0.77472228695719725</v>
      </c>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c r="BA44" s="19"/>
    </row>
    <row r="45" spans="1:53" ht="14.4" x14ac:dyDescent="0.3">
      <c r="A45" s="31" t="s">
        <v>18</v>
      </c>
      <c r="B45" s="32">
        <v>0.77817851443339303</v>
      </c>
      <c r="C45" s="32">
        <v>0.29538797586852494</v>
      </c>
      <c r="D45"/>
      <c r="E45" s="19"/>
      <c r="G45" s="30" t="s">
        <v>3</v>
      </c>
      <c r="H45" s="30" t="s">
        <v>59</v>
      </c>
      <c r="I45"/>
      <c r="J45"/>
      <c r="K45"/>
      <c r="L45"/>
      <c r="M45"/>
      <c r="N45"/>
      <c r="P45" s="31" t="s">
        <v>117</v>
      </c>
      <c r="Q45" s="32">
        <v>0.73734526210006335</v>
      </c>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c r="BA45" s="19"/>
    </row>
    <row r="46" spans="1:53" ht="14.4" x14ac:dyDescent="0.3">
      <c r="A46" s="31" t="s">
        <v>19</v>
      </c>
      <c r="B46" s="32">
        <v>0.81959083447551417</v>
      </c>
      <c r="C46" s="32">
        <v>0.55464377481896743</v>
      </c>
      <c r="D46"/>
      <c r="E46" s="19"/>
      <c r="G46" s="31" t="s">
        <v>24</v>
      </c>
      <c r="H46" s="32">
        <v>0.34611941034363758</v>
      </c>
      <c r="I46"/>
      <c r="J46"/>
      <c r="K46"/>
      <c r="L46"/>
      <c r="M46"/>
      <c r="N46"/>
      <c r="P46" s="31" t="s">
        <v>118</v>
      </c>
      <c r="Q46" s="32">
        <v>0.75743927579098336</v>
      </c>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c r="AZ46" s="19"/>
      <c r="BA46" s="19"/>
    </row>
    <row r="47" spans="1:53" ht="14.4" x14ac:dyDescent="0.3">
      <c r="A47" s="31" t="s">
        <v>20</v>
      </c>
      <c r="B47" s="32">
        <v>0.76247614523355145</v>
      </c>
      <c r="C47" s="32">
        <v>0.28168425883432757</v>
      </c>
      <c r="D47"/>
      <c r="E47" s="19"/>
      <c r="G47" s="31" t="s">
        <v>23</v>
      </c>
      <c r="H47" s="32">
        <v>0.37789035392088843</v>
      </c>
      <c r="I47"/>
      <c r="J47"/>
      <c r="K47"/>
      <c r="L47"/>
      <c r="M47"/>
      <c r="N47"/>
      <c r="P47" s="31" t="s">
        <v>119</v>
      </c>
      <c r="Q47" s="32">
        <v>0.82738073298686621</v>
      </c>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c r="AV47" s="19"/>
      <c r="AW47" s="19"/>
      <c r="AX47" s="19"/>
      <c r="AY47" s="19"/>
      <c r="AZ47" s="19"/>
      <c r="BA47" s="19"/>
    </row>
    <row r="48" spans="1:53" ht="14.4" x14ac:dyDescent="0.3">
      <c r="A48" s="43" t="s">
        <v>50</v>
      </c>
      <c r="B48" s="33">
        <v>0.7866563310210638</v>
      </c>
      <c r="C48" s="33">
        <v>0.42540948213265661</v>
      </c>
      <c r="D48"/>
      <c r="E48" s="19"/>
      <c r="G48" s="31" t="s">
        <v>22</v>
      </c>
      <c r="H48" s="32">
        <v>0.39911837121212135</v>
      </c>
      <c r="I48"/>
      <c r="J48"/>
      <c r="K48"/>
      <c r="L48"/>
      <c r="M48"/>
      <c r="N48"/>
      <c r="P48" s="31" t="s">
        <v>120</v>
      </c>
      <c r="Q48" s="32">
        <v>0.87316119495505806</v>
      </c>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c r="AV48" s="19"/>
      <c r="AW48" s="19"/>
      <c r="AX48" s="19"/>
      <c r="AY48" s="19"/>
      <c r="AZ48" s="19"/>
      <c r="BA48" s="19"/>
    </row>
    <row r="49" spans="1:53" ht="14.4" x14ac:dyDescent="0.3">
      <c r="A49" s="19"/>
      <c r="B49" s="19"/>
      <c r="C49" s="19"/>
      <c r="D49" s="19"/>
      <c r="E49" s="19"/>
      <c r="G49" s="31" t="s">
        <v>8</v>
      </c>
      <c r="H49" s="32">
        <v>0.44022640782311262</v>
      </c>
      <c r="I49"/>
      <c r="J49"/>
      <c r="K49"/>
      <c r="L49"/>
      <c r="M49"/>
      <c r="N49"/>
      <c r="P49" s="31" t="s">
        <v>121</v>
      </c>
      <c r="Q49" s="32">
        <v>0.78441708324418247</v>
      </c>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c r="AV49" s="19"/>
      <c r="AW49" s="19"/>
      <c r="AX49" s="19"/>
      <c r="AY49" s="19"/>
      <c r="AZ49" s="19"/>
      <c r="BA49" s="19"/>
    </row>
    <row r="50" spans="1:53" ht="14.4" x14ac:dyDescent="0.3">
      <c r="A50" s="21" t="s">
        <v>62</v>
      </c>
      <c r="B50" s="19"/>
      <c r="C50" s="19"/>
      <c r="D50" s="19"/>
      <c r="E50" s="19"/>
      <c r="G50" s="31" t="s">
        <v>21</v>
      </c>
      <c r="H50" s="32">
        <v>0.5731672816728155</v>
      </c>
      <c r="I50"/>
      <c r="J50"/>
      <c r="K50"/>
      <c r="L50"/>
      <c r="M50"/>
      <c r="N50"/>
      <c r="P50" s="31" t="s">
        <v>122</v>
      </c>
      <c r="Q50" s="32">
        <v>0.71975224198206411</v>
      </c>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c r="AV50" s="19"/>
      <c r="AW50" s="19"/>
      <c r="AX50" s="19"/>
      <c r="AY50" s="19"/>
      <c r="AZ50" s="19"/>
      <c r="BA50" s="19"/>
    </row>
    <row r="51" spans="1:53" ht="14.4" x14ac:dyDescent="0.3">
      <c r="A51" s="30" t="s">
        <v>52</v>
      </c>
      <c r="B51" s="30" t="s">
        <v>53</v>
      </c>
      <c r="C51" s="30" t="s">
        <v>54</v>
      </c>
      <c r="D51" s="30" t="s">
        <v>56</v>
      </c>
      <c r="E51" s="19"/>
      <c r="G51" s="43" t="s">
        <v>50</v>
      </c>
      <c r="H51" s="33">
        <v>0.42540948213265661</v>
      </c>
      <c r="I51"/>
      <c r="J51"/>
      <c r="K51"/>
      <c r="L51"/>
      <c r="M51"/>
      <c r="N51"/>
      <c r="P51" s="31" t="s">
        <v>123</v>
      </c>
      <c r="Q51" s="32">
        <v>0.72191145916573451</v>
      </c>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c r="AV51" s="19"/>
      <c r="AW51" s="19"/>
      <c r="AX51" s="19"/>
      <c r="AY51" s="19"/>
      <c r="AZ51" s="19"/>
      <c r="BA51" s="19"/>
    </row>
    <row r="52" spans="1:53" ht="14.4" x14ac:dyDescent="0.3">
      <c r="A52" s="36">
        <v>3119302</v>
      </c>
      <c r="B52" s="38">
        <v>149033.33333333334</v>
      </c>
      <c r="C52" s="36">
        <v>2453818.6666666665</v>
      </c>
      <c r="D52" s="32">
        <v>0.7866563310210638</v>
      </c>
      <c r="E52" s="19"/>
      <c r="F52" s="19"/>
      <c r="G52" s="19"/>
      <c r="H52" s="19"/>
      <c r="I52"/>
      <c r="J52"/>
      <c r="K52"/>
      <c r="L52"/>
      <c r="M52"/>
      <c r="N52"/>
      <c r="P52" s="31" t="s">
        <v>124</v>
      </c>
      <c r="Q52" s="32">
        <v>0.77527164965426409</v>
      </c>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c r="AV52" s="19"/>
      <c r="AW52" s="19"/>
      <c r="AX52" s="19"/>
      <c r="AY52" s="19"/>
      <c r="AZ52" s="19"/>
      <c r="BA52" s="19"/>
    </row>
    <row r="53" spans="1:53" ht="14.4" x14ac:dyDescent="0.3">
      <c r="A53" s="19"/>
      <c r="B53" s="19"/>
      <c r="C53" s="19"/>
      <c r="D53" s="19"/>
      <c r="E53" s="19"/>
      <c r="F53" s="19"/>
      <c r="G53" s="19"/>
      <c r="H53" s="19"/>
      <c r="I53"/>
      <c r="J53"/>
      <c r="K53"/>
      <c r="L53"/>
      <c r="M53"/>
      <c r="N53"/>
      <c r="P53" s="31" t="s">
        <v>125</v>
      </c>
      <c r="Q53" s="32">
        <v>0.82211108400422872</v>
      </c>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c r="AX53" s="19"/>
      <c r="AY53" s="19"/>
      <c r="AZ53" s="19"/>
      <c r="BA53" s="19"/>
    </row>
    <row r="54" spans="1:53" ht="15.6" x14ac:dyDescent="0.3">
      <c r="A54" s="23">
        <f>GETPIVOTDATA("Sum of Actual Sales",$A$51)</f>
        <v>3119302</v>
      </c>
      <c r="B54" s="24" t="str">
        <f>TEXT(GETPIVOTDATA("Sum of △Expense  Variance",$A$51), "₦#,##0;(₦#,##0)")</f>
        <v>₦149,033</v>
      </c>
      <c r="C54" s="25">
        <f>GETPIVOTDATA("Sum of Actual Net Profit",$A$51)</f>
        <v>2453818.6666666665</v>
      </c>
      <c r="D54" s="26">
        <f>GETPIVOTDATA("Sum of Net Profit Margin",$A$51)</f>
        <v>0.7866563310210638</v>
      </c>
      <c r="E54" s="19"/>
      <c r="F54"/>
      <c r="G54"/>
      <c r="H54"/>
      <c r="I54"/>
      <c r="J54"/>
      <c r="K54"/>
      <c r="L54"/>
      <c r="M54"/>
      <c r="N54"/>
      <c r="P54" s="43" t="s">
        <v>50</v>
      </c>
      <c r="Q54" s="33">
        <v>0.78665633102106414</v>
      </c>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c r="AZ54" s="19"/>
      <c r="BA54" s="19"/>
    </row>
    <row r="55" spans="1:53" ht="14.4" x14ac:dyDescent="0.3">
      <c r="A55" s="19"/>
      <c r="B55" s="19"/>
      <c r="C55" s="19"/>
      <c r="D55" s="19"/>
      <c r="E55" s="19"/>
      <c r="F55"/>
      <c r="G55"/>
      <c r="H55"/>
      <c r="I55"/>
      <c r="J55"/>
      <c r="K55"/>
      <c r="L55"/>
      <c r="M55"/>
      <c r="N55"/>
      <c r="O55"/>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row>
    <row r="56" spans="1:53" ht="14.4" x14ac:dyDescent="0.3">
      <c r="A56" s="19"/>
      <c r="B56" s="19"/>
      <c r="C56" s="19"/>
      <c r="D56" s="19"/>
      <c r="E56" s="19"/>
      <c r="F56"/>
      <c r="G56"/>
      <c r="H56"/>
      <c r="I56"/>
      <c r="J56"/>
      <c r="K56"/>
      <c r="L56"/>
      <c r="M56"/>
      <c r="N56"/>
      <c r="O56"/>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c r="BA56" s="19"/>
    </row>
    <row r="57" spans="1:53" ht="14.4" x14ac:dyDescent="0.3">
      <c r="A57" s="19"/>
      <c r="B57" s="19"/>
      <c r="C57" s="19"/>
      <c r="D57" s="19"/>
      <c r="E57" s="19"/>
      <c r="F57"/>
      <c r="G57"/>
      <c r="H57"/>
      <c r="I57"/>
      <c r="J57"/>
      <c r="K57"/>
      <c r="L57"/>
      <c r="M57"/>
      <c r="N57"/>
      <c r="O57"/>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c r="BA57" s="19"/>
    </row>
    <row r="58" spans="1:53" ht="14.4" x14ac:dyDescent="0.3">
      <c r="A58" s="19"/>
      <c r="B58" s="19"/>
      <c r="C58" s="19"/>
      <c r="D58" s="19"/>
      <c r="E58" s="19"/>
      <c r="F58"/>
      <c r="G58"/>
      <c r="H58"/>
      <c r="I58"/>
      <c r="J58"/>
      <c r="K58"/>
      <c r="L58"/>
      <c r="M58"/>
      <c r="N58"/>
      <c r="O58"/>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row>
    <row r="59" spans="1:53" ht="14.4" x14ac:dyDescent="0.3">
      <c r="A59" s="19"/>
      <c r="B59" s="19"/>
      <c r="C59" s="19"/>
      <c r="D59" s="19"/>
      <c r="E59" s="19"/>
      <c r="F59"/>
      <c r="G59"/>
      <c r="H59"/>
      <c r="I59"/>
      <c r="J59"/>
      <c r="K59"/>
      <c r="L59"/>
      <c r="M59"/>
      <c r="N59"/>
      <c r="O5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row>
    <row r="60" spans="1:53" ht="14.4" x14ac:dyDescent="0.3">
      <c r="A60" s="19"/>
      <c r="B60" s="19"/>
      <c r="C60" s="19"/>
      <c r="D60" s="19"/>
      <c r="E60" s="19"/>
      <c r="F60"/>
      <c r="G60"/>
      <c r="H60"/>
      <c r="I60"/>
      <c r="J60"/>
      <c r="K60"/>
      <c r="L60"/>
      <c r="M60"/>
      <c r="N60"/>
      <c r="O60"/>
      <c r="R60" s="19"/>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row>
    <row r="61" spans="1:53" ht="14.4" x14ac:dyDescent="0.3">
      <c r="A61" s="19"/>
      <c r="B61" s="19"/>
      <c r="C61" s="19"/>
      <c r="D61" s="19"/>
      <c r="E61" s="19"/>
      <c r="F61" s="19"/>
      <c r="G61" s="19"/>
      <c r="H61" s="19"/>
      <c r="I61"/>
      <c r="J61"/>
      <c r="K61"/>
      <c r="L61"/>
      <c r="M61"/>
      <c r="N61"/>
      <c r="O61"/>
      <c r="R61" s="19"/>
      <c r="S61" s="19"/>
      <c r="T61" s="19"/>
      <c r="U61" s="19"/>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row>
    <row r="62" spans="1:53" ht="14.4" x14ac:dyDescent="0.3">
      <c r="A62" s="19"/>
      <c r="B62" s="19"/>
      <c r="C62" s="19"/>
      <c r="D62" s="19"/>
      <c r="E62" s="19"/>
      <c r="F62" s="19"/>
      <c r="G62" s="19"/>
      <c r="H62" s="19"/>
      <c r="I62"/>
      <c r="J62"/>
      <c r="K62"/>
      <c r="L62"/>
      <c r="M62"/>
      <c r="N62"/>
      <c r="O62"/>
      <c r="R62" s="19"/>
      <c r="S62" s="19"/>
      <c r="T62" s="19"/>
      <c r="U62" s="19"/>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row>
    <row r="63" spans="1:53" ht="14.4" x14ac:dyDescent="0.3">
      <c r="A63" s="19"/>
      <c r="B63" s="19"/>
      <c r="C63" s="19"/>
      <c r="D63" s="19"/>
      <c r="E63" s="19"/>
      <c r="F63" s="19"/>
      <c r="G63" s="19"/>
      <c r="H63" s="19"/>
      <c r="I63"/>
      <c r="J63"/>
      <c r="K63"/>
      <c r="L63"/>
      <c r="M63"/>
      <c r="N63"/>
      <c r="O63"/>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row>
    <row r="64" spans="1:53" ht="14.4" x14ac:dyDescent="0.3">
      <c r="A64" s="19"/>
      <c r="B64" s="19"/>
      <c r="C64" s="19"/>
      <c r="D64" s="19"/>
      <c r="E64" s="19"/>
      <c r="F64" s="19"/>
      <c r="G64" s="19"/>
      <c r="H64" s="19"/>
      <c r="I64"/>
      <c r="J64"/>
      <c r="K64"/>
      <c r="L64"/>
      <c r="M64"/>
      <c r="N64"/>
      <c r="O64"/>
      <c r="R64" s="19"/>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row>
    <row r="65" spans="1:53" ht="14.4" x14ac:dyDescent="0.3">
      <c r="A65" s="19"/>
      <c r="B65" s="19"/>
      <c r="C65" s="19"/>
      <c r="D65" s="19"/>
      <c r="E65" s="19"/>
      <c r="F65" s="19"/>
      <c r="G65" s="19"/>
      <c r="H65" s="19"/>
      <c r="I65"/>
      <c r="J65"/>
      <c r="K65"/>
      <c r="L65"/>
      <c r="M65"/>
      <c r="N65"/>
      <c r="O65"/>
      <c r="R65" s="19"/>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row>
    <row r="66" spans="1:53" ht="14.4" x14ac:dyDescent="0.3">
      <c r="A66" s="19"/>
      <c r="B66" s="19"/>
      <c r="C66" s="19"/>
      <c r="D66" s="19"/>
      <c r="E66" s="19"/>
      <c r="F66" s="19"/>
      <c r="G66" s="19"/>
      <c r="H66" s="19"/>
      <c r="I66"/>
      <c r="J66"/>
      <c r="K66"/>
      <c r="L66"/>
      <c r="M66"/>
      <c r="N66"/>
      <c r="O66"/>
      <c r="R66" s="19"/>
      <c r="S66" s="19"/>
      <c r="T66" s="19"/>
      <c r="U66" s="19"/>
      <c r="V66" s="19"/>
      <c r="W66" s="19"/>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row>
    <row r="67" spans="1:53" ht="14.4" x14ac:dyDescent="0.3">
      <c r="A67" s="19"/>
      <c r="B67" s="19"/>
      <c r="C67" s="19"/>
      <c r="D67" s="19"/>
      <c r="E67" s="19"/>
      <c r="F67" s="19"/>
      <c r="G67" s="19"/>
      <c r="H67" s="19"/>
      <c r="I67"/>
      <c r="J67"/>
      <c r="K67"/>
      <c r="L67"/>
      <c r="M67"/>
      <c r="N67"/>
      <c r="O67"/>
      <c r="R67" s="19"/>
      <c r="S67" s="19"/>
      <c r="T67" s="19"/>
      <c r="U67" s="19"/>
      <c r="V67" s="19"/>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row>
    <row r="68" spans="1:53" ht="14.4" x14ac:dyDescent="0.3">
      <c r="A68" s="19"/>
      <c r="B68" s="19"/>
      <c r="C68" s="19"/>
      <c r="D68" s="19"/>
      <c r="E68" s="19"/>
      <c r="F68" s="19"/>
      <c r="G68" s="19"/>
      <c r="H68" s="19"/>
      <c r="I68"/>
      <c r="J68"/>
      <c r="K68"/>
      <c r="L68"/>
      <c r="M68"/>
      <c r="N68"/>
      <c r="O68"/>
      <c r="R68" s="19"/>
      <c r="S68" s="19"/>
      <c r="T68" s="19"/>
      <c r="U68" s="19"/>
      <c r="V68" s="19"/>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row>
    <row r="69" spans="1:53" ht="14.4" x14ac:dyDescent="0.3">
      <c r="A69" s="19"/>
      <c r="B69" s="19"/>
      <c r="C69" s="19"/>
      <c r="D69" s="19"/>
      <c r="E69" s="19"/>
      <c r="F69" s="19"/>
      <c r="G69" s="19"/>
      <c r="H69" s="19"/>
      <c r="I69"/>
      <c r="J69"/>
      <c r="K69"/>
      <c r="L69"/>
      <c r="M69"/>
      <c r="N69"/>
      <c r="O69"/>
      <c r="R69" s="19"/>
      <c r="S69" s="19"/>
      <c r="T69" s="19"/>
      <c r="U69" s="19"/>
      <c r="V69" s="19"/>
      <c r="W69" s="19"/>
      <c r="X69" s="19"/>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row>
    <row r="70" spans="1:53" ht="14.4" x14ac:dyDescent="0.3">
      <c r="A70" s="19"/>
      <c r="B70" s="19"/>
      <c r="C70" s="19"/>
      <c r="D70" s="19"/>
      <c r="E70" s="19"/>
      <c r="F70" s="19"/>
      <c r="G70" s="19"/>
      <c r="H70" s="19"/>
      <c r="I70"/>
      <c r="J70"/>
      <c r="K70"/>
      <c r="L70"/>
      <c r="M70"/>
      <c r="N70"/>
      <c r="O70"/>
      <c r="R70" s="19"/>
      <c r="S70" s="19"/>
      <c r="T70" s="19"/>
      <c r="U70" s="19"/>
      <c r="V70" s="19"/>
      <c r="W70" s="19"/>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row>
    <row r="71" spans="1:53" ht="14.4" x14ac:dyDescent="0.3">
      <c r="A71" s="19"/>
      <c r="B71" s="19"/>
      <c r="C71" s="19"/>
      <c r="D71" s="19"/>
      <c r="E71" s="19"/>
      <c r="F71" s="19"/>
      <c r="G71" s="19"/>
      <c r="H71" s="19"/>
      <c r="I71"/>
      <c r="J71"/>
      <c r="K71"/>
      <c r="L71"/>
      <c r="M71"/>
      <c r="N71"/>
      <c r="O71"/>
      <c r="R71" s="19"/>
      <c r="S71" s="19"/>
      <c r="T71" s="19"/>
      <c r="U71" s="19"/>
      <c r="V71" s="19"/>
      <c r="W71" s="19"/>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row>
    <row r="72" spans="1:53" ht="14.4" x14ac:dyDescent="0.3">
      <c r="A72" s="19"/>
      <c r="B72" s="19"/>
      <c r="C72" s="19"/>
      <c r="D72" s="19"/>
      <c r="E72" s="19"/>
      <c r="F72" s="19"/>
      <c r="G72" s="19"/>
      <c r="H72" s="19"/>
      <c r="I72"/>
      <c r="O72"/>
      <c r="R72" s="19"/>
      <c r="S72" s="19"/>
      <c r="T72" s="19"/>
      <c r="U72" s="19"/>
      <c r="V72" s="19"/>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row>
    <row r="73" spans="1:53" ht="14.4" x14ac:dyDescent="0.3">
      <c r="A73" s="19"/>
      <c r="B73" s="19"/>
      <c r="C73" s="19"/>
      <c r="D73" s="19"/>
      <c r="E73" s="19"/>
      <c r="F73" s="19"/>
      <c r="G73" s="19"/>
      <c r="H73" s="19"/>
      <c r="I73"/>
      <c r="O73"/>
      <c r="R73" s="19"/>
      <c r="S73" s="19"/>
      <c r="T73" s="19"/>
      <c r="U73" s="19"/>
      <c r="V73" s="19"/>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row>
    <row r="74" spans="1:53" ht="14.4" x14ac:dyDescent="0.3">
      <c r="A74" s="19"/>
      <c r="B74" s="19"/>
      <c r="C74" s="19"/>
      <c r="D74" s="19"/>
      <c r="E74" s="19"/>
      <c r="F74" s="19"/>
      <c r="G74" s="19"/>
      <c r="H74" s="19"/>
      <c r="I74"/>
      <c r="O74"/>
      <c r="R74" s="19"/>
      <c r="S74" s="19"/>
      <c r="T74" s="19"/>
      <c r="U74" s="19"/>
      <c r="V74" s="19"/>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row>
    <row r="75" spans="1:53" ht="14.4" x14ac:dyDescent="0.3">
      <c r="A75" s="19"/>
      <c r="B75" s="19"/>
      <c r="C75" s="19"/>
      <c r="D75" s="19"/>
      <c r="E75" s="19"/>
      <c r="F75" s="19"/>
      <c r="G75" s="19"/>
      <c r="H75" s="19"/>
      <c r="I75"/>
      <c r="O75"/>
      <c r="R75" s="19"/>
      <c r="S75" s="19"/>
      <c r="T75" s="19"/>
      <c r="U75" s="19"/>
      <c r="V75" s="19"/>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row>
    <row r="76" spans="1:53" ht="14.4" x14ac:dyDescent="0.3">
      <c r="A76" s="19"/>
      <c r="B76" s="19"/>
      <c r="C76" s="19"/>
      <c r="D76" s="19"/>
      <c r="E76" s="19"/>
      <c r="F76" s="19"/>
      <c r="G76" s="19"/>
      <c r="H76" s="19"/>
      <c r="I76"/>
      <c r="O76"/>
      <c r="R76" s="19"/>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row>
    <row r="77" spans="1:53" ht="14.4" x14ac:dyDescent="0.3">
      <c r="A77" s="19"/>
      <c r="B77" s="19"/>
      <c r="C77" s="19"/>
      <c r="D77" s="19"/>
      <c r="E77" s="19"/>
      <c r="F77" s="19"/>
      <c r="G77" s="19"/>
      <c r="H77" s="19"/>
      <c r="I77"/>
      <c r="O77"/>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row>
    <row r="78" spans="1:53" ht="14.4" x14ac:dyDescent="0.3">
      <c r="A78" s="19"/>
      <c r="B78" s="19"/>
      <c r="C78" s="19"/>
      <c r="D78" s="19"/>
      <c r="E78" s="19"/>
      <c r="F78" s="19"/>
      <c r="G78" s="19"/>
      <c r="H78" s="19"/>
      <c r="I78"/>
      <c r="O78"/>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row>
    <row r="79" spans="1:53" ht="14.4" x14ac:dyDescent="0.3">
      <c r="A79" s="19"/>
      <c r="B79" s="19"/>
      <c r="C79" s="19"/>
      <c r="D79" s="19"/>
      <c r="E79" s="19"/>
      <c r="F79" s="19"/>
      <c r="G79" s="19"/>
      <c r="H79" s="19"/>
      <c r="I79"/>
      <c r="O7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row>
    <row r="80" spans="1:53" ht="14.4" x14ac:dyDescent="0.3">
      <c r="A80" s="19"/>
      <c r="B80" s="19"/>
      <c r="C80" s="19"/>
      <c r="D80" s="19"/>
      <c r="E80" s="19"/>
      <c r="F80" s="19"/>
      <c r="G80" s="19"/>
      <c r="H80" s="19"/>
      <c r="I80"/>
      <c r="O80"/>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row>
    <row r="81" spans="1:53" ht="14.4" x14ac:dyDescent="0.3">
      <c r="A81" s="19"/>
      <c r="B81" s="19"/>
      <c r="C81" s="19"/>
      <c r="D81" s="19"/>
      <c r="E81" s="19"/>
      <c r="F81" s="19"/>
      <c r="G81" s="19"/>
      <c r="H81" s="19"/>
      <c r="I81"/>
      <c r="O81"/>
      <c r="R81" s="19"/>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row>
    <row r="82" spans="1:53" ht="14.4" x14ac:dyDescent="0.3">
      <c r="A82" s="19"/>
      <c r="B82" s="19"/>
      <c r="C82" s="19"/>
      <c r="D82" s="19"/>
      <c r="E82" s="19"/>
      <c r="F82" s="19"/>
      <c r="G82" s="19"/>
      <c r="H82" s="19"/>
      <c r="I82"/>
      <c r="O82"/>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row>
    <row r="83" spans="1:53" ht="14.4" x14ac:dyDescent="0.3">
      <c r="A83" s="19"/>
      <c r="B83" s="19"/>
      <c r="C83" s="19"/>
      <c r="D83" s="19"/>
      <c r="E83" s="19"/>
      <c r="F83" s="19"/>
      <c r="G83" s="19"/>
      <c r="H83" s="19"/>
      <c r="I83"/>
      <c r="O83"/>
      <c r="P83" s="19"/>
      <c r="Q83" s="19"/>
      <c r="R83" s="19"/>
      <c r="S83" s="19"/>
      <c r="T83" s="19"/>
      <c r="U83" s="19"/>
      <c r="V83" s="19"/>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row>
    <row r="84" spans="1:53" ht="14.4" x14ac:dyDescent="0.3">
      <c r="A84" s="19"/>
      <c r="B84" s="19"/>
      <c r="C84" s="19"/>
      <c r="D84" s="19"/>
      <c r="E84" s="19"/>
      <c r="F84" s="19"/>
      <c r="G84" s="19"/>
      <c r="H84" s="19"/>
      <c r="I84"/>
      <c r="O84"/>
      <c r="P84" s="19"/>
      <c r="Q84" s="19"/>
      <c r="R84" s="19"/>
      <c r="S84" s="19"/>
      <c r="T84" s="19"/>
      <c r="U84" s="19"/>
      <c r="V84" s="19"/>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row>
    <row r="85" spans="1:53" ht="14.4" x14ac:dyDescent="0.3">
      <c r="A85" s="19"/>
      <c r="B85" s="19"/>
      <c r="C85" s="19"/>
      <c r="D85" s="19"/>
      <c r="E85" s="19"/>
      <c r="F85" s="19"/>
      <c r="G85" s="19"/>
      <c r="H85" s="19"/>
      <c r="I85"/>
      <c r="O85"/>
      <c r="P85" s="19"/>
      <c r="Q85" s="19"/>
      <c r="R85" s="19"/>
      <c r="S85" s="19"/>
      <c r="T85" s="19"/>
      <c r="U85" s="19"/>
      <c r="V85" s="19"/>
      <c r="W85" s="19"/>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c r="AY85" s="19"/>
      <c r="AZ85" s="19"/>
      <c r="BA85" s="19"/>
    </row>
    <row r="86" spans="1:53" ht="14.4" x14ac:dyDescent="0.3">
      <c r="A86" s="19"/>
      <c r="B86" s="19"/>
      <c r="C86" s="19"/>
      <c r="D86" s="19"/>
      <c r="E86" s="19"/>
      <c r="F86" s="19"/>
      <c r="G86" s="19"/>
      <c r="H86" s="19"/>
      <c r="I86"/>
      <c r="J86"/>
      <c r="K86"/>
      <c r="L86"/>
      <c r="M86"/>
      <c r="N86"/>
      <c r="O86" s="19"/>
      <c r="P86" s="19"/>
      <c r="Q86" s="19"/>
      <c r="R86" s="19"/>
      <c r="S86" s="19"/>
      <c r="T86" s="19"/>
      <c r="U86" s="19"/>
      <c r="V86" s="19"/>
      <c r="W86" s="19"/>
      <c r="X86" s="19"/>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c r="AX86" s="19"/>
      <c r="AY86" s="19"/>
      <c r="AZ86" s="19"/>
      <c r="BA86" s="19"/>
    </row>
    <row r="87" spans="1:53" ht="14.4" x14ac:dyDescent="0.3">
      <c r="A87" s="19"/>
      <c r="B87" s="19"/>
      <c r="C87" s="19"/>
      <c r="D87" s="19"/>
      <c r="E87" s="19"/>
      <c r="F87" s="19"/>
      <c r="G87" s="19"/>
      <c r="H87" s="19"/>
      <c r="I87"/>
      <c r="J87"/>
      <c r="K87"/>
      <c r="L87"/>
      <c r="M87"/>
      <c r="N87"/>
      <c r="O87" s="19"/>
      <c r="P87" s="19"/>
      <c r="Q87" s="19"/>
      <c r="R87" s="19"/>
      <c r="S87" s="19"/>
      <c r="T87" s="19"/>
      <c r="U87" s="19"/>
      <c r="V87" s="19"/>
      <c r="W87" s="19"/>
      <c r="X87" s="19"/>
      <c r="Y87" s="19"/>
      <c r="Z87" s="19"/>
      <c r="AA87" s="19"/>
      <c r="AB87" s="19"/>
      <c r="AC87" s="19"/>
      <c r="AD87" s="19"/>
      <c r="AE87" s="19"/>
      <c r="AF87" s="19"/>
      <c r="AG87" s="19"/>
      <c r="AH87" s="19"/>
      <c r="AI87" s="19"/>
      <c r="AJ87" s="19"/>
      <c r="AK87" s="19"/>
      <c r="AL87" s="19"/>
      <c r="AM87" s="19"/>
      <c r="AN87" s="19"/>
      <c r="AO87" s="19"/>
      <c r="AP87" s="19"/>
      <c r="AQ87" s="19"/>
      <c r="AR87" s="19"/>
      <c r="AS87" s="19"/>
      <c r="AT87" s="19"/>
      <c r="AU87" s="19"/>
      <c r="AV87" s="19"/>
      <c r="AW87" s="19"/>
      <c r="AX87" s="19"/>
      <c r="AY87" s="19"/>
      <c r="AZ87" s="19"/>
      <c r="BA87" s="19"/>
    </row>
    <row r="88" spans="1:53" ht="14.4" x14ac:dyDescent="0.3">
      <c r="A88" s="19"/>
      <c r="B88" s="19"/>
      <c r="C88" s="19"/>
      <c r="D88" s="19"/>
      <c r="E88" s="19"/>
      <c r="F88" s="19"/>
      <c r="G88" s="19"/>
      <c r="H88" s="19"/>
      <c r="I88"/>
      <c r="J88"/>
      <c r="K88"/>
      <c r="L88"/>
      <c r="M88"/>
      <c r="N88"/>
      <c r="O88" s="19"/>
      <c r="P88" s="19"/>
      <c r="Q88" s="19"/>
      <c r="R88" s="19"/>
      <c r="S88" s="19"/>
      <c r="T88" s="19"/>
      <c r="U88" s="19"/>
      <c r="V88" s="19"/>
      <c r="W88" s="19"/>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c r="AY88" s="19"/>
      <c r="AZ88" s="19"/>
      <c r="BA88" s="19"/>
    </row>
    <row r="89" spans="1:53" ht="14.4" x14ac:dyDescent="0.3">
      <c r="A89" s="19"/>
      <c r="B89" s="19"/>
      <c r="C89" s="19"/>
      <c r="D89" s="19"/>
      <c r="E89" s="19"/>
      <c r="F89" s="19"/>
      <c r="G89" s="19"/>
      <c r="H89" s="19"/>
      <c r="I89"/>
      <c r="J89"/>
      <c r="K89"/>
      <c r="L89"/>
      <c r="M89"/>
      <c r="N89"/>
      <c r="O89" s="19"/>
      <c r="P89" s="19"/>
      <c r="Q89" s="19"/>
      <c r="R89" s="19"/>
      <c r="S89" s="19"/>
      <c r="T89" s="19"/>
      <c r="U89" s="19"/>
      <c r="V89" s="19"/>
      <c r="W89" s="19"/>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AY89" s="19"/>
      <c r="AZ89" s="19"/>
      <c r="BA89" s="19"/>
    </row>
    <row r="90" spans="1:53" ht="14.4" x14ac:dyDescent="0.3">
      <c r="A90" s="19"/>
      <c r="B90" s="19"/>
      <c r="C90" s="19"/>
      <c r="D90" s="19"/>
      <c r="E90" s="19"/>
      <c r="F90" s="19"/>
      <c r="G90" s="19"/>
      <c r="H90" s="19"/>
      <c r="I90"/>
      <c r="J90"/>
      <c r="K90"/>
      <c r="L90"/>
      <c r="M90"/>
      <c r="N90"/>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row>
    <row r="91" spans="1:53" ht="14.4" x14ac:dyDescent="0.3">
      <c r="A91" s="19"/>
      <c r="B91" s="19"/>
      <c r="C91" s="19"/>
      <c r="D91" s="19"/>
      <c r="E91" s="19"/>
      <c r="F91" s="19"/>
      <c r="G91" s="19"/>
      <c r="H91" s="19"/>
      <c r="I91"/>
      <c r="J91"/>
      <c r="K91"/>
      <c r="L91"/>
      <c r="M91"/>
      <c r="N91"/>
      <c r="O91" s="19"/>
      <c r="P91" s="19"/>
      <c r="Q91" s="19"/>
      <c r="R91" s="19"/>
      <c r="S91" s="19"/>
      <c r="T91" s="19"/>
      <c r="U91" s="19"/>
      <c r="V91" s="19"/>
      <c r="W91" s="19"/>
      <c r="X91" s="19"/>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c r="AX91" s="19"/>
      <c r="AY91" s="19"/>
      <c r="AZ91" s="19"/>
      <c r="BA91" s="19"/>
    </row>
    <row r="92" spans="1:53" ht="14.4" x14ac:dyDescent="0.3">
      <c r="A92" s="19"/>
      <c r="B92" s="19"/>
      <c r="C92" s="19"/>
      <c r="D92" s="19"/>
      <c r="E92" s="19"/>
      <c r="F92" s="19"/>
      <c r="G92" s="19"/>
      <c r="H92" s="19"/>
      <c r="I92"/>
      <c r="J92"/>
      <c r="K92"/>
      <c r="L92"/>
      <c r="M92"/>
      <c r="N92"/>
      <c r="O92" s="19"/>
      <c r="P92" s="19"/>
      <c r="Q92" s="19"/>
      <c r="R92" s="19"/>
      <c r="S92" s="19"/>
      <c r="T92" s="19"/>
      <c r="U92" s="19"/>
      <c r="V92" s="19"/>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AY92" s="19"/>
      <c r="AZ92" s="19"/>
      <c r="BA92" s="19"/>
    </row>
    <row r="93" spans="1:53" ht="14.4" x14ac:dyDescent="0.3">
      <c r="A93" s="19"/>
      <c r="B93" s="19"/>
      <c r="C93" s="19"/>
      <c r="D93" s="19"/>
      <c r="E93" s="19"/>
      <c r="F93" s="19"/>
      <c r="G93" s="19"/>
      <c r="H93" s="19"/>
      <c r="I93"/>
      <c r="J93"/>
      <c r="K93"/>
      <c r="L93"/>
      <c r="M93"/>
      <c r="N93"/>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row>
    <row r="94" spans="1:53" ht="14.4" x14ac:dyDescent="0.3">
      <c r="A94" s="19"/>
      <c r="B94" s="19"/>
      <c r="C94" s="19"/>
      <c r="D94" s="19"/>
      <c r="E94" s="19"/>
      <c r="F94" s="19"/>
      <c r="G94" s="19"/>
      <c r="H94" s="19"/>
      <c r="I94"/>
      <c r="J94"/>
      <c r="K94"/>
      <c r="L94"/>
      <c r="M94"/>
      <c r="N94"/>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c r="AY94" s="19"/>
      <c r="AZ94" s="19"/>
      <c r="BA94" s="19"/>
    </row>
    <row r="95" spans="1:53" ht="14.4" x14ac:dyDescent="0.3">
      <c r="A95" s="19"/>
      <c r="B95" s="19"/>
      <c r="C95" s="19"/>
      <c r="D95" s="19"/>
      <c r="E95" s="19"/>
      <c r="F95" s="19"/>
      <c r="G95" s="19"/>
      <c r="H95" s="19"/>
      <c r="I95"/>
      <c r="J95"/>
      <c r="K95"/>
      <c r="L95"/>
      <c r="M95"/>
      <c r="N95"/>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9"/>
      <c r="AZ95" s="19"/>
      <c r="BA95" s="19"/>
    </row>
    <row r="96" spans="1:53" ht="14.4" x14ac:dyDescent="0.3">
      <c r="A96" s="19"/>
      <c r="B96" s="19"/>
      <c r="C96" s="19"/>
      <c r="D96" s="19"/>
      <c r="E96" s="19"/>
      <c r="F96" s="19"/>
      <c r="G96" s="19"/>
      <c r="H96" s="19"/>
      <c r="I96"/>
      <c r="J96"/>
      <c r="K96"/>
      <c r="L96"/>
      <c r="M96"/>
      <c r="N96"/>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c r="AN96" s="19"/>
      <c r="AO96" s="19"/>
      <c r="AP96" s="19"/>
      <c r="AQ96" s="19"/>
      <c r="AR96" s="19"/>
      <c r="AS96" s="19"/>
      <c r="AT96" s="19"/>
      <c r="AU96" s="19"/>
      <c r="AV96" s="19"/>
      <c r="AW96" s="19"/>
      <c r="AX96" s="19"/>
      <c r="AY96" s="19"/>
      <c r="AZ96" s="19"/>
      <c r="BA96" s="19"/>
    </row>
    <row r="97" spans="1:53" ht="14.4" x14ac:dyDescent="0.3">
      <c r="A97" s="19"/>
      <c r="B97" s="19"/>
      <c r="C97" s="19"/>
      <c r="D97" s="19"/>
      <c r="E97" s="19"/>
      <c r="F97" s="19"/>
      <c r="G97" s="19"/>
      <c r="H97" s="19"/>
      <c r="I97"/>
      <c r="J97"/>
      <c r="K97"/>
      <c r="L97"/>
      <c r="M97"/>
      <c r="N97"/>
      <c r="O97" s="19"/>
      <c r="P97" s="19"/>
      <c r="Q97" s="19"/>
      <c r="R97" s="19"/>
      <c r="S97" s="19"/>
      <c r="T97" s="19"/>
      <c r="U97" s="19"/>
      <c r="V97" s="19"/>
      <c r="W97" s="19"/>
      <c r="X97" s="19"/>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c r="AX97" s="19"/>
      <c r="AY97" s="19"/>
      <c r="AZ97" s="19"/>
      <c r="BA97" s="19"/>
    </row>
    <row r="98" spans="1:53" ht="14.4" x14ac:dyDescent="0.3">
      <c r="A98" s="19"/>
      <c r="B98" s="19"/>
      <c r="C98" s="19"/>
      <c r="D98" s="19"/>
      <c r="E98" s="19"/>
      <c r="F98" s="19"/>
      <c r="G98" s="19"/>
      <c r="H98" s="19"/>
      <c r="I98"/>
      <c r="J98"/>
      <c r="K98"/>
      <c r="L98"/>
      <c r="M98"/>
      <c r="N98"/>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row>
    <row r="99" spans="1:53" ht="14.4" x14ac:dyDescent="0.3">
      <c r="A99" s="19"/>
      <c r="B99" s="19"/>
      <c r="C99" s="19"/>
      <c r="D99" s="19"/>
      <c r="E99" s="19"/>
      <c r="F99" s="19"/>
      <c r="G99" s="19"/>
      <c r="H99" s="19"/>
      <c r="I99"/>
      <c r="J99"/>
      <c r="K99"/>
      <c r="L99"/>
      <c r="M99"/>
      <c r="N99"/>
      <c r="O99" s="19"/>
      <c r="P99" s="19"/>
      <c r="Q99" s="19"/>
      <c r="R99" s="19"/>
      <c r="S99" s="19"/>
      <c r="T99" s="19"/>
      <c r="U99" s="19"/>
      <c r="V99" s="19"/>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c r="BA99" s="19"/>
    </row>
    <row r="100" spans="1:53" ht="14.4" x14ac:dyDescent="0.3">
      <c r="A100" s="19"/>
      <c r="B100" s="19"/>
      <c r="C100" s="19"/>
      <c r="D100" s="19"/>
      <c r="E100" s="19"/>
      <c r="F100" s="19"/>
      <c r="G100" s="19"/>
      <c r="H100" s="19"/>
      <c r="I100"/>
      <c r="J100"/>
      <c r="K100"/>
      <c r="L100"/>
      <c r="M100"/>
      <c r="N100"/>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row>
    <row r="101" spans="1:53" ht="14.4" x14ac:dyDescent="0.3">
      <c r="A101" s="19"/>
      <c r="B101" s="19"/>
      <c r="C101" s="19"/>
      <c r="D101" s="19"/>
      <c r="E101" s="19"/>
      <c r="F101" s="19"/>
      <c r="G101" s="19"/>
      <c r="H101" s="19"/>
      <c r="I101"/>
      <c r="J101"/>
      <c r="K101"/>
      <c r="L101"/>
      <c r="M101"/>
      <c r="N101"/>
      <c r="O101" s="19"/>
      <c r="P101" s="19"/>
      <c r="Q101" s="19"/>
      <c r="R101" s="19"/>
      <c r="S101" s="19"/>
      <c r="T101" s="19"/>
      <c r="U101" s="19"/>
      <c r="V101" s="19"/>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AY101" s="19"/>
      <c r="AZ101" s="19"/>
      <c r="BA101" s="19"/>
    </row>
    <row r="102" spans="1:53" ht="14.4" x14ac:dyDescent="0.3">
      <c r="A102" s="19"/>
      <c r="B102" s="19"/>
      <c r="C102" s="19"/>
      <c r="D102" s="19"/>
      <c r="E102" s="19"/>
      <c r="F102" s="19"/>
      <c r="G102" s="19"/>
      <c r="H102" s="19"/>
      <c r="I102"/>
      <c r="J102"/>
      <c r="K102"/>
      <c r="L102"/>
      <c r="M102"/>
      <c r="N102"/>
      <c r="O102" s="19"/>
      <c r="P102" s="19"/>
      <c r="Q102" s="19"/>
      <c r="R102" s="19"/>
      <c r="S102" s="19"/>
      <c r="T102" s="19"/>
      <c r="U102" s="19"/>
      <c r="V102" s="19"/>
      <c r="W102" s="19"/>
      <c r="X102" s="19"/>
      <c r="Y102" s="19"/>
      <c r="Z102" s="19"/>
      <c r="AA102" s="19"/>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c r="AY102" s="19"/>
      <c r="AZ102" s="19"/>
      <c r="BA102" s="19"/>
    </row>
    <row r="103" spans="1:53" ht="14.4" x14ac:dyDescent="0.3">
      <c r="A103" s="19"/>
      <c r="B103" s="19"/>
      <c r="C103" s="19"/>
      <c r="D103" s="19"/>
      <c r="E103" s="19"/>
      <c r="F103" s="19"/>
      <c r="G103" s="19"/>
      <c r="H103" s="19"/>
      <c r="I103"/>
      <c r="J103"/>
      <c r="K103"/>
      <c r="L103"/>
      <c r="M103"/>
      <c r="N103"/>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c r="BA103" s="19"/>
    </row>
    <row r="104" spans="1:53" ht="14.4" x14ac:dyDescent="0.3">
      <c r="A104" s="19"/>
      <c r="B104" s="19"/>
      <c r="C104" s="19"/>
      <c r="D104" s="19"/>
      <c r="E104" s="19"/>
      <c r="F104" s="19"/>
      <c r="G104" s="19"/>
      <c r="H104" s="19"/>
      <c r="I104"/>
      <c r="J104"/>
      <c r="K104"/>
      <c r="L104"/>
      <c r="M104"/>
      <c r="N104"/>
      <c r="O104" s="19"/>
      <c r="P104" s="19"/>
      <c r="Q104" s="19"/>
      <c r="R104" s="19"/>
      <c r="S104" s="19"/>
      <c r="T104" s="19"/>
      <c r="U104" s="19"/>
      <c r="V104" s="19"/>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c r="BA104" s="19"/>
    </row>
    <row r="105" spans="1:53" ht="14.4" x14ac:dyDescent="0.3">
      <c r="A105" s="19"/>
      <c r="B105" s="19"/>
      <c r="C105" s="19"/>
      <c r="D105" s="19"/>
      <c r="E105" s="19"/>
      <c r="F105" s="19"/>
      <c r="G105" s="19"/>
      <c r="H105" s="19"/>
      <c r="I105"/>
      <c r="J105"/>
      <c r="K105"/>
      <c r="L105"/>
      <c r="M105"/>
      <c r="N105"/>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row>
    <row r="106" spans="1:53" ht="14.4" x14ac:dyDescent="0.3">
      <c r="A106" s="19"/>
      <c r="B106" s="19"/>
      <c r="C106" s="19"/>
      <c r="D106" s="19"/>
      <c r="E106" s="19"/>
      <c r="F106" s="19"/>
      <c r="G106" s="19"/>
      <c r="H106" s="19"/>
      <c r="I106"/>
      <c r="J106"/>
      <c r="K106"/>
      <c r="L106"/>
      <c r="M106"/>
      <c r="N106"/>
      <c r="O106" s="19"/>
      <c r="P106" s="19"/>
      <c r="Q106" s="19"/>
      <c r="R106" s="19"/>
      <c r="S106" s="19"/>
      <c r="T106" s="19"/>
      <c r="U106" s="19"/>
      <c r="V106" s="19"/>
      <c r="W106" s="19"/>
      <c r="X106" s="19"/>
      <c r="Y106" s="19"/>
      <c r="Z106" s="19"/>
      <c r="AA106" s="19"/>
      <c r="AB106" s="19"/>
      <c r="AC106" s="19"/>
      <c r="AD106" s="19"/>
      <c r="AE106" s="19"/>
      <c r="AF106" s="19"/>
      <c r="AG106" s="19"/>
      <c r="AH106" s="19"/>
      <c r="AI106" s="19"/>
      <c r="AJ106" s="19"/>
      <c r="AK106" s="19"/>
      <c r="AL106" s="19"/>
      <c r="AM106" s="19"/>
      <c r="AN106" s="19"/>
      <c r="AO106" s="19"/>
      <c r="AP106" s="19"/>
      <c r="AQ106" s="19"/>
      <c r="AR106" s="19"/>
      <c r="AS106" s="19"/>
      <c r="AT106" s="19"/>
      <c r="AU106" s="19"/>
      <c r="AV106" s="19"/>
      <c r="AW106" s="19"/>
      <c r="AX106" s="19"/>
      <c r="AY106" s="19"/>
      <c r="AZ106" s="19"/>
      <c r="BA106" s="19"/>
    </row>
    <row r="107" spans="1:53" ht="14.4" x14ac:dyDescent="0.3">
      <c r="A107" s="19"/>
      <c r="B107" s="19"/>
      <c r="C107" s="19"/>
      <c r="D107" s="19"/>
      <c r="E107" s="19"/>
      <c r="F107" s="19"/>
      <c r="G107" s="19"/>
      <c r="H107" s="19"/>
      <c r="I107"/>
      <c r="J107"/>
      <c r="K107"/>
      <c r="L107"/>
      <c r="M107"/>
      <c r="N107"/>
      <c r="O107" s="19"/>
      <c r="P107" s="19"/>
      <c r="Q107" s="19"/>
      <c r="R107" s="19"/>
      <c r="S107" s="19"/>
      <c r="T107" s="19"/>
      <c r="U107" s="19"/>
      <c r="V107" s="19"/>
      <c r="W107" s="19"/>
      <c r="X107" s="19"/>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c r="AW107" s="19"/>
      <c r="AX107" s="19"/>
      <c r="AY107" s="19"/>
      <c r="AZ107" s="19"/>
      <c r="BA107" s="19"/>
    </row>
    <row r="108" spans="1:53" ht="14.4" x14ac:dyDescent="0.3">
      <c r="A108" s="19"/>
      <c r="B108" s="19"/>
      <c r="C108" s="19"/>
      <c r="D108" s="19"/>
      <c r="E108" s="19"/>
      <c r="F108" s="19"/>
      <c r="G108" s="19"/>
      <c r="H108" s="19"/>
      <c r="I108"/>
      <c r="J108"/>
      <c r="K108"/>
      <c r="L108"/>
      <c r="M108"/>
      <c r="N108"/>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row>
    <row r="109" spans="1:53" ht="14.4" x14ac:dyDescent="0.3">
      <c r="A109" s="19"/>
      <c r="B109" s="19"/>
      <c r="C109" s="19"/>
      <c r="D109" s="19"/>
      <c r="E109" s="19"/>
      <c r="F109" s="19"/>
      <c r="G109" s="19"/>
      <c r="H109" s="19"/>
      <c r="I109"/>
      <c r="J109"/>
      <c r="K109"/>
      <c r="L109"/>
      <c r="M109"/>
      <c r="N109"/>
      <c r="O109" s="19"/>
      <c r="P109" s="19"/>
      <c r="Q109" s="19"/>
      <c r="R109" s="19"/>
      <c r="S109" s="19"/>
      <c r="T109" s="19"/>
      <c r="U109" s="19"/>
      <c r="V109" s="19"/>
      <c r="W109" s="19"/>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c r="AY109" s="19"/>
      <c r="AZ109" s="19"/>
      <c r="BA109" s="19"/>
    </row>
    <row r="110" spans="1:53" ht="14.4" x14ac:dyDescent="0.3">
      <c r="A110" s="19"/>
      <c r="B110" s="19"/>
      <c r="C110" s="19"/>
      <c r="D110" s="19"/>
      <c r="E110" s="19"/>
      <c r="F110" s="19"/>
      <c r="G110" s="19"/>
      <c r="H110" s="19"/>
      <c r="I110"/>
      <c r="J110"/>
      <c r="K110"/>
      <c r="L110"/>
      <c r="M110"/>
      <c r="N110"/>
      <c r="O110" s="19"/>
      <c r="P110" s="19"/>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AY110" s="19"/>
      <c r="AZ110" s="19"/>
      <c r="BA110" s="19"/>
    </row>
    <row r="111" spans="1:53" ht="14.4" x14ac:dyDescent="0.3">
      <c r="A111" s="19"/>
      <c r="B111" s="19"/>
      <c r="C111" s="19"/>
      <c r="D111" s="19"/>
      <c r="E111" s="19"/>
      <c r="F111" s="19"/>
      <c r="G111" s="19"/>
      <c r="H111" s="19"/>
      <c r="I111"/>
      <c r="J111"/>
      <c r="K111"/>
      <c r="L111"/>
      <c r="M111"/>
      <c r="N111"/>
      <c r="O111" s="19"/>
      <c r="P111" s="19"/>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c r="AZ111" s="19"/>
      <c r="BA111" s="19"/>
    </row>
    <row r="112" spans="1:53" ht="14.4" x14ac:dyDescent="0.3">
      <c r="A112" s="19"/>
      <c r="B112" s="19"/>
      <c r="C112" s="19"/>
      <c r="D112" s="19"/>
      <c r="E112" s="19"/>
      <c r="F112" s="19"/>
      <c r="G112" s="19"/>
      <c r="H112" s="19"/>
      <c r="I112"/>
      <c r="J112"/>
      <c r="K112"/>
      <c r="L112"/>
      <c r="M112"/>
      <c r="N112"/>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row>
    <row r="113" spans="1:53" ht="14.4" x14ac:dyDescent="0.3">
      <c r="A113" s="19"/>
      <c r="B113" s="19"/>
      <c r="C113" s="19"/>
      <c r="D113" s="19"/>
      <c r="E113" s="19"/>
      <c r="F113" s="19"/>
      <c r="G113" s="19"/>
      <c r="H113" s="19"/>
      <c r="I113"/>
      <c r="J113"/>
      <c r="K113"/>
      <c r="L113"/>
      <c r="M113"/>
      <c r="N113"/>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AY113" s="19"/>
      <c r="AZ113" s="19"/>
      <c r="BA113" s="19"/>
    </row>
    <row r="114" spans="1:53" ht="14.4" x14ac:dyDescent="0.3">
      <c r="A114" s="19"/>
      <c r="B114" s="19"/>
      <c r="C114" s="19"/>
      <c r="D114" s="19"/>
      <c r="E114" s="19"/>
      <c r="F114" s="19"/>
      <c r="G114" s="19"/>
      <c r="H114" s="19"/>
      <c r="I114"/>
      <c r="J114"/>
      <c r="K114"/>
      <c r="L114"/>
      <c r="M114"/>
      <c r="N114"/>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9"/>
      <c r="BA114" s="19"/>
    </row>
    <row r="115" spans="1:53" ht="14.4" x14ac:dyDescent="0.3">
      <c r="A115" s="19"/>
      <c r="B115" s="19"/>
      <c r="C115" s="19"/>
      <c r="D115" s="19"/>
      <c r="E115" s="19"/>
      <c r="F115" s="19"/>
      <c r="G115" s="19"/>
      <c r="H115" s="19"/>
      <c r="I115"/>
      <c r="J115"/>
      <c r="K115"/>
      <c r="L115"/>
      <c r="M115"/>
      <c r="N115"/>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c r="AY115" s="19"/>
      <c r="AZ115" s="19"/>
      <c r="BA115" s="19"/>
    </row>
    <row r="116" spans="1:53" ht="14.4" x14ac:dyDescent="0.3">
      <c r="A116" s="19"/>
      <c r="B116" s="19"/>
      <c r="C116" s="19"/>
      <c r="D116" s="19"/>
      <c r="E116" s="19"/>
      <c r="F116" s="19"/>
      <c r="G116" s="19"/>
      <c r="H116" s="19"/>
      <c r="I116"/>
      <c r="J116"/>
      <c r="K116"/>
      <c r="L116"/>
      <c r="M116"/>
      <c r="N116"/>
      <c r="O116" s="19"/>
      <c r="P116" s="19"/>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c r="AY116" s="19"/>
      <c r="AZ116" s="19"/>
      <c r="BA116" s="19"/>
    </row>
    <row r="117" spans="1:53" ht="14.4" x14ac:dyDescent="0.3">
      <c r="A117" s="19"/>
      <c r="B117" s="19"/>
      <c r="C117" s="19"/>
      <c r="D117" s="19"/>
      <c r="E117" s="19"/>
      <c r="F117" s="19"/>
      <c r="G117" s="19"/>
      <c r="H117" s="19"/>
      <c r="I117"/>
      <c r="J117"/>
      <c r="K117"/>
      <c r="L117"/>
      <c r="M117"/>
      <c r="N117"/>
      <c r="O117" s="19"/>
      <c r="P117" s="19"/>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AY117" s="19"/>
      <c r="AZ117" s="19"/>
      <c r="BA117" s="19"/>
    </row>
    <row r="118" spans="1:53" ht="14.4" x14ac:dyDescent="0.3">
      <c r="A118" s="19"/>
      <c r="B118" s="19"/>
      <c r="C118" s="19"/>
      <c r="D118" s="19"/>
      <c r="E118" s="19"/>
      <c r="F118" s="19"/>
      <c r="G118" s="19"/>
      <c r="H118" s="19"/>
      <c r="I118"/>
      <c r="J118"/>
      <c r="K118"/>
      <c r="L118"/>
      <c r="M118"/>
      <c r="N118"/>
      <c r="O118" s="19"/>
      <c r="P118" s="19"/>
      <c r="Q118" s="19"/>
      <c r="R118" s="19"/>
      <c r="S118" s="19"/>
      <c r="T118" s="19"/>
      <c r="U118" s="19"/>
      <c r="V118" s="19"/>
      <c r="W118" s="19"/>
      <c r="X118" s="19"/>
      <c r="Y118" s="19"/>
      <c r="Z118" s="19"/>
      <c r="AA118" s="19"/>
      <c r="AB118" s="19"/>
      <c r="AC118" s="19"/>
      <c r="AD118" s="19"/>
      <c r="AE118" s="19"/>
      <c r="AF118" s="19"/>
      <c r="AG118" s="19"/>
      <c r="AH118" s="19"/>
      <c r="AI118" s="19"/>
      <c r="AJ118" s="19"/>
      <c r="AK118" s="19"/>
      <c r="AL118" s="19"/>
      <c r="AM118" s="19"/>
      <c r="AN118" s="19"/>
      <c r="AO118" s="19"/>
      <c r="AP118" s="19"/>
      <c r="AQ118" s="19"/>
      <c r="AR118" s="19"/>
      <c r="AS118" s="19"/>
      <c r="AT118" s="19"/>
      <c r="AU118" s="19"/>
      <c r="AV118" s="19"/>
      <c r="AW118" s="19"/>
      <c r="AX118" s="19"/>
      <c r="AY118" s="19"/>
      <c r="AZ118" s="19"/>
      <c r="BA118" s="19"/>
    </row>
    <row r="119" spans="1:53" ht="14.4" x14ac:dyDescent="0.3">
      <c r="A119" s="19"/>
      <c r="B119" s="19"/>
      <c r="C119" s="19"/>
      <c r="D119" s="19"/>
      <c r="E119" s="19"/>
      <c r="F119" s="19"/>
      <c r="G119" s="19"/>
      <c r="H119" s="19"/>
      <c r="I119"/>
      <c r="J119"/>
      <c r="K119"/>
      <c r="L119"/>
      <c r="M119"/>
      <c r="N119"/>
      <c r="O119" s="19"/>
      <c r="P119" s="19"/>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c r="AY119" s="19"/>
      <c r="AZ119" s="19"/>
      <c r="BA119" s="19"/>
    </row>
    <row r="120" spans="1:53" ht="14.4" x14ac:dyDescent="0.3">
      <c r="A120" s="19"/>
      <c r="B120" s="19"/>
      <c r="C120" s="19"/>
      <c r="D120" s="19"/>
      <c r="E120" s="19"/>
      <c r="F120" s="19"/>
      <c r="G120" s="19"/>
      <c r="H120" s="19"/>
      <c r="I120"/>
      <c r="J120"/>
      <c r="K120"/>
      <c r="L120"/>
      <c r="M120"/>
      <c r="N120"/>
      <c r="O120" s="19"/>
      <c r="P120" s="19"/>
      <c r="Q120" s="19"/>
      <c r="R120" s="19"/>
      <c r="S120" s="19"/>
      <c r="T120" s="19"/>
      <c r="U120" s="19"/>
      <c r="V120" s="19"/>
      <c r="W120" s="19"/>
      <c r="X120" s="19"/>
      <c r="Y120" s="19"/>
      <c r="Z120" s="19"/>
      <c r="AA120" s="19"/>
      <c r="AB120" s="19"/>
      <c r="AC120" s="19"/>
      <c r="AD120" s="19"/>
      <c r="AE120" s="19"/>
      <c r="AF120" s="19"/>
      <c r="AG120" s="19"/>
      <c r="AH120" s="19"/>
      <c r="AI120" s="19"/>
      <c r="AJ120" s="19"/>
      <c r="AK120" s="19"/>
      <c r="AL120" s="19"/>
      <c r="AM120" s="19"/>
      <c r="AN120" s="19"/>
      <c r="AO120" s="19"/>
      <c r="AP120" s="19"/>
      <c r="AQ120" s="19"/>
      <c r="AR120" s="19"/>
      <c r="AS120" s="19"/>
      <c r="AT120" s="19"/>
      <c r="AU120" s="19"/>
      <c r="AV120" s="19"/>
      <c r="AW120" s="19"/>
      <c r="AX120" s="19"/>
      <c r="AY120" s="19"/>
      <c r="AZ120" s="19"/>
      <c r="BA120" s="19"/>
    </row>
    <row r="121" spans="1:53" ht="14.4" x14ac:dyDescent="0.3">
      <c r="A121" s="19"/>
      <c r="B121" s="19"/>
      <c r="C121" s="19"/>
      <c r="D121" s="19"/>
      <c r="E121" s="19"/>
      <c r="F121" s="19"/>
      <c r="G121" s="19"/>
      <c r="H121" s="19"/>
      <c r="I121"/>
      <c r="J121"/>
      <c r="K121"/>
      <c r="L121"/>
      <c r="M121"/>
      <c r="N121"/>
      <c r="O121" s="19"/>
      <c r="P121" s="19"/>
      <c r="Q121" s="19"/>
      <c r="R121" s="19"/>
      <c r="S121" s="19"/>
      <c r="T121" s="19"/>
      <c r="U121" s="19"/>
      <c r="V121" s="19"/>
      <c r="W121" s="19"/>
      <c r="X121" s="19"/>
      <c r="Y121" s="19"/>
      <c r="Z121" s="19"/>
      <c r="AA121" s="19"/>
      <c r="AB121" s="19"/>
      <c r="AC121" s="19"/>
      <c r="AD121" s="19"/>
      <c r="AE121" s="19"/>
      <c r="AF121" s="19"/>
      <c r="AG121" s="19"/>
      <c r="AH121" s="19"/>
      <c r="AI121" s="19"/>
      <c r="AJ121" s="19"/>
      <c r="AK121" s="19"/>
      <c r="AL121" s="19"/>
      <c r="AM121" s="19"/>
      <c r="AN121" s="19"/>
      <c r="AO121" s="19"/>
      <c r="AP121" s="19"/>
      <c r="AQ121" s="19"/>
      <c r="AR121" s="19"/>
      <c r="AS121" s="19"/>
      <c r="AT121" s="19"/>
      <c r="AU121" s="19"/>
      <c r="AV121" s="19"/>
      <c r="AW121" s="19"/>
      <c r="AX121" s="19"/>
      <c r="AY121" s="19"/>
      <c r="AZ121" s="19"/>
      <c r="BA121" s="19"/>
    </row>
    <row r="122" spans="1:53" ht="14.4" x14ac:dyDescent="0.3">
      <c r="A122" s="19"/>
      <c r="B122" s="19"/>
      <c r="C122" s="19"/>
      <c r="D122" s="19"/>
      <c r="E122" s="19"/>
      <c r="F122" s="19"/>
      <c r="G122" s="19"/>
      <c r="H122" s="19"/>
      <c r="I122"/>
      <c r="J122"/>
      <c r="K122"/>
      <c r="L122"/>
      <c r="M122"/>
      <c r="N122"/>
      <c r="O122" s="19"/>
      <c r="P122" s="19"/>
      <c r="Q122" s="19"/>
      <c r="R122" s="19"/>
      <c r="S122" s="19"/>
      <c r="T122" s="19"/>
      <c r="U122" s="19"/>
      <c r="V122" s="19"/>
      <c r="W122" s="19"/>
      <c r="X122" s="19"/>
      <c r="Y122" s="19"/>
      <c r="Z122" s="19"/>
      <c r="AA122" s="19"/>
      <c r="AB122" s="19"/>
      <c r="AC122" s="19"/>
      <c r="AD122" s="19"/>
      <c r="AE122" s="19"/>
      <c r="AF122" s="19"/>
      <c r="AG122" s="19"/>
      <c r="AH122" s="19"/>
      <c r="AI122" s="19"/>
      <c r="AJ122" s="19"/>
      <c r="AK122" s="19"/>
      <c r="AL122" s="19"/>
      <c r="AM122" s="19"/>
      <c r="AN122" s="19"/>
      <c r="AO122" s="19"/>
      <c r="AP122" s="19"/>
      <c r="AQ122" s="19"/>
      <c r="AR122" s="19"/>
      <c r="AS122" s="19"/>
      <c r="AT122" s="19"/>
      <c r="AU122" s="19"/>
      <c r="AV122" s="19"/>
      <c r="AW122" s="19"/>
      <c r="AX122" s="19"/>
      <c r="AY122" s="19"/>
      <c r="AZ122" s="19"/>
      <c r="BA122" s="19"/>
    </row>
    <row r="123" spans="1:53" ht="14.4" x14ac:dyDescent="0.3">
      <c r="A123" s="19"/>
      <c r="B123" s="19"/>
      <c r="C123" s="19"/>
      <c r="D123" s="19"/>
      <c r="E123" s="19"/>
      <c r="F123" s="19"/>
      <c r="G123" s="19"/>
      <c r="H123" s="19"/>
      <c r="I123"/>
      <c r="J123"/>
      <c r="K123"/>
      <c r="L123"/>
      <c r="M123"/>
      <c r="N123"/>
      <c r="O123" s="19"/>
      <c r="P123" s="19"/>
      <c r="Q123" s="19"/>
      <c r="R123" s="19"/>
      <c r="S123" s="19"/>
      <c r="T123" s="19"/>
      <c r="U123" s="19"/>
      <c r="V123" s="19"/>
      <c r="W123" s="19"/>
      <c r="X123" s="19"/>
      <c r="Y123" s="19"/>
      <c r="Z123" s="19"/>
      <c r="AA123" s="19"/>
      <c r="AB123" s="19"/>
      <c r="AC123" s="19"/>
      <c r="AD123" s="19"/>
      <c r="AE123" s="19"/>
      <c r="AF123" s="19"/>
      <c r="AG123" s="19"/>
      <c r="AH123" s="19"/>
      <c r="AI123" s="19"/>
      <c r="AJ123" s="19"/>
      <c r="AK123" s="19"/>
      <c r="AL123" s="19"/>
      <c r="AM123" s="19"/>
      <c r="AN123" s="19"/>
      <c r="AO123" s="19"/>
      <c r="AP123" s="19"/>
      <c r="AQ123" s="19"/>
      <c r="AR123" s="19"/>
      <c r="AS123" s="19"/>
      <c r="AT123" s="19"/>
      <c r="AU123" s="19"/>
      <c r="AV123" s="19"/>
      <c r="AW123" s="19"/>
      <c r="AX123" s="19"/>
      <c r="AY123" s="19"/>
      <c r="AZ123" s="19"/>
      <c r="BA123" s="19"/>
    </row>
    <row r="124" spans="1:53" ht="14.4" x14ac:dyDescent="0.3">
      <c r="A124" s="19"/>
      <c r="B124" s="19"/>
      <c r="C124" s="19"/>
      <c r="D124" s="19"/>
      <c r="E124" s="19"/>
      <c r="F124" s="19"/>
      <c r="G124" s="19"/>
      <c r="H124" s="19"/>
      <c r="I124"/>
      <c r="J124"/>
      <c r="K124"/>
      <c r="L124"/>
      <c r="M124"/>
      <c r="N124"/>
      <c r="O124" s="19"/>
      <c r="P124" s="19"/>
      <c r="Q124" s="19"/>
      <c r="R124" s="19"/>
      <c r="S124" s="19"/>
      <c r="T124" s="19"/>
      <c r="U124" s="19"/>
      <c r="V124" s="19"/>
      <c r="W124" s="19"/>
      <c r="X124" s="19"/>
      <c r="Y124" s="19"/>
      <c r="Z124" s="19"/>
      <c r="AA124" s="19"/>
      <c r="AB124" s="19"/>
      <c r="AC124" s="19"/>
      <c r="AD124" s="19"/>
      <c r="AE124" s="19"/>
      <c r="AF124" s="19"/>
      <c r="AG124" s="19"/>
      <c r="AH124" s="19"/>
      <c r="AI124" s="19"/>
      <c r="AJ124" s="19"/>
      <c r="AK124" s="19"/>
      <c r="AL124" s="19"/>
      <c r="AM124" s="19"/>
      <c r="AN124" s="19"/>
      <c r="AO124" s="19"/>
      <c r="AP124" s="19"/>
      <c r="AQ124" s="19"/>
      <c r="AR124" s="19"/>
      <c r="AS124" s="19"/>
      <c r="AT124" s="19"/>
      <c r="AU124" s="19"/>
      <c r="AV124" s="19"/>
      <c r="AW124" s="19"/>
      <c r="AX124" s="19"/>
      <c r="AY124" s="19"/>
      <c r="AZ124" s="19"/>
      <c r="BA124" s="19"/>
    </row>
    <row r="125" spans="1:53" ht="14.4" x14ac:dyDescent="0.3">
      <c r="A125" s="19"/>
      <c r="B125" s="19"/>
      <c r="C125" s="19"/>
      <c r="D125" s="19"/>
      <c r="E125" s="19"/>
      <c r="F125" s="19"/>
      <c r="G125" s="19"/>
      <c r="H125" s="19"/>
      <c r="I125"/>
      <c r="J125"/>
      <c r="K125"/>
      <c r="L125"/>
      <c r="M125"/>
      <c r="N125"/>
      <c r="O125" s="19"/>
      <c r="P125" s="19"/>
      <c r="Q125" s="19"/>
      <c r="R125" s="19"/>
      <c r="S125" s="19"/>
      <c r="T125" s="19"/>
      <c r="U125" s="19"/>
      <c r="V125" s="19"/>
      <c r="W125" s="19"/>
      <c r="X125" s="19"/>
      <c r="Y125" s="19"/>
      <c r="Z125" s="19"/>
      <c r="AA125" s="19"/>
      <c r="AB125" s="19"/>
      <c r="AC125" s="19"/>
      <c r="AD125" s="19"/>
      <c r="AE125" s="19"/>
      <c r="AF125" s="19"/>
      <c r="AG125" s="19"/>
      <c r="AH125" s="19"/>
      <c r="AI125" s="19"/>
      <c r="AJ125" s="19"/>
      <c r="AK125" s="19"/>
      <c r="AL125" s="19"/>
      <c r="AM125" s="19"/>
      <c r="AN125" s="19"/>
      <c r="AO125" s="19"/>
      <c r="AP125" s="19"/>
      <c r="AQ125" s="19"/>
      <c r="AR125" s="19"/>
      <c r="AS125" s="19"/>
      <c r="AT125" s="19"/>
      <c r="AU125" s="19"/>
      <c r="AV125" s="19"/>
      <c r="AW125" s="19"/>
      <c r="AX125" s="19"/>
      <c r="AY125" s="19"/>
      <c r="AZ125" s="19"/>
      <c r="BA125" s="19"/>
    </row>
    <row r="126" spans="1:53" ht="14.4" x14ac:dyDescent="0.3">
      <c r="A126" s="19"/>
      <c r="B126" s="19"/>
      <c r="C126" s="19"/>
      <c r="D126" s="19"/>
      <c r="E126" s="19"/>
      <c r="F126" s="19"/>
      <c r="G126" s="19"/>
      <c r="H126" s="19"/>
      <c r="I126"/>
      <c r="J126"/>
      <c r="K126"/>
      <c r="L126"/>
      <c r="M126"/>
      <c r="N126"/>
      <c r="O126" s="19"/>
      <c r="P126" s="19"/>
      <c r="Q126" s="19"/>
      <c r="R126" s="19"/>
      <c r="S126" s="19"/>
      <c r="T126" s="19"/>
      <c r="U126" s="19"/>
      <c r="V126" s="19"/>
      <c r="W126" s="19"/>
      <c r="X126" s="19"/>
      <c r="Y126" s="19"/>
      <c r="Z126" s="19"/>
      <c r="AA126" s="19"/>
      <c r="AB126" s="19"/>
      <c r="AC126" s="19"/>
      <c r="AD126" s="19"/>
      <c r="AE126" s="19"/>
      <c r="AF126" s="19"/>
      <c r="AG126" s="19"/>
      <c r="AH126" s="19"/>
      <c r="AI126" s="19"/>
      <c r="AJ126" s="19"/>
      <c r="AK126" s="19"/>
      <c r="AL126" s="19"/>
      <c r="AM126" s="19"/>
      <c r="AN126" s="19"/>
      <c r="AO126" s="19"/>
      <c r="AP126" s="19"/>
      <c r="AQ126" s="19"/>
      <c r="AR126" s="19"/>
      <c r="AS126" s="19"/>
      <c r="AT126" s="19"/>
      <c r="AU126" s="19"/>
      <c r="AV126" s="19"/>
      <c r="AW126" s="19"/>
      <c r="AX126" s="19"/>
      <c r="AY126" s="19"/>
      <c r="AZ126" s="19"/>
      <c r="BA126" s="19"/>
    </row>
    <row r="127" spans="1:53" ht="14.4" x14ac:dyDescent="0.3">
      <c r="A127" s="19"/>
      <c r="B127" s="19"/>
      <c r="C127" s="19"/>
      <c r="D127" s="19"/>
      <c r="E127" s="19"/>
      <c r="F127" s="19"/>
      <c r="G127" s="19"/>
      <c r="H127" s="19"/>
      <c r="I127"/>
      <c r="J127"/>
      <c r="K127"/>
      <c r="L127"/>
      <c r="M127"/>
      <c r="N127"/>
      <c r="O127" s="19"/>
      <c r="P127" s="19"/>
      <c r="Q127" s="19"/>
      <c r="R127" s="19"/>
      <c r="S127" s="19"/>
      <c r="T127" s="19"/>
      <c r="U127" s="19"/>
      <c r="V127" s="19"/>
      <c r="W127" s="19"/>
      <c r="X127" s="19"/>
      <c r="Y127" s="19"/>
      <c r="Z127" s="19"/>
      <c r="AA127" s="19"/>
      <c r="AB127" s="19"/>
      <c r="AC127" s="19"/>
      <c r="AD127" s="19"/>
      <c r="AE127" s="19"/>
      <c r="AF127" s="19"/>
      <c r="AG127" s="19"/>
      <c r="AH127" s="19"/>
      <c r="AI127" s="19"/>
      <c r="AJ127" s="19"/>
      <c r="AK127" s="19"/>
      <c r="AL127" s="19"/>
      <c r="AM127" s="19"/>
      <c r="AN127" s="19"/>
      <c r="AO127" s="19"/>
      <c r="AP127" s="19"/>
      <c r="AQ127" s="19"/>
      <c r="AR127" s="19"/>
      <c r="AS127" s="19"/>
      <c r="AT127" s="19"/>
      <c r="AU127" s="19"/>
      <c r="AV127" s="19"/>
      <c r="AW127" s="19"/>
      <c r="AX127" s="19"/>
      <c r="AY127" s="19"/>
      <c r="AZ127" s="19"/>
      <c r="BA127" s="19"/>
    </row>
    <row r="128" spans="1:53" ht="14.4" x14ac:dyDescent="0.3">
      <c r="A128" s="19"/>
      <c r="B128" s="19"/>
      <c r="C128" s="19"/>
      <c r="D128" s="19"/>
      <c r="E128" s="19"/>
      <c r="F128" s="19"/>
      <c r="G128" s="19"/>
      <c r="H128" s="19"/>
      <c r="I128"/>
      <c r="J128"/>
      <c r="K128"/>
      <c r="L128"/>
      <c r="M128"/>
      <c r="N128"/>
      <c r="O128" s="19"/>
      <c r="P128" s="19"/>
      <c r="Q128" s="19"/>
      <c r="R128" s="19"/>
      <c r="S128" s="19"/>
      <c r="T128" s="19"/>
      <c r="U128" s="19"/>
      <c r="V128" s="19"/>
      <c r="W128" s="19"/>
      <c r="X128" s="19"/>
      <c r="Y128" s="19"/>
      <c r="Z128" s="19"/>
      <c r="AA128" s="19"/>
      <c r="AB128" s="19"/>
      <c r="AC128" s="19"/>
      <c r="AD128" s="19"/>
      <c r="AE128" s="19"/>
      <c r="AF128" s="19"/>
      <c r="AG128" s="19"/>
      <c r="AH128" s="19"/>
      <c r="AI128" s="19"/>
      <c r="AJ128" s="19"/>
      <c r="AK128" s="19"/>
      <c r="AL128" s="19"/>
      <c r="AM128" s="19"/>
      <c r="AN128" s="19"/>
      <c r="AO128" s="19"/>
      <c r="AP128" s="19"/>
      <c r="AQ128" s="19"/>
      <c r="AR128" s="19"/>
      <c r="AS128" s="19"/>
      <c r="AT128" s="19"/>
      <c r="AU128" s="19"/>
      <c r="AV128" s="19"/>
      <c r="AW128" s="19"/>
      <c r="AX128" s="19"/>
      <c r="AY128" s="19"/>
      <c r="AZ128" s="19"/>
      <c r="BA128" s="19"/>
    </row>
    <row r="129" spans="1:53" ht="14.4" x14ac:dyDescent="0.3">
      <c r="A129" s="19"/>
      <c r="B129" s="19"/>
      <c r="C129" s="19"/>
      <c r="D129" s="19"/>
      <c r="E129" s="19"/>
      <c r="F129" s="19"/>
      <c r="G129" s="19"/>
      <c r="H129" s="19"/>
      <c r="I129"/>
      <c r="J129"/>
      <c r="K129"/>
      <c r="L129"/>
      <c r="M129"/>
      <c r="N129"/>
      <c r="O129" s="19"/>
      <c r="P129" s="19"/>
      <c r="Q129" s="19"/>
      <c r="R129" s="19"/>
      <c r="S129" s="19"/>
      <c r="T129" s="19"/>
      <c r="U129" s="19"/>
      <c r="V129" s="19"/>
      <c r="W129" s="19"/>
      <c r="X129" s="19"/>
      <c r="Y129" s="19"/>
      <c r="Z129" s="19"/>
      <c r="AA129" s="19"/>
      <c r="AB129" s="19"/>
      <c r="AC129" s="19"/>
      <c r="AD129" s="19"/>
      <c r="AE129" s="19"/>
      <c r="AF129" s="19"/>
      <c r="AG129" s="19"/>
      <c r="AH129" s="19"/>
      <c r="AI129" s="19"/>
      <c r="AJ129" s="19"/>
      <c r="AK129" s="19"/>
      <c r="AL129" s="19"/>
      <c r="AM129" s="19"/>
      <c r="AN129" s="19"/>
      <c r="AO129" s="19"/>
      <c r="AP129" s="19"/>
      <c r="AQ129" s="19"/>
      <c r="AR129" s="19"/>
      <c r="AS129" s="19"/>
      <c r="AT129" s="19"/>
      <c r="AU129" s="19"/>
      <c r="AV129" s="19"/>
      <c r="AW129" s="19"/>
      <c r="AX129" s="19"/>
      <c r="AY129" s="19"/>
      <c r="AZ129" s="19"/>
      <c r="BA129" s="19"/>
    </row>
    <row r="130" spans="1:53" ht="14.4" x14ac:dyDescent="0.3">
      <c r="A130" s="19"/>
      <c r="B130" s="19"/>
      <c r="C130" s="19"/>
      <c r="D130" s="19"/>
      <c r="E130" s="19"/>
      <c r="F130" s="19"/>
      <c r="G130" s="19"/>
      <c r="H130" s="19"/>
      <c r="I130"/>
      <c r="J130"/>
      <c r="K130"/>
      <c r="L130"/>
      <c r="M130"/>
      <c r="N130"/>
      <c r="O130" s="19"/>
      <c r="P130" s="19"/>
      <c r="Q130" s="19"/>
      <c r="R130" s="19"/>
      <c r="S130" s="19"/>
      <c r="T130" s="19"/>
      <c r="U130" s="19"/>
      <c r="V130" s="19"/>
      <c r="W130" s="19"/>
      <c r="X130" s="19"/>
      <c r="Y130" s="19"/>
      <c r="Z130" s="19"/>
      <c r="AA130" s="19"/>
      <c r="AB130" s="19"/>
      <c r="AC130" s="19"/>
      <c r="AD130" s="19"/>
      <c r="AE130" s="19"/>
      <c r="AF130" s="19"/>
      <c r="AG130" s="19"/>
      <c r="AH130" s="19"/>
      <c r="AI130" s="19"/>
      <c r="AJ130" s="19"/>
      <c r="AK130" s="19"/>
      <c r="AL130" s="19"/>
      <c r="AM130" s="19"/>
      <c r="AN130" s="19"/>
      <c r="AO130" s="19"/>
      <c r="AP130" s="19"/>
      <c r="AQ130" s="19"/>
      <c r="AR130" s="19"/>
      <c r="AS130" s="19"/>
      <c r="AT130" s="19"/>
      <c r="AU130" s="19"/>
      <c r="AV130" s="19"/>
      <c r="AW130" s="19"/>
      <c r="AX130" s="19"/>
      <c r="AY130" s="19"/>
      <c r="AZ130" s="19"/>
      <c r="BA130" s="19"/>
    </row>
    <row r="131" spans="1:53" ht="14.4" x14ac:dyDescent="0.3">
      <c r="A131" s="19"/>
      <c r="B131" s="19"/>
      <c r="C131" s="19"/>
      <c r="D131" s="19"/>
      <c r="E131" s="19"/>
      <c r="F131" s="19"/>
      <c r="G131" s="19"/>
      <c r="H131" s="19"/>
      <c r="I131"/>
      <c r="J131"/>
      <c r="K131"/>
      <c r="L131"/>
      <c r="M131"/>
      <c r="N131"/>
      <c r="O131" s="19"/>
      <c r="P131" s="19"/>
      <c r="Q131" s="19"/>
      <c r="R131" s="19"/>
      <c r="S131" s="19"/>
      <c r="T131" s="19"/>
      <c r="U131" s="19"/>
      <c r="V131" s="19"/>
      <c r="W131" s="19"/>
      <c r="X131" s="19"/>
      <c r="Y131" s="19"/>
      <c r="Z131" s="19"/>
      <c r="AA131" s="19"/>
      <c r="AB131" s="19"/>
      <c r="AC131" s="19"/>
      <c r="AD131" s="19"/>
      <c r="AE131" s="19"/>
      <c r="AF131" s="19"/>
      <c r="AG131" s="19"/>
      <c r="AH131" s="19"/>
      <c r="AI131" s="19"/>
      <c r="AJ131" s="19"/>
      <c r="AK131" s="19"/>
      <c r="AL131" s="19"/>
      <c r="AM131" s="19"/>
      <c r="AN131" s="19"/>
      <c r="AO131" s="19"/>
      <c r="AP131" s="19"/>
      <c r="AQ131" s="19"/>
      <c r="AR131" s="19"/>
      <c r="AS131" s="19"/>
      <c r="AT131" s="19"/>
      <c r="AU131" s="19"/>
      <c r="AV131" s="19"/>
      <c r="AW131" s="19"/>
      <c r="AX131" s="19"/>
      <c r="AY131" s="19"/>
      <c r="AZ131" s="19"/>
      <c r="BA131" s="19"/>
    </row>
    <row r="132" spans="1:53" ht="14.4" x14ac:dyDescent="0.3">
      <c r="A132" s="19"/>
      <c r="B132" s="19"/>
      <c r="C132" s="19"/>
      <c r="D132" s="19"/>
      <c r="E132" s="19"/>
      <c r="F132" s="19"/>
      <c r="G132" s="19"/>
      <c r="H132" s="19"/>
      <c r="I132"/>
      <c r="J132"/>
      <c r="K132"/>
      <c r="L132"/>
      <c r="M132"/>
      <c r="N132"/>
      <c r="O132" s="19"/>
      <c r="P132" s="19"/>
      <c r="Q132" s="19"/>
      <c r="R132" s="19"/>
      <c r="S132" s="19"/>
      <c r="T132" s="19"/>
      <c r="U132" s="19"/>
      <c r="V132" s="19"/>
      <c r="W132" s="19"/>
      <c r="X132" s="19"/>
      <c r="Y132" s="19"/>
      <c r="Z132" s="19"/>
      <c r="AA132" s="19"/>
      <c r="AB132" s="19"/>
      <c r="AC132" s="19"/>
      <c r="AD132" s="19"/>
      <c r="AE132" s="19"/>
      <c r="AF132" s="19"/>
      <c r="AG132" s="19"/>
      <c r="AH132" s="19"/>
      <c r="AI132" s="19"/>
      <c r="AJ132" s="19"/>
      <c r="AK132" s="19"/>
      <c r="AL132" s="19"/>
      <c r="AM132" s="19"/>
      <c r="AN132" s="19"/>
      <c r="AO132" s="19"/>
      <c r="AP132" s="19"/>
      <c r="AQ132" s="19"/>
      <c r="AR132" s="19"/>
      <c r="AS132" s="19"/>
      <c r="AT132" s="19"/>
      <c r="AU132" s="19"/>
      <c r="AV132" s="19"/>
      <c r="AW132" s="19"/>
      <c r="AX132" s="19"/>
      <c r="AY132" s="19"/>
      <c r="AZ132" s="19"/>
      <c r="BA132" s="19"/>
    </row>
    <row r="133" spans="1:53" ht="14.4" x14ac:dyDescent="0.3">
      <c r="A133" s="19"/>
      <c r="B133" s="19"/>
      <c r="C133" s="19"/>
      <c r="D133" s="19"/>
      <c r="E133" s="19"/>
      <c r="F133" s="19"/>
      <c r="G133" s="19"/>
      <c r="H133" s="19"/>
      <c r="I133"/>
      <c r="J133"/>
      <c r="K133"/>
      <c r="L133"/>
      <c r="M133"/>
      <c r="N133"/>
      <c r="O133" s="19"/>
      <c r="P133" s="19"/>
      <c r="Q133" s="19"/>
      <c r="R133" s="19"/>
      <c r="S133" s="19"/>
      <c r="T133" s="19"/>
      <c r="U133" s="19"/>
      <c r="V133" s="19"/>
      <c r="W133" s="19"/>
      <c r="X133" s="19"/>
      <c r="Y133" s="19"/>
      <c r="Z133" s="19"/>
      <c r="AA133" s="19"/>
      <c r="AB133" s="19"/>
      <c r="AC133" s="19"/>
      <c r="AD133" s="19"/>
      <c r="AE133" s="19"/>
      <c r="AF133" s="19"/>
      <c r="AG133" s="19"/>
      <c r="AH133" s="19"/>
      <c r="AI133" s="19"/>
      <c r="AJ133" s="19"/>
      <c r="AK133" s="19"/>
      <c r="AL133" s="19"/>
      <c r="AM133" s="19"/>
      <c r="AN133" s="19"/>
      <c r="AO133" s="19"/>
      <c r="AP133" s="19"/>
      <c r="AQ133" s="19"/>
      <c r="AR133" s="19"/>
      <c r="AS133" s="19"/>
      <c r="AT133" s="19"/>
      <c r="AU133" s="19"/>
      <c r="AV133" s="19"/>
      <c r="AW133" s="19"/>
      <c r="AX133" s="19"/>
      <c r="AY133" s="19"/>
      <c r="AZ133" s="19"/>
      <c r="BA133" s="19"/>
    </row>
    <row r="134" spans="1:53" ht="14.4" x14ac:dyDescent="0.3">
      <c r="A134" s="19"/>
      <c r="B134" s="19"/>
      <c r="C134" s="19"/>
      <c r="D134" s="19"/>
      <c r="E134" s="19"/>
      <c r="F134" s="19"/>
      <c r="G134" s="19"/>
      <c r="H134" s="19"/>
      <c r="I134"/>
      <c r="J134"/>
      <c r="K134"/>
      <c r="L134"/>
      <c r="M134"/>
      <c r="N134"/>
      <c r="O134" s="19"/>
      <c r="P134" s="19"/>
      <c r="Q134" s="19"/>
      <c r="R134" s="19"/>
      <c r="S134" s="19"/>
      <c r="T134" s="19"/>
      <c r="U134" s="19"/>
      <c r="V134" s="19"/>
      <c r="W134" s="19"/>
      <c r="X134" s="19"/>
      <c r="Y134" s="19"/>
      <c r="Z134" s="19"/>
      <c r="AA134" s="19"/>
      <c r="AB134" s="19"/>
      <c r="AC134" s="19"/>
      <c r="AD134" s="19"/>
      <c r="AE134" s="19"/>
      <c r="AF134" s="19"/>
      <c r="AG134" s="19"/>
      <c r="AH134" s="19"/>
      <c r="AI134" s="19"/>
      <c r="AJ134" s="19"/>
      <c r="AK134" s="19"/>
      <c r="AL134" s="19"/>
      <c r="AM134" s="19"/>
      <c r="AN134" s="19"/>
      <c r="AO134" s="19"/>
      <c r="AP134" s="19"/>
      <c r="AQ134" s="19"/>
      <c r="AR134" s="19"/>
      <c r="AS134" s="19"/>
      <c r="AT134" s="19"/>
      <c r="AU134" s="19"/>
      <c r="AV134" s="19"/>
      <c r="AW134" s="19"/>
      <c r="AX134" s="19"/>
      <c r="AY134" s="19"/>
      <c r="AZ134" s="19"/>
      <c r="BA134" s="19"/>
    </row>
    <row r="135" spans="1:53" ht="14.4" x14ac:dyDescent="0.3">
      <c r="A135" s="19"/>
      <c r="B135" s="19"/>
      <c r="C135" s="19"/>
      <c r="D135" s="19"/>
      <c r="E135" s="19"/>
      <c r="F135" s="19"/>
      <c r="G135" s="19"/>
      <c r="H135" s="19"/>
      <c r="I135"/>
      <c r="J135"/>
      <c r="K135"/>
      <c r="L135"/>
      <c r="M135"/>
      <c r="N135"/>
      <c r="O135" s="19"/>
      <c r="P135" s="19"/>
      <c r="Q135" s="19"/>
      <c r="R135" s="19"/>
      <c r="S135" s="19"/>
      <c r="T135" s="19"/>
      <c r="U135" s="19"/>
      <c r="V135" s="19"/>
      <c r="W135" s="19"/>
      <c r="X135" s="19"/>
      <c r="Y135" s="19"/>
      <c r="Z135" s="19"/>
      <c r="AA135" s="19"/>
      <c r="AB135" s="19"/>
      <c r="AC135" s="19"/>
      <c r="AD135" s="19"/>
      <c r="AE135" s="19"/>
      <c r="AF135" s="19"/>
      <c r="AG135" s="19"/>
      <c r="AH135" s="19"/>
      <c r="AI135" s="19"/>
      <c r="AJ135" s="19"/>
      <c r="AK135" s="19"/>
      <c r="AL135" s="19"/>
      <c r="AM135" s="19"/>
      <c r="AN135" s="19"/>
      <c r="AO135" s="19"/>
      <c r="AP135" s="19"/>
      <c r="AQ135" s="19"/>
      <c r="AR135" s="19"/>
      <c r="AS135" s="19"/>
      <c r="AT135" s="19"/>
      <c r="AU135" s="19"/>
      <c r="AV135" s="19"/>
      <c r="AW135" s="19"/>
      <c r="AX135" s="19"/>
      <c r="AY135" s="19"/>
      <c r="AZ135" s="19"/>
      <c r="BA135" s="19"/>
    </row>
    <row r="136" spans="1:53" ht="14.4" x14ac:dyDescent="0.3">
      <c r="A136" s="19"/>
      <c r="B136" s="19"/>
      <c r="C136" s="19"/>
      <c r="D136" s="19"/>
      <c r="E136" s="19"/>
      <c r="F136" s="19"/>
      <c r="G136" s="19"/>
      <c r="H136" s="19"/>
      <c r="I136"/>
      <c r="J136"/>
      <c r="K136"/>
      <c r="L136"/>
      <c r="M136"/>
      <c r="N136"/>
      <c r="O136" s="19"/>
      <c r="P136" s="19"/>
      <c r="Q136" s="19"/>
      <c r="R136" s="19"/>
      <c r="S136" s="19"/>
      <c r="T136" s="19"/>
      <c r="U136" s="19"/>
      <c r="V136" s="19"/>
      <c r="W136" s="19"/>
      <c r="X136" s="19"/>
      <c r="Y136" s="19"/>
      <c r="Z136" s="19"/>
      <c r="AA136" s="19"/>
      <c r="AB136" s="19"/>
      <c r="AC136" s="19"/>
      <c r="AD136" s="19"/>
      <c r="AE136" s="19"/>
      <c r="AF136" s="19"/>
      <c r="AG136" s="19"/>
      <c r="AH136" s="19"/>
      <c r="AI136" s="19"/>
      <c r="AJ136" s="19"/>
      <c r="AK136" s="19"/>
      <c r="AL136" s="19"/>
      <c r="AM136" s="19"/>
      <c r="AN136" s="19"/>
      <c r="AO136" s="19"/>
      <c r="AP136" s="19"/>
      <c r="AQ136" s="19"/>
      <c r="AR136" s="19"/>
      <c r="AS136" s="19"/>
      <c r="AT136" s="19"/>
      <c r="AU136" s="19"/>
      <c r="AV136" s="19"/>
      <c r="AW136" s="19"/>
      <c r="AX136" s="19"/>
      <c r="AY136" s="19"/>
      <c r="AZ136" s="19"/>
      <c r="BA136" s="19"/>
    </row>
    <row r="137" spans="1:53" ht="14.4" x14ac:dyDescent="0.3">
      <c r="A137" s="19"/>
      <c r="B137" s="19"/>
      <c r="C137" s="19"/>
      <c r="D137" s="19"/>
      <c r="E137" s="19"/>
      <c r="F137" s="19"/>
      <c r="G137" s="19"/>
      <c r="H137" s="19"/>
      <c r="I137"/>
      <c r="J137"/>
      <c r="K137"/>
      <c r="L137"/>
      <c r="M137"/>
      <c r="N137"/>
      <c r="O137" s="19"/>
      <c r="P137" s="19"/>
      <c r="Q137" s="19"/>
      <c r="R137" s="19"/>
      <c r="S137" s="19"/>
      <c r="T137" s="19"/>
      <c r="U137" s="19"/>
      <c r="V137" s="19"/>
      <c r="W137" s="19"/>
      <c r="X137" s="19"/>
      <c r="Y137" s="19"/>
      <c r="Z137" s="19"/>
      <c r="AA137" s="19"/>
      <c r="AB137" s="19"/>
      <c r="AC137" s="19"/>
      <c r="AD137" s="19"/>
      <c r="AE137" s="19"/>
      <c r="AF137" s="19"/>
      <c r="AG137" s="19"/>
      <c r="AH137" s="19"/>
      <c r="AI137" s="19"/>
      <c r="AJ137" s="19"/>
      <c r="AK137" s="19"/>
      <c r="AL137" s="19"/>
      <c r="AM137" s="19"/>
      <c r="AN137" s="19"/>
      <c r="AO137" s="19"/>
      <c r="AP137" s="19"/>
      <c r="AQ137" s="19"/>
      <c r="AR137" s="19"/>
      <c r="AS137" s="19"/>
      <c r="AT137" s="19"/>
      <c r="AU137" s="19"/>
      <c r="AV137" s="19"/>
      <c r="AW137" s="19"/>
      <c r="AX137" s="19"/>
      <c r="AY137" s="19"/>
      <c r="AZ137" s="19"/>
      <c r="BA137" s="19"/>
    </row>
    <row r="138" spans="1:53" ht="14.4" x14ac:dyDescent="0.3">
      <c r="A138" s="19"/>
      <c r="B138" s="19"/>
      <c r="C138" s="19"/>
      <c r="D138" s="19"/>
      <c r="E138" s="19"/>
      <c r="F138" s="19"/>
      <c r="G138" s="19"/>
      <c r="H138" s="19"/>
      <c r="I138"/>
      <c r="J138"/>
      <c r="K138"/>
      <c r="L138"/>
      <c r="M138"/>
      <c r="N138"/>
      <c r="O138" s="19"/>
      <c r="P138" s="19"/>
      <c r="Q138" s="19"/>
      <c r="R138" s="19"/>
      <c r="S138" s="19"/>
      <c r="T138" s="19"/>
      <c r="U138" s="19"/>
      <c r="V138" s="19"/>
      <c r="W138" s="19"/>
      <c r="X138" s="19"/>
      <c r="Y138" s="19"/>
      <c r="Z138" s="19"/>
      <c r="AA138" s="19"/>
      <c r="AB138" s="19"/>
      <c r="AC138" s="19"/>
      <c r="AD138" s="19"/>
      <c r="AE138" s="19"/>
      <c r="AF138" s="19"/>
      <c r="AG138" s="19"/>
      <c r="AH138" s="19"/>
      <c r="AI138" s="19"/>
      <c r="AJ138" s="19"/>
      <c r="AK138" s="19"/>
      <c r="AL138" s="19"/>
      <c r="AM138" s="19"/>
      <c r="AN138" s="19"/>
      <c r="AO138" s="19"/>
      <c r="AP138" s="19"/>
      <c r="AQ138" s="19"/>
      <c r="AR138" s="19"/>
      <c r="AS138" s="19"/>
      <c r="AT138" s="19"/>
      <c r="AU138" s="19"/>
      <c r="AV138" s="19"/>
      <c r="AW138" s="19"/>
      <c r="AX138" s="19"/>
      <c r="AY138" s="19"/>
      <c r="AZ138" s="19"/>
      <c r="BA138" s="19"/>
    </row>
    <row r="139" spans="1:53" ht="14.4" x14ac:dyDescent="0.3">
      <c r="A139" s="19"/>
      <c r="B139" s="19"/>
      <c r="C139" s="19"/>
      <c r="D139" s="19"/>
      <c r="E139" s="19"/>
      <c r="F139" s="19"/>
      <c r="G139" s="19"/>
      <c r="H139" s="19"/>
      <c r="I139"/>
      <c r="J139"/>
      <c r="K139"/>
      <c r="L139"/>
      <c r="M139"/>
      <c r="N139"/>
      <c r="O139" s="19"/>
      <c r="P139" s="19"/>
      <c r="Q139" s="19"/>
      <c r="R139" s="19"/>
      <c r="S139" s="19"/>
      <c r="T139" s="19"/>
      <c r="U139" s="19"/>
      <c r="V139" s="19"/>
      <c r="W139" s="19"/>
      <c r="X139" s="19"/>
      <c r="Y139" s="19"/>
      <c r="Z139" s="19"/>
      <c r="AA139" s="19"/>
      <c r="AB139" s="19"/>
      <c r="AC139" s="19"/>
      <c r="AD139" s="19"/>
      <c r="AE139" s="19"/>
      <c r="AF139" s="19"/>
      <c r="AG139" s="19"/>
      <c r="AH139" s="19"/>
      <c r="AI139" s="19"/>
      <c r="AJ139" s="19"/>
      <c r="AK139" s="19"/>
      <c r="AL139" s="19"/>
      <c r="AM139" s="19"/>
      <c r="AN139" s="19"/>
      <c r="AO139" s="19"/>
      <c r="AP139" s="19"/>
      <c r="AQ139" s="19"/>
      <c r="AR139" s="19"/>
      <c r="AS139" s="19"/>
      <c r="AT139" s="19"/>
      <c r="AU139" s="19"/>
      <c r="AV139" s="19"/>
      <c r="AW139" s="19"/>
      <c r="AX139" s="19"/>
      <c r="AY139" s="19"/>
      <c r="AZ139" s="19"/>
      <c r="BA139" s="19"/>
    </row>
    <row r="140" spans="1:53" ht="14.4" x14ac:dyDescent="0.3">
      <c r="A140" s="19"/>
      <c r="B140" s="19"/>
      <c r="C140" s="19"/>
      <c r="D140" s="19"/>
      <c r="E140" s="19"/>
      <c r="F140" s="19"/>
      <c r="G140" s="19"/>
      <c r="H140" s="19"/>
      <c r="I140"/>
      <c r="J140"/>
      <c r="K140"/>
      <c r="L140"/>
      <c r="M140"/>
      <c r="N140"/>
      <c r="O140" s="19"/>
      <c r="P140" s="19"/>
      <c r="Q140" s="19"/>
      <c r="R140" s="19"/>
      <c r="S140" s="19"/>
      <c r="T140" s="19"/>
      <c r="U140" s="19"/>
      <c r="V140" s="19"/>
      <c r="W140" s="19"/>
      <c r="X140" s="19"/>
      <c r="Y140" s="19"/>
      <c r="Z140" s="19"/>
      <c r="AA140" s="19"/>
      <c r="AB140" s="19"/>
      <c r="AC140" s="19"/>
      <c r="AD140" s="19"/>
      <c r="AE140" s="19"/>
      <c r="AF140" s="19"/>
      <c r="AG140" s="19"/>
      <c r="AH140" s="19"/>
      <c r="AI140" s="19"/>
      <c r="AJ140" s="19"/>
      <c r="AK140" s="19"/>
      <c r="AL140" s="19"/>
      <c r="AM140" s="19"/>
      <c r="AN140" s="19"/>
      <c r="AO140" s="19"/>
      <c r="AP140" s="19"/>
      <c r="AQ140" s="19"/>
      <c r="AR140" s="19"/>
      <c r="AS140" s="19"/>
      <c r="AT140" s="19"/>
      <c r="AU140" s="19"/>
      <c r="AV140" s="19"/>
      <c r="AW140" s="19"/>
      <c r="AX140" s="19"/>
      <c r="AY140" s="19"/>
      <c r="AZ140" s="19"/>
      <c r="BA140" s="19"/>
    </row>
    <row r="141" spans="1:53" ht="14.4" x14ac:dyDescent="0.3">
      <c r="A141" s="19"/>
      <c r="B141" s="19"/>
      <c r="C141" s="19"/>
      <c r="D141" s="19"/>
      <c r="E141" s="19"/>
      <c r="F141" s="19"/>
      <c r="G141" s="19"/>
      <c r="H141" s="19"/>
      <c r="I141"/>
      <c r="J141"/>
      <c r="K141"/>
      <c r="L141"/>
      <c r="M141"/>
      <c r="N141"/>
      <c r="O141" s="19"/>
      <c r="P141" s="19"/>
      <c r="Q141" s="19"/>
      <c r="R141" s="19"/>
      <c r="S141" s="19"/>
      <c r="T141" s="19"/>
      <c r="U141" s="19"/>
      <c r="V141" s="19"/>
      <c r="W141" s="19"/>
      <c r="X141" s="19"/>
      <c r="Y141" s="19"/>
      <c r="Z141" s="19"/>
      <c r="AA141" s="19"/>
      <c r="AB141" s="19"/>
      <c r="AC141" s="19"/>
      <c r="AD141" s="19"/>
      <c r="AE141" s="19"/>
      <c r="AF141" s="19"/>
      <c r="AG141" s="19"/>
      <c r="AH141" s="19"/>
      <c r="AI141" s="19"/>
      <c r="AJ141" s="19"/>
      <c r="AK141" s="19"/>
      <c r="AL141" s="19"/>
      <c r="AM141" s="19"/>
      <c r="AN141" s="19"/>
      <c r="AO141" s="19"/>
      <c r="AP141" s="19"/>
      <c r="AQ141" s="19"/>
      <c r="AR141" s="19"/>
      <c r="AS141" s="19"/>
      <c r="AT141" s="19"/>
      <c r="AU141" s="19"/>
      <c r="AV141" s="19"/>
      <c r="AW141" s="19"/>
      <c r="AX141" s="19"/>
      <c r="AY141" s="19"/>
      <c r="AZ141" s="19"/>
      <c r="BA141" s="19"/>
    </row>
    <row r="142" spans="1:53" ht="14.4" x14ac:dyDescent="0.3">
      <c r="A142" s="19"/>
      <c r="B142" s="19"/>
      <c r="C142" s="19"/>
      <c r="D142" s="19"/>
      <c r="E142" s="19"/>
      <c r="F142" s="19"/>
      <c r="G142" s="19"/>
      <c r="H142" s="19"/>
      <c r="I142"/>
      <c r="J142"/>
      <c r="K142"/>
      <c r="L142"/>
      <c r="M142"/>
      <c r="N142"/>
      <c r="O142" s="19"/>
      <c r="P142" s="19"/>
      <c r="Q142" s="19"/>
      <c r="R142" s="19"/>
      <c r="S142" s="19"/>
      <c r="T142" s="19"/>
      <c r="U142" s="19"/>
      <c r="V142" s="19"/>
      <c r="W142" s="19"/>
      <c r="X142" s="19"/>
      <c r="Y142" s="19"/>
      <c r="Z142" s="19"/>
      <c r="AA142" s="19"/>
      <c r="AB142" s="19"/>
      <c r="AC142" s="19"/>
      <c r="AD142" s="19"/>
      <c r="AE142" s="19"/>
      <c r="AF142" s="19"/>
      <c r="AG142" s="19"/>
      <c r="AH142" s="19"/>
      <c r="AI142" s="19"/>
      <c r="AJ142" s="19"/>
      <c r="AK142" s="19"/>
      <c r="AL142" s="19"/>
      <c r="AM142" s="19"/>
      <c r="AN142" s="19"/>
      <c r="AO142" s="19"/>
      <c r="AP142" s="19"/>
      <c r="AQ142" s="19"/>
      <c r="AR142" s="19"/>
      <c r="AS142" s="19"/>
      <c r="AT142" s="19"/>
      <c r="AU142" s="19"/>
      <c r="AV142" s="19"/>
      <c r="AW142" s="19"/>
      <c r="AX142" s="19"/>
      <c r="AY142" s="19"/>
      <c r="AZ142" s="19"/>
      <c r="BA142" s="19"/>
    </row>
    <row r="143" spans="1:53" ht="14.4" x14ac:dyDescent="0.3">
      <c r="A143" s="19"/>
      <c r="B143" s="19"/>
      <c r="C143" s="19"/>
      <c r="D143" s="19"/>
      <c r="E143" s="19"/>
      <c r="F143" s="19"/>
      <c r="G143" s="19"/>
      <c r="H143" s="19"/>
      <c r="I143"/>
      <c r="J143"/>
      <c r="K143"/>
      <c r="L143"/>
      <c r="M143"/>
      <c r="N143"/>
      <c r="O143" s="19"/>
      <c r="P143" s="19"/>
      <c r="Q143" s="19"/>
      <c r="R143" s="19"/>
      <c r="S143" s="19"/>
      <c r="T143" s="19"/>
      <c r="U143" s="19"/>
      <c r="V143" s="19"/>
      <c r="W143" s="19"/>
      <c r="X143" s="19"/>
      <c r="Y143" s="19"/>
      <c r="Z143" s="19"/>
      <c r="AA143" s="19"/>
      <c r="AB143" s="19"/>
      <c r="AC143" s="19"/>
      <c r="AD143" s="19"/>
      <c r="AE143" s="19"/>
      <c r="AF143" s="19"/>
      <c r="AG143" s="19"/>
      <c r="AH143" s="19"/>
      <c r="AI143" s="19"/>
      <c r="AJ143" s="19"/>
      <c r="AK143" s="19"/>
      <c r="AL143" s="19"/>
      <c r="AM143" s="19"/>
      <c r="AN143" s="19"/>
      <c r="AO143" s="19"/>
      <c r="AP143" s="19"/>
      <c r="AQ143" s="19"/>
      <c r="AR143" s="19"/>
      <c r="AS143" s="19"/>
      <c r="AT143" s="19"/>
      <c r="AU143" s="19"/>
      <c r="AV143" s="19"/>
      <c r="AW143" s="19"/>
      <c r="AX143" s="19"/>
      <c r="AY143" s="19"/>
      <c r="AZ143" s="19"/>
      <c r="BA143" s="19"/>
    </row>
    <row r="144" spans="1:53" ht="14.4" x14ac:dyDescent="0.3">
      <c r="A144" s="19"/>
      <c r="B144" s="19"/>
      <c r="C144" s="19"/>
      <c r="D144" s="19"/>
      <c r="E144" s="19"/>
      <c r="F144" s="19"/>
      <c r="G144" s="19"/>
      <c r="H144" s="19"/>
      <c r="I144"/>
      <c r="J144"/>
      <c r="K144"/>
      <c r="L144"/>
      <c r="M144"/>
      <c r="N144"/>
      <c r="O144" s="19"/>
      <c r="P144" s="19"/>
      <c r="Q144" s="19"/>
      <c r="R144" s="19"/>
      <c r="S144" s="19"/>
      <c r="T144" s="19"/>
      <c r="U144" s="19"/>
      <c r="V144" s="19"/>
      <c r="W144" s="19"/>
      <c r="X144" s="19"/>
      <c r="Y144" s="19"/>
      <c r="Z144" s="19"/>
      <c r="AA144" s="19"/>
      <c r="AB144" s="19"/>
      <c r="AC144" s="19"/>
      <c r="AD144" s="19"/>
      <c r="AE144" s="19"/>
      <c r="AF144" s="19"/>
      <c r="AG144" s="19"/>
      <c r="AH144" s="19"/>
      <c r="AI144" s="19"/>
      <c r="AJ144" s="19"/>
      <c r="AK144" s="19"/>
      <c r="AL144" s="19"/>
      <c r="AM144" s="19"/>
      <c r="AN144" s="19"/>
      <c r="AO144" s="19"/>
      <c r="AP144" s="19"/>
      <c r="AQ144" s="19"/>
      <c r="AR144" s="19"/>
      <c r="AS144" s="19"/>
      <c r="AT144" s="19"/>
      <c r="AU144" s="19"/>
      <c r="AV144" s="19"/>
      <c r="AW144" s="19"/>
      <c r="AX144" s="19"/>
      <c r="AY144" s="19"/>
      <c r="AZ144" s="19"/>
      <c r="BA144" s="19"/>
    </row>
    <row r="145" spans="1:53" ht="14.4" x14ac:dyDescent="0.3">
      <c r="A145" s="19"/>
      <c r="B145" s="19"/>
      <c r="C145" s="19"/>
      <c r="D145" s="19"/>
      <c r="E145" s="19"/>
      <c r="F145" s="19"/>
      <c r="G145" s="19"/>
      <c r="H145" s="19"/>
      <c r="I145"/>
      <c r="J145"/>
      <c r="K145"/>
      <c r="L145"/>
      <c r="M145"/>
      <c r="N145"/>
      <c r="O145" s="19"/>
      <c r="P145" s="19"/>
      <c r="Q145" s="19"/>
      <c r="R145" s="19"/>
      <c r="S145" s="19"/>
      <c r="T145" s="19"/>
      <c r="U145" s="19"/>
      <c r="V145" s="19"/>
      <c r="W145" s="19"/>
      <c r="X145" s="19"/>
      <c r="Y145" s="19"/>
      <c r="Z145" s="19"/>
      <c r="AA145" s="19"/>
      <c r="AB145" s="19"/>
      <c r="AC145" s="19"/>
      <c r="AD145" s="19"/>
      <c r="AE145" s="19"/>
      <c r="AF145" s="19"/>
      <c r="AG145" s="19"/>
      <c r="AH145" s="19"/>
      <c r="AI145" s="19"/>
      <c r="AJ145" s="19"/>
      <c r="AK145" s="19"/>
      <c r="AL145" s="19"/>
      <c r="AM145" s="19"/>
      <c r="AN145" s="19"/>
      <c r="AO145" s="19"/>
      <c r="AP145" s="19"/>
      <c r="AQ145" s="19"/>
      <c r="AR145" s="19"/>
      <c r="AS145" s="19"/>
      <c r="AT145" s="19"/>
      <c r="AU145" s="19"/>
      <c r="AV145" s="19"/>
      <c r="AW145" s="19"/>
      <c r="AX145" s="19"/>
      <c r="AY145" s="19"/>
      <c r="AZ145" s="19"/>
      <c r="BA145" s="19"/>
    </row>
    <row r="146" spans="1:53" ht="14.4" x14ac:dyDescent="0.3">
      <c r="A146" s="19"/>
      <c r="B146" s="19"/>
      <c r="C146" s="19"/>
      <c r="D146" s="19"/>
      <c r="E146" s="19"/>
      <c r="F146" s="19"/>
      <c r="G146" s="19"/>
      <c r="H146" s="19"/>
      <c r="I146"/>
      <c r="J146"/>
      <c r="K146"/>
      <c r="L146"/>
      <c r="M146"/>
      <c r="N146"/>
      <c r="O146" s="19"/>
      <c r="P146" s="19"/>
      <c r="Q146" s="19"/>
      <c r="R146" s="19"/>
      <c r="S146" s="19"/>
      <c r="T146" s="19"/>
      <c r="U146" s="19"/>
      <c r="V146" s="19"/>
      <c r="W146" s="19"/>
      <c r="X146" s="19"/>
      <c r="Y146" s="19"/>
      <c r="Z146" s="19"/>
      <c r="AA146" s="19"/>
      <c r="AB146" s="19"/>
      <c r="AC146" s="19"/>
      <c r="AD146" s="19"/>
      <c r="AE146" s="19"/>
      <c r="AF146" s="19"/>
      <c r="AG146" s="19"/>
      <c r="AH146" s="19"/>
      <c r="AI146" s="19"/>
      <c r="AJ146" s="19"/>
      <c r="AK146" s="19"/>
      <c r="AL146" s="19"/>
      <c r="AM146" s="19"/>
      <c r="AN146" s="19"/>
      <c r="AO146" s="19"/>
      <c r="AP146" s="19"/>
      <c r="AQ146" s="19"/>
      <c r="AR146" s="19"/>
      <c r="AS146" s="19"/>
      <c r="AT146" s="19"/>
      <c r="AU146" s="19"/>
      <c r="AV146" s="19"/>
      <c r="AW146" s="19"/>
      <c r="AX146" s="19"/>
      <c r="AY146" s="19"/>
      <c r="AZ146" s="19"/>
      <c r="BA146" s="19"/>
    </row>
    <row r="147" spans="1:53" ht="14.4" x14ac:dyDescent="0.3">
      <c r="A147" s="19"/>
      <c r="B147" s="19"/>
      <c r="C147" s="19"/>
      <c r="D147" s="19"/>
      <c r="E147" s="19"/>
      <c r="F147" s="19"/>
      <c r="G147" s="19"/>
      <c r="H147" s="19"/>
      <c r="I147"/>
      <c r="J147"/>
      <c r="K147"/>
      <c r="L147"/>
      <c r="M147"/>
      <c r="N147"/>
      <c r="O147" s="19"/>
      <c r="P147" s="19"/>
      <c r="Q147" s="19"/>
      <c r="R147" s="19"/>
      <c r="S147" s="19"/>
      <c r="T147" s="19"/>
    </row>
    <row r="148" spans="1:53" ht="14.4" x14ac:dyDescent="0.3">
      <c r="A148" s="19"/>
      <c r="B148" s="19"/>
      <c r="C148" s="19"/>
      <c r="D148" s="19"/>
      <c r="E148" s="19"/>
      <c r="F148" s="19"/>
      <c r="G148" s="19"/>
      <c r="H148" s="19"/>
      <c r="I148"/>
      <c r="J148"/>
      <c r="K148"/>
      <c r="L148"/>
      <c r="M148"/>
      <c r="N148"/>
      <c r="O148" s="19"/>
      <c r="P148" s="19"/>
      <c r="Q148" s="19"/>
      <c r="R148" s="19"/>
      <c r="S148" s="19"/>
      <c r="T148" s="19"/>
    </row>
    <row r="149" spans="1:53" ht="14.4" x14ac:dyDescent="0.3">
      <c r="A149" s="19"/>
      <c r="B149" s="19"/>
      <c r="C149" s="19"/>
      <c r="D149" s="19"/>
      <c r="E149" s="19"/>
      <c r="F149" s="19"/>
      <c r="G149" s="19"/>
      <c r="H149" s="19"/>
      <c r="I149"/>
      <c r="J149"/>
      <c r="K149"/>
      <c r="L149"/>
      <c r="M149"/>
      <c r="N149"/>
      <c r="O149" s="19"/>
      <c r="P149" s="19"/>
      <c r="Q149" s="19"/>
      <c r="R149" s="19"/>
      <c r="S149" s="19"/>
      <c r="T149" s="19"/>
    </row>
    <row r="150" spans="1:53" ht="14.4" x14ac:dyDescent="0.3">
      <c r="A150" s="19"/>
      <c r="B150" s="19"/>
      <c r="C150" s="19"/>
      <c r="D150" s="19"/>
      <c r="E150" s="19"/>
      <c r="F150" s="19"/>
      <c r="G150" s="19"/>
      <c r="H150" s="19"/>
      <c r="I150"/>
      <c r="J150"/>
      <c r="K150"/>
      <c r="L150"/>
      <c r="M150"/>
      <c r="N150"/>
      <c r="O150" s="19"/>
      <c r="P150" s="19"/>
      <c r="Q150" s="19"/>
      <c r="R150" s="19"/>
      <c r="S150" s="19"/>
      <c r="T150" s="19"/>
    </row>
    <row r="151" spans="1:53" ht="14.4" x14ac:dyDescent="0.3">
      <c r="A151" s="19"/>
      <c r="B151" s="19"/>
      <c r="C151" s="19"/>
      <c r="D151" s="19"/>
      <c r="E151" s="19"/>
      <c r="F151" s="19"/>
      <c r="G151" s="19"/>
      <c r="H151" s="19"/>
      <c r="I151"/>
      <c r="J151"/>
      <c r="K151"/>
      <c r="L151"/>
      <c r="M151"/>
      <c r="N151"/>
      <c r="O151" s="19"/>
      <c r="P151" s="19"/>
      <c r="Q151" s="19"/>
      <c r="R151" s="19"/>
      <c r="S151" s="19"/>
      <c r="T151" s="19"/>
    </row>
    <row r="152" spans="1:53" ht="14.4" x14ac:dyDescent="0.3">
      <c r="A152" s="19"/>
      <c r="B152" s="19"/>
      <c r="C152" s="19"/>
      <c r="D152" s="19"/>
      <c r="E152" s="19"/>
      <c r="F152" s="19"/>
      <c r="G152" s="19"/>
      <c r="H152" s="19"/>
      <c r="I152"/>
      <c r="J152"/>
      <c r="K152"/>
      <c r="L152"/>
      <c r="M152"/>
      <c r="N152"/>
      <c r="O152" s="19"/>
      <c r="P152" s="19"/>
      <c r="Q152" s="19"/>
      <c r="R152" s="19"/>
      <c r="S152" s="19"/>
      <c r="T152" s="19"/>
    </row>
    <row r="153" spans="1:53" ht="14.4" x14ac:dyDescent="0.3">
      <c r="A153" s="19"/>
      <c r="B153" s="19"/>
      <c r="C153" s="19"/>
      <c r="D153" s="19"/>
      <c r="E153" s="19"/>
      <c r="F153" s="19"/>
      <c r="G153" s="19"/>
      <c r="H153" s="19"/>
      <c r="I153"/>
      <c r="J153"/>
      <c r="K153"/>
      <c r="L153"/>
      <c r="M153"/>
      <c r="N153"/>
      <c r="O153" s="19"/>
      <c r="P153" s="19"/>
      <c r="Q153" s="19"/>
      <c r="R153" s="19"/>
      <c r="S153" s="19"/>
      <c r="T153" s="19"/>
    </row>
    <row r="154" spans="1:53" ht="14.4" x14ac:dyDescent="0.3">
      <c r="A154" s="19"/>
      <c r="B154" s="19"/>
      <c r="C154" s="19"/>
      <c r="D154" s="19"/>
      <c r="E154" s="19"/>
      <c r="F154" s="19"/>
      <c r="G154" s="19"/>
      <c r="H154" s="19"/>
      <c r="I154"/>
      <c r="J154"/>
      <c r="K154"/>
      <c r="L154"/>
      <c r="M154"/>
      <c r="N154"/>
      <c r="O154" s="19"/>
      <c r="P154" s="19"/>
      <c r="Q154" s="19"/>
      <c r="R154" s="19"/>
      <c r="S154" s="19"/>
      <c r="T154" s="19"/>
    </row>
    <row r="155" spans="1:53" ht="14.4" x14ac:dyDescent="0.3">
      <c r="A155" s="19"/>
      <c r="B155" s="19"/>
      <c r="C155" s="19"/>
      <c r="D155" s="19"/>
      <c r="E155" s="19"/>
      <c r="F155" s="19"/>
      <c r="G155" s="19"/>
      <c r="H155" s="19"/>
      <c r="I155"/>
      <c r="J155"/>
      <c r="K155"/>
      <c r="L155"/>
      <c r="M155"/>
      <c r="N155"/>
      <c r="O155" s="19"/>
      <c r="P155" s="19"/>
      <c r="Q155" s="19"/>
      <c r="R155" s="19"/>
      <c r="S155" s="19"/>
      <c r="T155" s="19"/>
    </row>
    <row r="156" spans="1:53" ht="14.4" x14ac:dyDescent="0.3">
      <c r="A156" s="19"/>
      <c r="B156" s="19"/>
      <c r="C156" s="19"/>
      <c r="D156" s="19"/>
      <c r="E156" s="19"/>
      <c r="F156" s="19"/>
      <c r="G156" s="19"/>
      <c r="H156" s="19"/>
      <c r="I156"/>
      <c r="J156"/>
      <c r="K156"/>
      <c r="L156"/>
      <c r="M156"/>
      <c r="N156"/>
      <c r="O156" s="19"/>
      <c r="P156" s="19"/>
      <c r="Q156" s="19"/>
      <c r="R156" s="19"/>
      <c r="S156" s="19"/>
      <c r="T156" s="19"/>
    </row>
    <row r="157" spans="1:53" ht="14.4" x14ac:dyDescent="0.3">
      <c r="A157" s="19"/>
      <c r="B157" s="19"/>
      <c r="C157" s="19"/>
      <c r="D157" s="19"/>
      <c r="E157" s="19"/>
      <c r="F157" s="19"/>
      <c r="G157" s="19"/>
      <c r="H157" s="19"/>
      <c r="I157"/>
      <c r="J157"/>
      <c r="K157"/>
      <c r="L157"/>
      <c r="M157"/>
      <c r="N157"/>
      <c r="O157" s="19"/>
      <c r="P157" s="19"/>
      <c r="Q157" s="19"/>
      <c r="R157" s="19"/>
      <c r="S157" s="19"/>
      <c r="T157" s="19"/>
    </row>
    <row r="158" spans="1:53" ht="14.4" x14ac:dyDescent="0.3">
      <c r="A158" s="19"/>
      <c r="B158" s="19"/>
      <c r="C158" s="19"/>
      <c r="D158" s="19"/>
      <c r="E158" s="19"/>
      <c r="F158" s="19"/>
      <c r="G158" s="19"/>
      <c r="H158" s="19"/>
      <c r="I158"/>
      <c r="J158"/>
      <c r="K158"/>
      <c r="L158"/>
      <c r="M158"/>
      <c r="N158"/>
      <c r="O158" s="19"/>
      <c r="P158" s="19"/>
      <c r="Q158" s="19"/>
      <c r="R158" s="19"/>
      <c r="S158" s="19"/>
      <c r="T158" s="19"/>
    </row>
    <row r="159" spans="1:53" ht="14.4" x14ac:dyDescent="0.3">
      <c r="A159" s="19"/>
      <c r="B159" s="19"/>
      <c r="C159" s="19"/>
      <c r="D159" s="19"/>
      <c r="E159" s="19"/>
      <c r="F159" s="19"/>
      <c r="G159" s="19"/>
      <c r="H159" s="19"/>
      <c r="I159"/>
      <c r="J159"/>
      <c r="K159"/>
      <c r="L159"/>
      <c r="M159"/>
      <c r="N159"/>
      <c r="O159" s="19"/>
      <c r="P159" s="19"/>
      <c r="Q159" s="19"/>
      <c r="R159" s="19"/>
      <c r="S159" s="19"/>
      <c r="T159" s="19"/>
    </row>
    <row r="160" spans="1:53" ht="14.4" x14ac:dyDescent="0.3">
      <c r="A160" s="19"/>
      <c r="B160" s="19"/>
      <c r="C160" s="19"/>
      <c r="D160" s="19"/>
      <c r="E160" s="19"/>
      <c r="F160" s="19"/>
      <c r="G160" s="19"/>
      <c r="H160" s="19"/>
      <c r="I160"/>
      <c r="J160"/>
      <c r="K160"/>
      <c r="L160"/>
      <c r="M160"/>
      <c r="N160"/>
      <c r="O160" s="19"/>
      <c r="P160" s="19"/>
      <c r="Q160" s="19"/>
      <c r="R160" s="19"/>
      <c r="S160" s="19"/>
      <c r="T160" s="19"/>
    </row>
    <row r="161" spans="1:20" ht="14.4" x14ac:dyDescent="0.3">
      <c r="A161" s="19"/>
      <c r="B161" s="19"/>
      <c r="C161" s="19"/>
      <c r="D161" s="19"/>
      <c r="E161" s="19"/>
      <c r="F161" s="19"/>
      <c r="G161" s="19"/>
      <c r="H161" s="19"/>
      <c r="I161"/>
      <c r="J161"/>
      <c r="K161"/>
      <c r="L161"/>
      <c r="M161"/>
      <c r="N161"/>
      <c r="O161" s="19"/>
      <c r="P161" s="19"/>
      <c r="Q161" s="19"/>
      <c r="R161" s="19"/>
      <c r="S161" s="19"/>
      <c r="T161" s="19"/>
    </row>
    <row r="162" spans="1:20" ht="14.4" x14ac:dyDescent="0.3">
      <c r="I162"/>
      <c r="J162"/>
      <c r="K162"/>
      <c r="L162"/>
      <c r="M162"/>
      <c r="N162"/>
    </row>
    <row r="163" spans="1:20" ht="14.4" x14ac:dyDescent="0.3">
      <c r="I163"/>
      <c r="J163"/>
      <c r="K163"/>
      <c r="L163"/>
      <c r="M163"/>
      <c r="N163"/>
    </row>
    <row r="164" spans="1:20" ht="14.4" x14ac:dyDescent="0.3">
      <c r="I164"/>
      <c r="J164"/>
      <c r="K164"/>
      <c r="L164"/>
      <c r="M164"/>
      <c r="N164"/>
    </row>
    <row r="165" spans="1:20" ht="14.4" x14ac:dyDescent="0.3">
      <c r="I165"/>
      <c r="J165"/>
      <c r="K165"/>
      <c r="L165"/>
      <c r="M165"/>
      <c r="N165"/>
    </row>
    <row r="166" spans="1:20" ht="14.4" x14ac:dyDescent="0.3">
      <c r="I166"/>
      <c r="J166"/>
      <c r="K166"/>
      <c r="L166"/>
      <c r="M166"/>
      <c r="N166"/>
    </row>
    <row r="167" spans="1:20" ht="14.4" x14ac:dyDescent="0.3">
      <c r="I167"/>
      <c r="J167"/>
      <c r="K167"/>
      <c r="L167"/>
      <c r="M167"/>
      <c r="N167"/>
    </row>
    <row r="168" spans="1:20" ht="14.4" x14ac:dyDescent="0.3">
      <c r="I168"/>
      <c r="J168"/>
      <c r="K168"/>
      <c r="L168"/>
      <c r="M168"/>
      <c r="N168"/>
    </row>
    <row r="169" spans="1:20" ht="14.4" x14ac:dyDescent="0.3">
      <c r="I169"/>
      <c r="J169"/>
      <c r="K169"/>
      <c r="L169"/>
      <c r="M169"/>
      <c r="N169"/>
    </row>
    <row r="170" spans="1:20" ht="14.4" x14ac:dyDescent="0.3">
      <c r="I170"/>
      <c r="J170"/>
      <c r="K170"/>
      <c r="L170"/>
      <c r="M170"/>
      <c r="N170"/>
    </row>
    <row r="171" spans="1:20" ht="14.4" x14ac:dyDescent="0.3">
      <c r="I171"/>
      <c r="J171"/>
      <c r="K171"/>
      <c r="L171"/>
      <c r="M171"/>
      <c r="N171"/>
    </row>
    <row r="172" spans="1:20" ht="14.4" x14ac:dyDescent="0.3">
      <c r="I172"/>
      <c r="J172"/>
      <c r="K172"/>
      <c r="L172"/>
      <c r="M172"/>
      <c r="N172"/>
    </row>
    <row r="173" spans="1:20" ht="14.4" x14ac:dyDescent="0.3">
      <c r="I173"/>
      <c r="J173"/>
      <c r="K173"/>
      <c r="L173"/>
      <c r="M173"/>
      <c r="N173"/>
    </row>
    <row r="174" spans="1:20" ht="14.4" x14ac:dyDescent="0.3">
      <c r="I174"/>
      <c r="J174"/>
      <c r="K174"/>
      <c r="L174"/>
      <c r="M174"/>
      <c r="N174"/>
    </row>
    <row r="175" spans="1:20" ht="14.4" x14ac:dyDescent="0.3">
      <c r="I175"/>
      <c r="J175"/>
      <c r="K175"/>
      <c r="L175"/>
      <c r="M175"/>
      <c r="N175"/>
    </row>
    <row r="176" spans="1:20" ht="14.4" x14ac:dyDescent="0.3">
      <c r="I176"/>
      <c r="J176"/>
      <c r="K176"/>
      <c r="L176"/>
      <c r="M176"/>
      <c r="N176"/>
    </row>
    <row r="177" spans="9:14" ht="14.4" x14ac:dyDescent="0.3">
      <c r="I177"/>
      <c r="J177"/>
      <c r="K177"/>
      <c r="L177"/>
      <c r="M177"/>
      <c r="N177"/>
    </row>
    <row r="178" spans="9:14" ht="14.4" x14ac:dyDescent="0.3">
      <c r="I178"/>
      <c r="J178"/>
      <c r="K178"/>
      <c r="L178"/>
      <c r="M178"/>
      <c r="N178"/>
    </row>
    <row r="179" spans="9:14" ht="14.4" x14ac:dyDescent="0.3">
      <c r="I179"/>
      <c r="J179"/>
      <c r="K179"/>
      <c r="L179"/>
      <c r="M179"/>
      <c r="N179"/>
    </row>
    <row r="180" spans="9:14" ht="14.4" x14ac:dyDescent="0.3">
      <c r="I180"/>
      <c r="J180"/>
      <c r="K180"/>
      <c r="L180"/>
      <c r="M180"/>
      <c r="N180"/>
    </row>
    <row r="181" spans="9:14" ht="14.4" x14ac:dyDescent="0.3">
      <c r="I181"/>
      <c r="J181"/>
      <c r="K181"/>
      <c r="L181"/>
      <c r="M181"/>
      <c r="N181"/>
    </row>
    <row r="182" spans="9:14" ht="14.4" x14ac:dyDescent="0.3">
      <c r="I182"/>
      <c r="J182"/>
      <c r="K182"/>
      <c r="L182"/>
      <c r="M182"/>
      <c r="N182"/>
    </row>
    <row r="183" spans="9:14" ht="14.4" x14ac:dyDescent="0.3">
      <c r="I183"/>
      <c r="J183"/>
      <c r="K183"/>
      <c r="L183"/>
      <c r="M183"/>
      <c r="N183"/>
    </row>
    <row r="184" spans="9:14" ht="14.4" x14ac:dyDescent="0.3">
      <c r="I184"/>
      <c r="J184"/>
      <c r="K184"/>
      <c r="L184"/>
      <c r="M184"/>
      <c r="N184"/>
    </row>
    <row r="185" spans="9:14" ht="14.4" x14ac:dyDescent="0.3">
      <c r="I185"/>
      <c r="J185"/>
      <c r="K185"/>
      <c r="L185"/>
      <c r="M185"/>
      <c r="N185"/>
    </row>
    <row r="186" spans="9:14" ht="14.4" x14ac:dyDescent="0.3">
      <c r="I186"/>
      <c r="J186"/>
      <c r="K186"/>
      <c r="L186"/>
      <c r="M186"/>
      <c r="N186"/>
    </row>
    <row r="187" spans="9:14" ht="14.4" x14ac:dyDescent="0.3">
      <c r="I187"/>
      <c r="J187"/>
      <c r="K187"/>
      <c r="L187"/>
      <c r="M187"/>
      <c r="N187"/>
    </row>
    <row r="188" spans="9:14" ht="14.4" x14ac:dyDescent="0.3">
      <c r="I188"/>
      <c r="J188"/>
      <c r="K188"/>
      <c r="L188"/>
      <c r="M188"/>
      <c r="N188"/>
    </row>
    <row r="189" spans="9:14" ht="14.4" x14ac:dyDescent="0.3">
      <c r="I189"/>
      <c r="J189"/>
      <c r="K189"/>
      <c r="L189"/>
      <c r="M189"/>
      <c r="N189"/>
    </row>
    <row r="190" spans="9:14" ht="14.4" x14ac:dyDescent="0.3">
      <c r="I190"/>
      <c r="J190"/>
      <c r="K190"/>
      <c r="L190"/>
      <c r="M190"/>
      <c r="N190"/>
    </row>
    <row r="191" spans="9:14" ht="14.4" x14ac:dyDescent="0.3">
      <c r="I191"/>
      <c r="J191"/>
      <c r="K191"/>
      <c r="L191"/>
      <c r="M191"/>
      <c r="N191"/>
    </row>
    <row r="192" spans="9:14" ht="14.4" x14ac:dyDescent="0.3">
      <c r="I192"/>
      <c r="J192"/>
      <c r="K192"/>
      <c r="L192"/>
      <c r="M192"/>
      <c r="N192"/>
    </row>
    <row r="193" spans="9:14" ht="14.4" x14ac:dyDescent="0.3">
      <c r="I193"/>
      <c r="J193"/>
      <c r="K193"/>
      <c r="L193"/>
      <c r="M193"/>
      <c r="N193"/>
    </row>
    <row r="194" spans="9:14" ht="14.4" x14ac:dyDescent="0.3">
      <c r="I194"/>
      <c r="J194"/>
      <c r="K194"/>
      <c r="L194"/>
      <c r="M194"/>
      <c r="N194"/>
    </row>
    <row r="195" spans="9:14" ht="14.4" x14ac:dyDescent="0.3">
      <c r="I195"/>
      <c r="J195"/>
      <c r="K195"/>
      <c r="L195"/>
      <c r="M195"/>
      <c r="N195"/>
    </row>
    <row r="196" spans="9:14" ht="14.4" x14ac:dyDescent="0.3">
      <c r="I196"/>
      <c r="J196"/>
      <c r="K196"/>
      <c r="L196"/>
      <c r="M196"/>
      <c r="N196"/>
    </row>
    <row r="197" spans="9:14" ht="14.4" x14ac:dyDescent="0.3">
      <c r="I197"/>
      <c r="J197"/>
      <c r="K197"/>
      <c r="L197"/>
      <c r="M197"/>
      <c r="N197"/>
    </row>
    <row r="198" spans="9:14" ht="14.4" x14ac:dyDescent="0.3">
      <c r="I198"/>
      <c r="J198"/>
      <c r="K198"/>
      <c r="L198"/>
      <c r="M198"/>
      <c r="N198"/>
    </row>
    <row r="199" spans="9:14" ht="14.4" x14ac:dyDescent="0.3">
      <c r="I199"/>
      <c r="J199"/>
      <c r="K199"/>
      <c r="L199"/>
      <c r="M199"/>
      <c r="N199"/>
    </row>
    <row r="200" spans="9:14" ht="14.4" x14ac:dyDescent="0.3">
      <c r="I200"/>
      <c r="J200"/>
      <c r="K200"/>
      <c r="L200"/>
      <c r="M200"/>
      <c r="N200"/>
    </row>
    <row r="201" spans="9:14" ht="14.4" x14ac:dyDescent="0.3">
      <c r="I201"/>
      <c r="J201"/>
      <c r="K201"/>
      <c r="L201"/>
      <c r="M201"/>
      <c r="N201"/>
    </row>
    <row r="202" spans="9:14" ht="14.4" x14ac:dyDescent="0.3">
      <c r="I202"/>
      <c r="J202"/>
      <c r="K202"/>
      <c r="L202"/>
      <c r="M202"/>
      <c r="N202"/>
    </row>
    <row r="203" spans="9:14" ht="14.4" x14ac:dyDescent="0.3">
      <c r="I203"/>
      <c r="J203"/>
      <c r="K203"/>
      <c r="L203"/>
      <c r="M203"/>
      <c r="N203"/>
    </row>
    <row r="204" spans="9:14" ht="14.4" x14ac:dyDescent="0.3">
      <c r="I204"/>
      <c r="J204"/>
      <c r="K204"/>
      <c r="L204"/>
      <c r="M204"/>
      <c r="N204"/>
    </row>
    <row r="205" spans="9:14" ht="14.4" x14ac:dyDescent="0.3">
      <c r="I205"/>
      <c r="J205"/>
      <c r="K205"/>
      <c r="L205"/>
      <c r="M205"/>
      <c r="N205"/>
    </row>
    <row r="206" spans="9:14" ht="14.4" x14ac:dyDescent="0.3">
      <c r="I206"/>
      <c r="J206"/>
      <c r="K206"/>
      <c r="L206"/>
      <c r="M206"/>
      <c r="N206"/>
    </row>
    <row r="207" spans="9:14" ht="14.4" x14ac:dyDescent="0.3">
      <c r="I207"/>
      <c r="J207"/>
      <c r="K207"/>
      <c r="L207"/>
      <c r="M207"/>
      <c r="N207"/>
    </row>
    <row r="208" spans="9:14" ht="14.4" x14ac:dyDescent="0.3">
      <c r="I208"/>
      <c r="J208"/>
      <c r="K208"/>
      <c r="L208"/>
      <c r="M208"/>
      <c r="N208"/>
    </row>
    <row r="209" spans="9:14" ht="14.4" x14ac:dyDescent="0.3">
      <c r="I209"/>
      <c r="J209"/>
      <c r="K209"/>
      <c r="L209"/>
      <c r="M209"/>
      <c r="N209"/>
    </row>
    <row r="210" spans="9:14" ht="14.4" x14ac:dyDescent="0.3">
      <c r="I210"/>
      <c r="J210"/>
      <c r="K210"/>
      <c r="L210"/>
      <c r="M210"/>
      <c r="N210"/>
    </row>
    <row r="211" spans="9:14" ht="14.4" x14ac:dyDescent="0.3">
      <c r="I211"/>
      <c r="J211"/>
      <c r="K211"/>
      <c r="L211"/>
      <c r="M211"/>
      <c r="N211"/>
    </row>
    <row r="212" spans="9:14" ht="14.4" x14ac:dyDescent="0.3">
      <c r="I212"/>
      <c r="J212"/>
      <c r="K212"/>
      <c r="L212"/>
      <c r="M212"/>
      <c r="N212"/>
    </row>
    <row r="213" spans="9:14" ht="14.4" x14ac:dyDescent="0.3">
      <c r="I213"/>
      <c r="J213"/>
      <c r="K213"/>
      <c r="L213"/>
      <c r="M213"/>
      <c r="N213"/>
    </row>
    <row r="214" spans="9:14" ht="14.4" x14ac:dyDescent="0.3">
      <c r="I214"/>
      <c r="J214"/>
      <c r="K214"/>
      <c r="L214"/>
      <c r="M214"/>
      <c r="N214"/>
    </row>
    <row r="215" spans="9:14" ht="14.4" x14ac:dyDescent="0.3">
      <c r="I215"/>
      <c r="J215"/>
      <c r="K215"/>
      <c r="L215"/>
      <c r="M215"/>
      <c r="N215"/>
    </row>
    <row r="216" spans="9:14" ht="14.4" x14ac:dyDescent="0.3">
      <c r="I216"/>
      <c r="J216"/>
      <c r="K216"/>
      <c r="L216"/>
      <c r="M216"/>
      <c r="N216"/>
    </row>
    <row r="217" spans="9:14" ht="14.4" x14ac:dyDescent="0.3">
      <c r="I217"/>
      <c r="J217"/>
      <c r="K217"/>
      <c r="L217"/>
      <c r="M217"/>
      <c r="N217"/>
    </row>
    <row r="218" spans="9:14" ht="14.4" x14ac:dyDescent="0.3">
      <c r="I218"/>
      <c r="J218"/>
      <c r="K218"/>
      <c r="L218"/>
      <c r="M218"/>
      <c r="N218"/>
    </row>
    <row r="219" spans="9:14" ht="14.4" x14ac:dyDescent="0.3">
      <c r="I219"/>
      <c r="J219"/>
      <c r="K219"/>
      <c r="L219"/>
      <c r="M219"/>
      <c r="N219"/>
    </row>
    <row r="220" spans="9:14" ht="14.4" x14ac:dyDescent="0.3">
      <c r="I220"/>
      <c r="J220"/>
      <c r="K220"/>
      <c r="L220"/>
      <c r="M220"/>
      <c r="N220"/>
    </row>
    <row r="221" spans="9:14" ht="14.4" x14ac:dyDescent="0.3">
      <c r="I221"/>
      <c r="J221"/>
      <c r="K221"/>
      <c r="L221"/>
      <c r="M221"/>
      <c r="N221"/>
    </row>
    <row r="222" spans="9:14" ht="14.4" x14ac:dyDescent="0.3">
      <c r="I222"/>
      <c r="J222"/>
      <c r="K222"/>
      <c r="L222"/>
      <c r="M222"/>
      <c r="N222"/>
    </row>
    <row r="223" spans="9:14" ht="14.4" x14ac:dyDescent="0.3">
      <c r="I223"/>
      <c r="J223"/>
      <c r="K223"/>
      <c r="L223"/>
      <c r="M223"/>
      <c r="N223"/>
    </row>
    <row r="224" spans="9:14" ht="14.4" x14ac:dyDescent="0.3">
      <c r="I224"/>
      <c r="J224"/>
      <c r="K224"/>
      <c r="L224"/>
      <c r="M224"/>
      <c r="N224"/>
    </row>
    <row r="225" spans="9:14" ht="14.4" x14ac:dyDescent="0.3">
      <c r="I225"/>
      <c r="J225"/>
      <c r="K225"/>
      <c r="L225"/>
      <c r="M225"/>
      <c r="N225"/>
    </row>
    <row r="226" spans="9:14" ht="14.4" x14ac:dyDescent="0.3">
      <c r="I226"/>
      <c r="J226"/>
      <c r="K226"/>
      <c r="L226"/>
      <c r="M226"/>
      <c r="N226"/>
    </row>
    <row r="227" spans="9:14" ht="14.4" x14ac:dyDescent="0.3">
      <c r="I227"/>
      <c r="J227"/>
      <c r="K227"/>
      <c r="L227"/>
      <c r="M227"/>
      <c r="N227"/>
    </row>
    <row r="228" spans="9:14" ht="14.4" x14ac:dyDescent="0.3">
      <c r="I228"/>
      <c r="J228"/>
      <c r="K228"/>
      <c r="L228"/>
      <c r="M228"/>
      <c r="N228"/>
    </row>
    <row r="229" spans="9:14" ht="14.4" x14ac:dyDescent="0.3">
      <c r="I229"/>
      <c r="J229"/>
      <c r="K229"/>
      <c r="L229"/>
      <c r="M229"/>
      <c r="N229"/>
    </row>
    <row r="230" spans="9:14" ht="14.4" x14ac:dyDescent="0.3">
      <c r="I230"/>
      <c r="J230"/>
      <c r="K230"/>
      <c r="L230"/>
      <c r="M230"/>
      <c r="N230"/>
    </row>
    <row r="231" spans="9:14" ht="14.4" x14ac:dyDescent="0.3">
      <c r="I231"/>
      <c r="J231"/>
      <c r="K231"/>
      <c r="L231"/>
      <c r="M231"/>
      <c r="N231"/>
    </row>
    <row r="232" spans="9:14" ht="14.4" x14ac:dyDescent="0.3">
      <c r="I232"/>
      <c r="J232"/>
      <c r="K232"/>
      <c r="L232"/>
      <c r="M232"/>
      <c r="N232"/>
    </row>
    <row r="233" spans="9:14" ht="14.4" x14ac:dyDescent="0.3">
      <c r="I233"/>
      <c r="J233"/>
      <c r="K233"/>
      <c r="L233"/>
      <c r="M233"/>
      <c r="N233"/>
    </row>
    <row r="234" spans="9:14" ht="14.4" x14ac:dyDescent="0.3">
      <c r="I234"/>
      <c r="J234"/>
      <c r="K234"/>
      <c r="L234"/>
      <c r="M234"/>
      <c r="N234"/>
    </row>
    <row r="235" spans="9:14" ht="14.4" x14ac:dyDescent="0.3">
      <c r="I235"/>
      <c r="J235"/>
      <c r="K235"/>
      <c r="L235"/>
      <c r="M235"/>
      <c r="N235"/>
    </row>
    <row r="236" spans="9:14" ht="14.4" x14ac:dyDescent="0.3">
      <c r="I236"/>
      <c r="J236"/>
      <c r="K236"/>
      <c r="L236"/>
      <c r="M236"/>
      <c r="N236"/>
    </row>
    <row r="237" spans="9:14" ht="14.4" x14ac:dyDescent="0.3">
      <c r="I237"/>
      <c r="J237"/>
      <c r="K237"/>
      <c r="L237"/>
      <c r="M237"/>
      <c r="N237"/>
    </row>
    <row r="238" spans="9:14" ht="14.4" x14ac:dyDescent="0.3">
      <c r="I238"/>
      <c r="J238"/>
      <c r="K238"/>
      <c r="L238"/>
      <c r="M238"/>
      <c r="N238"/>
    </row>
    <row r="239" spans="9:14" ht="14.4" x14ac:dyDescent="0.3">
      <c r="I239"/>
      <c r="J239"/>
      <c r="K239"/>
      <c r="L239"/>
      <c r="M239"/>
      <c r="N239"/>
    </row>
    <row r="240" spans="9:14" ht="14.4" x14ac:dyDescent="0.3">
      <c r="I240"/>
      <c r="J240"/>
      <c r="K240"/>
      <c r="L240"/>
      <c r="M240"/>
      <c r="N240"/>
    </row>
    <row r="241" spans="9:14" ht="14.4" x14ac:dyDescent="0.3">
      <c r="I241"/>
      <c r="J241"/>
      <c r="K241"/>
      <c r="L241"/>
      <c r="M241"/>
      <c r="N241"/>
    </row>
    <row r="242" spans="9:14" ht="14.4" x14ac:dyDescent="0.3">
      <c r="I242"/>
      <c r="J242"/>
      <c r="K242"/>
      <c r="L242"/>
      <c r="M242"/>
      <c r="N242"/>
    </row>
    <row r="243" spans="9:14" ht="14.4" x14ac:dyDescent="0.3">
      <c r="I243"/>
      <c r="J243"/>
      <c r="K243"/>
      <c r="L243"/>
      <c r="M243"/>
      <c r="N243"/>
    </row>
    <row r="244" spans="9:14" ht="14.4" x14ac:dyDescent="0.3">
      <c r="I244"/>
      <c r="J244"/>
      <c r="K244"/>
      <c r="L244"/>
      <c r="M244"/>
      <c r="N244"/>
    </row>
    <row r="245" spans="9:14" ht="14.4" x14ac:dyDescent="0.3">
      <c r="I245"/>
      <c r="J245"/>
      <c r="K245"/>
      <c r="L245"/>
      <c r="M245"/>
      <c r="N245"/>
    </row>
    <row r="246" spans="9:14" ht="14.4" x14ac:dyDescent="0.3">
      <c r="I246"/>
      <c r="J246"/>
      <c r="K246"/>
      <c r="L246"/>
      <c r="M246"/>
      <c r="N246"/>
    </row>
    <row r="247" spans="9:14" ht="14.4" x14ac:dyDescent="0.3">
      <c r="I247"/>
      <c r="J247"/>
      <c r="K247"/>
      <c r="L247"/>
      <c r="M247"/>
      <c r="N247"/>
    </row>
    <row r="248" spans="9:14" ht="14.4" x14ac:dyDescent="0.3">
      <c r="I248"/>
      <c r="J248"/>
      <c r="K248"/>
      <c r="L248"/>
      <c r="M248"/>
      <c r="N248"/>
    </row>
    <row r="249" spans="9:14" ht="14.4" x14ac:dyDescent="0.3">
      <c r="I249"/>
      <c r="J249"/>
      <c r="K249"/>
      <c r="L249"/>
      <c r="M249"/>
      <c r="N249"/>
    </row>
    <row r="250" spans="9:14" ht="14.4" x14ac:dyDescent="0.3">
      <c r="I250"/>
      <c r="J250"/>
      <c r="K250"/>
      <c r="L250"/>
      <c r="M250"/>
      <c r="N250"/>
    </row>
    <row r="251" spans="9:14" ht="14.4" x14ac:dyDescent="0.3">
      <c r="I251"/>
      <c r="J251"/>
      <c r="K251"/>
      <c r="L251"/>
      <c r="M251"/>
      <c r="N251"/>
    </row>
    <row r="252" spans="9:14" ht="14.4" x14ac:dyDescent="0.3">
      <c r="I252"/>
      <c r="J252"/>
      <c r="K252"/>
      <c r="L252"/>
      <c r="M252"/>
      <c r="N252"/>
    </row>
    <row r="253" spans="9:14" ht="14.4" x14ac:dyDescent="0.3">
      <c r="I253"/>
      <c r="J253"/>
      <c r="K253"/>
      <c r="L253"/>
      <c r="M253"/>
      <c r="N253"/>
    </row>
    <row r="254" spans="9:14" ht="14.4" x14ac:dyDescent="0.3">
      <c r="I254"/>
      <c r="J254"/>
      <c r="K254"/>
      <c r="L254"/>
      <c r="M254"/>
      <c r="N254"/>
    </row>
    <row r="255" spans="9:14" ht="14.4" x14ac:dyDescent="0.3">
      <c r="I255"/>
      <c r="J255"/>
      <c r="K255"/>
      <c r="L255"/>
      <c r="M255"/>
      <c r="N255"/>
    </row>
    <row r="256" spans="9:14" ht="14.4" x14ac:dyDescent="0.3">
      <c r="I256"/>
      <c r="J256"/>
      <c r="K256"/>
      <c r="L256"/>
      <c r="M256"/>
      <c r="N256"/>
    </row>
    <row r="257" spans="9:14" ht="14.4" x14ac:dyDescent="0.3">
      <c r="I257"/>
      <c r="J257"/>
      <c r="K257"/>
      <c r="L257"/>
      <c r="M257"/>
      <c r="N257"/>
    </row>
    <row r="258" spans="9:14" ht="14.4" x14ac:dyDescent="0.3">
      <c r="I258"/>
      <c r="J258"/>
      <c r="K258"/>
      <c r="L258"/>
      <c r="M258"/>
      <c r="N258"/>
    </row>
    <row r="259" spans="9:14" ht="14.4" x14ac:dyDescent="0.3">
      <c r="I259"/>
      <c r="J259"/>
      <c r="K259"/>
      <c r="L259"/>
      <c r="M259"/>
      <c r="N259"/>
    </row>
    <row r="260" spans="9:14" ht="14.4" x14ac:dyDescent="0.3">
      <c r="I260"/>
      <c r="J260"/>
      <c r="K260"/>
      <c r="L260"/>
      <c r="M260"/>
      <c r="N260"/>
    </row>
    <row r="261" spans="9:14" ht="14.4" x14ac:dyDescent="0.3">
      <c r="I261"/>
      <c r="J261"/>
      <c r="K261"/>
      <c r="L261"/>
      <c r="M261"/>
      <c r="N261"/>
    </row>
    <row r="262" spans="9:14" ht="14.4" x14ac:dyDescent="0.3">
      <c r="I262"/>
      <c r="J262"/>
      <c r="K262"/>
      <c r="L262"/>
      <c r="M262"/>
      <c r="N262"/>
    </row>
    <row r="263" spans="9:14" ht="14.4" x14ac:dyDescent="0.3">
      <c r="I263"/>
      <c r="J263"/>
      <c r="K263"/>
      <c r="L263"/>
      <c r="M263"/>
      <c r="N263"/>
    </row>
    <row r="264" spans="9:14" ht="14.4" x14ac:dyDescent="0.3">
      <c r="I264"/>
      <c r="J264"/>
      <c r="K264"/>
      <c r="L264"/>
      <c r="M264"/>
      <c r="N264"/>
    </row>
    <row r="265" spans="9:14" ht="14.4" x14ac:dyDescent="0.3">
      <c r="I265"/>
      <c r="J265"/>
      <c r="K265"/>
      <c r="L265"/>
      <c r="M265"/>
      <c r="N265"/>
    </row>
    <row r="266" spans="9:14" ht="14.4" x14ac:dyDescent="0.3">
      <c r="I266"/>
      <c r="J266"/>
      <c r="K266"/>
      <c r="L266"/>
      <c r="M266"/>
      <c r="N266"/>
    </row>
    <row r="267" spans="9:14" ht="14.4" x14ac:dyDescent="0.3">
      <c r="I267"/>
      <c r="J267"/>
      <c r="K267"/>
      <c r="L267"/>
      <c r="M267"/>
      <c r="N267"/>
    </row>
    <row r="268" spans="9:14" ht="14.4" x14ac:dyDescent="0.3">
      <c r="I268"/>
      <c r="J268"/>
      <c r="K268"/>
      <c r="L268"/>
      <c r="M268"/>
      <c r="N268"/>
    </row>
    <row r="269" spans="9:14" ht="14.4" x14ac:dyDescent="0.3">
      <c r="I269"/>
      <c r="J269"/>
      <c r="K269"/>
      <c r="L269"/>
      <c r="M269"/>
      <c r="N269"/>
    </row>
    <row r="270" spans="9:14" ht="14.4" x14ac:dyDescent="0.3">
      <c r="I270"/>
      <c r="J270"/>
      <c r="K270"/>
      <c r="L270"/>
      <c r="M270"/>
      <c r="N270"/>
    </row>
    <row r="271" spans="9:14" ht="14.4" x14ac:dyDescent="0.3">
      <c r="I271"/>
      <c r="J271"/>
      <c r="K271"/>
      <c r="L271"/>
      <c r="M271"/>
      <c r="N271"/>
    </row>
    <row r="272" spans="9:14" ht="14.4" x14ac:dyDescent="0.3">
      <c r="I272"/>
      <c r="J272"/>
      <c r="K272"/>
      <c r="L272"/>
      <c r="M272"/>
      <c r="N272"/>
    </row>
    <row r="273" spans="9:14" ht="14.4" x14ac:dyDescent="0.3">
      <c r="I273"/>
      <c r="J273"/>
      <c r="K273"/>
      <c r="L273"/>
      <c r="M273"/>
      <c r="N273"/>
    </row>
    <row r="274" spans="9:14" ht="14.4" x14ac:dyDescent="0.3">
      <c r="I274"/>
      <c r="J274"/>
      <c r="K274"/>
      <c r="L274"/>
      <c r="M274"/>
      <c r="N274"/>
    </row>
    <row r="275" spans="9:14" ht="14.4" x14ac:dyDescent="0.3">
      <c r="I275"/>
      <c r="J275"/>
      <c r="K275"/>
      <c r="L275"/>
      <c r="M275"/>
      <c r="N275"/>
    </row>
    <row r="276" spans="9:14" ht="14.4" x14ac:dyDescent="0.3">
      <c r="I276"/>
      <c r="J276"/>
      <c r="K276"/>
      <c r="L276"/>
      <c r="M276"/>
      <c r="N276"/>
    </row>
    <row r="277" spans="9:14" ht="14.4" x14ac:dyDescent="0.3">
      <c r="I277"/>
      <c r="J277"/>
      <c r="K277"/>
      <c r="L277"/>
      <c r="M277"/>
      <c r="N277"/>
    </row>
    <row r="278" spans="9:14" ht="14.4" x14ac:dyDescent="0.3">
      <c r="I278"/>
      <c r="J278"/>
      <c r="K278"/>
      <c r="L278"/>
      <c r="M278"/>
      <c r="N278"/>
    </row>
    <row r="279" spans="9:14" ht="14.4" x14ac:dyDescent="0.3">
      <c r="I279"/>
      <c r="J279"/>
      <c r="K279"/>
      <c r="L279"/>
      <c r="M279"/>
      <c r="N279"/>
    </row>
    <row r="280" spans="9:14" ht="14.4" x14ac:dyDescent="0.3">
      <c r="I280"/>
      <c r="J280"/>
      <c r="K280"/>
      <c r="L280"/>
      <c r="M280"/>
      <c r="N280"/>
    </row>
    <row r="281" spans="9:14" ht="14.4" x14ac:dyDescent="0.3">
      <c r="I281"/>
      <c r="J281"/>
      <c r="K281"/>
      <c r="L281"/>
      <c r="M281"/>
      <c r="N281"/>
    </row>
    <row r="282" spans="9:14" ht="14.4" x14ac:dyDescent="0.3">
      <c r="I282"/>
      <c r="J282"/>
      <c r="K282"/>
      <c r="L282"/>
      <c r="M282"/>
      <c r="N282"/>
    </row>
    <row r="283" spans="9:14" ht="14.4" x14ac:dyDescent="0.3">
      <c r="I283"/>
      <c r="J283"/>
      <c r="K283"/>
      <c r="L283"/>
      <c r="M283"/>
      <c r="N283"/>
    </row>
    <row r="284" spans="9:14" ht="14.4" x14ac:dyDescent="0.3">
      <c r="I284"/>
      <c r="J284"/>
      <c r="K284"/>
      <c r="L284"/>
      <c r="M284"/>
      <c r="N284"/>
    </row>
    <row r="285" spans="9:14" ht="14.4" x14ac:dyDescent="0.3">
      <c r="I285"/>
      <c r="J285"/>
      <c r="K285"/>
      <c r="L285"/>
      <c r="M285"/>
      <c r="N285"/>
    </row>
    <row r="286" spans="9:14" ht="14.4" x14ac:dyDescent="0.3">
      <c r="I286"/>
      <c r="J286"/>
      <c r="K286"/>
      <c r="L286"/>
      <c r="M286"/>
      <c r="N286"/>
    </row>
    <row r="287" spans="9:14" ht="14.4" x14ac:dyDescent="0.3">
      <c r="I287"/>
      <c r="J287"/>
      <c r="K287"/>
      <c r="L287"/>
      <c r="M287"/>
      <c r="N287"/>
    </row>
    <row r="288" spans="9:14" ht="14.4" x14ac:dyDescent="0.3">
      <c r="I288"/>
      <c r="J288"/>
      <c r="K288"/>
      <c r="L288"/>
      <c r="M288"/>
      <c r="N288"/>
    </row>
    <row r="289" spans="9:14" ht="14.4" x14ac:dyDescent="0.3">
      <c r="I289"/>
      <c r="J289"/>
      <c r="K289"/>
      <c r="L289"/>
      <c r="M289"/>
      <c r="N289"/>
    </row>
    <row r="290" spans="9:14" ht="14.4" x14ac:dyDescent="0.3">
      <c r="I290"/>
      <c r="J290"/>
      <c r="K290"/>
      <c r="L290"/>
      <c r="M290"/>
      <c r="N290"/>
    </row>
    <row r="291" spans="9:14" ht="14.4" x14ac:dyDescent="0.3">
      <c r="I291"/>
      <c r="J291"/>
      <c r="K291"/>
      <c r="L291"/>
      <c r="M291"/>
      <c r="N291"/>
    </row>
    <row r="292" spans="9:14" ht="14.4" x14ac:dyDescent="0.3">
      <c r="I292"/>
      <c r="J292"/>
      <c r="K292"/>
      <c r="L292"/>
      <c r="M292"/>
      <c r="N292"/>
    </row>
    <row r="293" spans="9:14" ht="14.4" x14ac:dyDescent="0.3">
      <c r="I293"/>
      <c r="J293"/>
      <c r="K293"/>
      <c r="L293"/>
      <c r="M293"/>
      <c r="N293"/>
    </row>
    <row r="294" spans="9:14" ht="14.4" x14ac:dyDescent="0.3">
      <c r="I294"/>
      <c r="J294"/>
      <c r="K294"/>
      <c r="L294"/>
      <c r="M294"/>
      <c r="N294"/>
    </row>
    <row r="295" spans="9:14" ht="14.4" x14ac:dyDescent="0.3">
      <c r="I295"/>
      <c r="J295"/>
      <c r="K295"/>
      <c r="L295"/>
      <c r="M295"/>
      <c r="N295"/>
    </row>
    <row r="296" spans="9:14" ht="14.4" x14ac:dyDescent="0.3">
      <c r="I296"/>
      <c r="J296"/>
      <c r="K296"/>
      <c r="L296"/>
      <c r="M296"/>
      <c r="N296"/>
    </row>
    <row r="297" spans="9:14" ht="14.4" x14ac:dyDescent="0.3">
      <c r="I297"/>
      <c r="J297"/>
      <c r="K297"/>
      <c r="L297"/>
      <c r="M297"/>
      <c r="N297"/>
    </row>
    <row r="298" spans="9:14" ht="14.4" x14ac:dyDescent="0.3">
      <c r="I298"/>
      <c r="J298"/>
      <c r="K298"/>
      <c r="L298"/>
      <c r="M298"/>
      <c r="N298"/>
    </row>
    <row r="299" spans="9:14" ht="14.4" x14ac:dyDescent="0.3">
      <c r="I299"/>
      <c r="J299"/>
      <c r="K299"/>
      <c r="L299"/>
      <c r="M299"/>
      <c r="N299"/>
    </row>
    <row r="300" spans="9:14" ht="14.4" x14ac:dyDescent="0.3">
      <c r="I300"/>
      <c r="J300"/>
      <c r="K300"/>
      <c r="L300"/>
      <c r="M300"/>
      <c r="N300"/>
    </row>
    <row r="301" spans="9:14" ht="14.4" x14ac:dyDescent="0.3">
      <c r="I301"/>
      <c r="J301"/>
      <c r="K301"/>
      <c r="L301"/>
      <c r="M301"/>
      <c r="N301"/>
    </row>
    <row r="302" spans="9:14" ht="14.4" x14ac:dyDescent="0.3">
      <c r="I302"/>
      <c r="J302"/>
      <c r="K302"/>
      <c r="L302"/>
      <c r="M302"/>
      <c r="N302"/>
    </row>
    <row r="303" spans="9:14" ht="14.4" x14ac:dyDescent="0.3">
      <c r="I303"/>
      <c r="J303"/>
      <c r="K303"/>
      <c r="L303"/>
      <c r="M303"/>
      <c r="N303"/>
    </row>
    <row r="304" spans="9:14" ht="14.4" x14ac:dyDescent="0.3">
      <c r="I304"/>
      <c r="J304"/>
      <c r="K304"/>
      <c r="L304"/>
      <c r="M304"/>
      <c r="N304"/>
    </row>
    <row r="305" spans="9:14" ht="14.4" x14ac:dyDescent="0.3">
      <c r="I305"/>
      <c r="J305"/>
      <c r="K305"/>
      <c r="L305"/>
      <c r="M305"/>
      <c r="N305"/>
    </row>
    <row r="306" spans="9:14" ht="14.4" x14ac:dyDescent="0.3">
      <c r="I306"/>
      <c r="J306"/>
      <c r="K306"/>
      <c r="L306"/>
      <c r="M306"/>
      <c r="N306"/>
    </row>
    <row r="307" spans="9:14" ht="14.4" x14ac:dyDescent="0.3">
      <c r="I307"/>
      <c r="J307"/>
      <c r="K307"/>
      <c r="L307"/>
      <c r="M307"/>
      <c r="N307"/>
    </row>
    <row r="308" spans="9:14" ht="14.4" x14ac:dyDescent="0.3">
      <c r="I308"/>
      <c r="J308"/>
      <c r="K308"/>
      <c r="L308"/>
      <c r="M308"/>
      <c r="N308"/>
    </row>
    <row r="309" spans="9:14" ht="14.4" x14ac:dyDescent="0.3">
      <c r="I309"/>
      <c r="J309"/>
      <c r="K309"/>
      <c r="L309"/>
      <c r="M309"/>
      <c r="N309"/>
    </row>
    <row r="310" spans="9:14" ht="14.4" x14ac:dyDescent="0.3">
      <c r="I310"/>
      <c r="J310"/>
      <c r="K310"/>
      <c r="L310"/>
      <c r="M310"/>
      <c r="N310"/>
    </row>
    <row r="311" spans="9:14" ht="14.4" x14ac:dyDescent="0.3">
      <c r="I311"/>
      <c r="J311"/>
      <c r="K311"/>
      <c r="L311"/>
      <c r="M311"/>
      <c r="N311"/>
    </row>
    <row r="312" spans="9:14" ht="14.4" x14ac:dyDescent="0.3">
      <c r="I312"/>
      <c r="J312"/>
      <c r="K312"/>
      <c r="L312"/>
      <c r="M312"/>
      <c r="N312"/>
    </row>
    <row r="313" spans="9:14" ht="14.4" x14ac:dyDescent="0.3">
      <c r="I313"/>
      <c r="J313"/>
      <c r="K313"/>
      <c r="L313"/>
      <c r="M313"/>
      <c r="N313"/>
    </row>
    <row r="314" spans="9:14" ht="14.4" x14ac:dyDescent="0.3">
      <c r="I314"/>
      <c r="J314"/>
      <c r="K314"/>
      <c r="L314"/>
      <c r="M314"/>
      <c r="N314"/>
    </row>
    <row r="315" spans="9:14" ht="14.4" x14ac:dyDescent="0.3">
      <c r="I315"/>
      <c r="J315"/>
      <c r="K315"/>
      <c r="L315"/>
      <c r="M315"/>
      <c r="N315"/>
    </row>
    <row r="316" spans="9:14" ht="14.4" x14ac:dyDescent="0.3">
      <c r="I316"/>
      <c r="J316"/>
      <c r="K316"/>
      <c r="L316"/>
      <c r="M316"/>
      <c r="N316"/>
    </row>
    <row r="317" spans="9:14" ht="14.4" x14ac:dyDescent="0.3">
      <c r="I317"/>
      <c r="J317"/>
      <c r="K317"/>
      <c r="L317"/>
      <c r="M317"/>
      <c r="N317"/>
    </row>
    <row r="318" spans="9:14" ht="14.4" x14ac:dyDescent="0.3">
      <c r="I318"/>
      <c r="J318"/>
      <c r="K318"/>
      <c r="L318"/>
      <c r="M318"/>
      <c r="N318"/>
    </row>
    <row r="319" spans="9:14" ht="14.4" x14ac:dyDescent="0.3">
      <c r="I319"/>
      <c r="J319"/>
      <c r="K319"/>
      <c r="L319"/>
      <c r="M319"/>
      <c r="N319"/>
    </row>
    <row r="320" spans="9:14" ht="14.4" x14ac:dyDescent="0.3">
      <c r="I320"/>
      <c r="J320"/>
      <c r="K320"/>
      <c r="L320"/>
      <c r="M320"/>
      <c r="N320"/>
    </row>
    <row r="321" spans="9:14" ht="14.4" x14ac:dyDescent="0.3">
      <c r="I321"/>
      <c r="J321"/>
      <c r="K321"/>
      <c r="L321"/>
      <c r="M321"/>
      <c r="N321"/>
    </row>
    <row r="322" spans="9:14" ht="14.4" x14ac:dyDescent="0.3">
      <c r="I322"/>
      <c r="J322"/>
      <c r="K322"/>
      <c r="L322"/>
      <c r="M322"/>
      <c r="N322"/>
    </row>
    <row r="323" spans="9:14" ht="14.4" x14ac:dyDescent="0.3">
      <c r="I323"/>
      <c r="J323"/>
      <c r="K323"/>
      <c r="L323"/>
      <c r="M323"/>
      <c r="N323"/>
    </row>
    <row r="324" spans="9:14" ht="14.4" x14ac:dyDescent="0.3">
      <c r="I324"/>
      <c r="J324"/>
      <c r="K324"/>
      <c r="L324"/>
      <c r="M324"/>
      <c r="N324"/>
    </row>
    <row r="325" spans="9:14" ht="14.4" x14ac:dyDescent="0.3">
      <c r="I325"/>
      <c r="J325"/>
      <c r="K325"/>
      <c r="L325"/>
      <c r="M325"/>
      <c r="N325"/>
    </row>
    <row r="326" spans="9:14" ht="14.4" x14ac:dyDescent="0.3">
      <c r="I326"/>
      <c r="J326"/>
      <c r="K326"/>
      <c r="L326"/>
      <c r="M326"/>
      <c r="N326"/>
    </row>
    <row r="327" spans="9:14" ht="14.4" x14ac:dyDescent="0.3">
      <c r="I327"/>
      <c r="J327"/>
      <c r="K327"/>
      <c r="L327"/>
      <c r="M327"/>
      <c r="N327"/>
    </row>
    <row r="328" spans="9:14" ht="14.4" x14ac:dyDescent="0.3">
      <c r="I328"/>
      <c r="J328"/>
      <c r="K328"/>
      <c r="L328"/>
      <c r="M328"/>
      <c r="N328"/>
    </row>
    <row r="329" spans="9:14" ht="14.4" x14ac:dyDescent="0.3">
      <c r="I329"/>
      <c r="J329"/>
      <c r="K329"/>
      <c r="L329"/>
      <c r="M329"/>
      <c r="N329"/>
    </row>
    <row r="330" spans="9:14" ht="14.4" x14ac:dyDescent="0.3">
      <c r="I330"/>
      <c r="J330"/>
      <c r="K330"/>
      <c r="L330"/>
      <c r="M330"/>
      <c r="N330"/>
    </row>
    <row r="331" spans="9:14" ht="14.4" x14ac:dyDescent="0.3">
      <c r="I331"/>
      <c r="J331"/>
      <c r="K331"/>
      <c r="L331"/>
      <c r="M331"/>
      <c r="N331"/>
    </row>
    <row r="332" spans="9:14" ht="14.4" x14ac:dyDescent="0.3">
      <c r="I332"/>
      <c r="J332"/>
      <c r="K332"/>
      <c r="L332"/>
      <c r="M332"/>
      <c r="N332"/>
    </row>
    <row r="333" spans="9:14" ht="14.4" x14ac:dyDescent="0.3">
      <c r="I333"/>
      <c r="J333"/>
      <c r="K333"/>
      <c r="L333"/>
      <c r="M333"/>
      <c r="N333"/>
    </row>
    <row r="334" spans="9:14" ht="14.4" x14ac:dyDescent="0.3">
      <c r="I334"/>
      <c r="J334"/>
      <c r="K334"/>
      <c r="L334"/>
      <c r="M334"/>
      <c r="N334"/>
    </row>
    <row r="335" spans="9:14" ht="14.4" x14ac:dyDescent="0.3">
      <c r="I335"/>
      <c r="J335"/>
      <c r="K335"/>
      <c r="L335"/>
      <c r="M335"/>
      <c r="N335"/>
    </row>
    <row r="336" spans="9:14" ht="14.4" x14ac:dyDescent="0.3">
      <c r="I336"/>
      <c r="J336"/>
      <c r="K336"/>
      <c r="L336"/>
      <c r="M336"/>
      <c r="N336"/>
    </row>
    <row r="337" spans="9:14" ht="14.4" x14ac:dyDescent="0.3">
      <c r="I337"/>
      <c r="J337"/>
      <c r="K337"/>
      <c r="L337"/>
      <c r="M337"/>
      <c r="N337"/>
    </row>
    <row r="338" spans="9:14" ht="14.4" x14ac:dyDescent="0.3">
      <c r="I338"/>
      <c r="J338"/>
      <c r="K338"/>
      <c r="L338"/>
      <c r="M338"/>
      <c r="N338"/>
    </row>
    <row r="339" spans="9:14" ht="14.4" x14ac:dyDescent="0.3">
      <c r="I339"/>
      <c r="J339"/>
      <c r="K339"/>
      <c r="L339"/>
      <c r="M339"/>
      <c r="N339"/>
    </row>
    <row r="340" spans="9:14" ht="14.4" x14ac:dyDescent="0.3">
      <c r="I340"/>
      <c r="J340"/>
      <c r="K340"/>
      <c r="L340"/>
      <c r="M340"/>
      <c r="N340"/>
    </row>
    <row r="341" spans="9:14" ht="14.4" x14ac:dyDescent="0.3">
      <c r="I341"/>
      <c r="J341"/>
      <c r="K341"/>
      <c r="L341"/>
      <c r="M341"/>
      <c r="N341"/>
    </row>
    <row r="342" spans="9:14" ht="14.4" x14ac:dyDescent="0.3">
      <c r="I342"/>
      <c r="J342"/>
      <c r="K342"/>
      <c r="L342"/>
      <c r="M342"/>
      <c r="N342"/>
    </row>
    <row r="343" spans="9:14" ht="14.4" x14ac:dyDescent="0.3">
      <c r="I343"/>
      <c r="J343"/>
      <c r="K343"/>
      <c r="L343"/>
      <c r="M343"/>
      <c r="N343"/>
    </row>
    <row r="344" spans="9:14" ht="14.4" x14ac:dyDescent="0.3">
      <c r="I344"/>
      <c r="J344"/>
      <c r="K344"/>
      <c r="L344"/>
      <c r="M344"/>
      <c r="N344"/>
    </row>
    <row r="345" spans="9:14" ht="14.4" x14ac:dyDescent="0.3">
      <c r="I345"/>
      <c r="J345"/>
      <c r="K345"/>
      <c r="L345"/>
      <c r="M345"/>
      <c r="N345"/>
    </row>
    <row r="346" spans="9:14" ht="14.4" x14ac:dyDescent="0.3">
      <c r="I346"/>
      <c r="J346"/>
      <c r="K346"/>
      <c r="L346"/>
      <c r="M346"/>
      <c r="N346"/>
    </row>
    <row r="347" spans="9:14" ht="14.4" x14ac:dyDescent="0.3">
      <c r="I347"/>
      <c r="J347"/>
      <c r="K347"/>
      <c r="L347"/>
      <c r="M347"/>
      <c r="N347"/>
    </row>
    <row r="348" spans="9:14" ht="14.4" x14ac:dyDescent="0.3">
      <c r="I348"/>
      <c r="J348"/>
      <c r="K348"/>
      <c r="L348"/>
      <c r="M348"/>
      <c r="N348"/>
    </row>
    <row r="349" spans="9:14" ht="14.4" x14ac:dyDescent="0.3">
      <c r="I349"/>
      <c r="J349"/>
      <c r="K349"/>
      <c r="L349"/>
      <c r="M349"/>
      <c r="N349"/>
    </row>
    <row r="350" spans="9:14" ht="14.4" x14ac:dyDescent="0.3">
      <c r="I350"/>
      <c r="J350"/>
      <c r="K350"/>
      <c r="L350"/>
      <c r="M350"/>
      <c r="N350"/>
    </row>
    <row r="351" spans="9:14" ht="14.4" x14ac:dyDescent="0.3">
      <c r="I351"/>
      <c r="J351"/>
      <c r="K351"/>
      <c r="L351"/>
      <c r="M351"/>
      <c r="N351"/>
    </row>
    <row r="352" spans="9:14" ht="14.4" x14ac:dyDescent="0.3">
      <c r="I352"/>
      <c r="J352"/>
      <c r="K352"/>
      <c r="L352"/>
      <c r="M352"/>
      <c r="N352"/>
    </row>
    <row r="353" spans="9:14" ht="14.4" x14ac:dyDescent="0.3">
      <c r="I353"/>
      <c r="J353"/>
      <c r="K353"/>
      <c r="L353"/>
      <c r="M353"/>
      <c r="N353"/>
    </row>
    <row r="354" spans="9:14" ht="14.4" x14ac:dyDescent="0.3">
      <c r="I354"/>
      <c r="J354"/>
      <c r="K354"/>
      <c r="L354"/>
      <c r="M354"/>
      <c r="N354"/>
    </row>
    <row r="355" spans="9:14" ht="14.4" x14ac:dyDescent="0.3">
      <c r="I355"/>
      <c r="J355"/>
      <c r="K355"/>
      <c r="L355"/>
      <c r="M355"/>
      <c r="N355"/>
    </row>
    <row r="356" spans="9:14" ht="14.4" x14ac:dyDescent="0.3">
      <c r="I356"/>
      <c r="J356"/>
      <c r="K356"/>
      <c r="L356"/>
      <c r="M356"/>
      <c r="N356"/>
    </row>
    <row r="357" spans="9:14" ht="14.4" x14ac:dyDescent="0.3">
      <c r="I357"/>
      <c r="J357"/>
      <c r="K357"/>
      <c r="L357"/>
      <c r="M357"/>
      <c r="N357"/>
    </row>
    <row r="358" spans="9:14" ht="14.4" x14ac:dyDescent="0.3">
      <c r="I358"/>
      <c r="J358"/>
      <c r="K358"/>
      <c r="L358"/>
      <c r="M358"/>
      <c r="N358"/>
    </row>
    <row r="359" spans="9:14" ht="14.4" x14ac:dyDescent="0.3">
      <c r="I359"/>
      <c r="J359"/>
      <c r="K359"/>
      <c r="L359"/>
      <c r="M359"/>
      <c r="N359"/>
    </row>
    <row r="360" spans="9:14" ht="14.4" x14ac:dyDescent="0.3">
      <c r="I360"/>
      <c r="J360"/>
      <c r="K360"/>
      <c r="L360"/>
      <c r="M360"/>
      <c r="N360"/>
    </row>
    <row r="361" spans="9:14" ht="14.4" x14ac:dyDescent="0.3">
      <c r="I361"/>
      <c r="J361"/>
      <c r="K361"/>
      <c r="L361"/>
      <c r="M361"/>
      <c r="N361"/>
    </row>
    <row r="362" spans="9:14" ht="14.4" x14ac:dyDescent="0.3">
      <c r="I362"/>
      <c r="J362"/>
      <c r="K362"/>
      <c r="L362"/>
      <c r="M362"/>
      <c r="N362"/>
    </row>
    <row r="363" spans="9:14" ht="14.4" x14ac:dyDescent="0.3">
      <c r="I363"/>
      <c r="J363"/>
      <c r="K363"/>
      <c r="L363"/>
      <c r="M363"/>
      <c r="N363"/>
    </row>
    <row r="364" spans="9:14" ht="14.4" x14ac:dyDescent="0.3">
      <c r="I364"/>
      <c r="J364"/>
      <c r="K364"/>
      <c r="L364"/>
      <c r="M364"/>
      <c r="N364"/>
    </row>
    <row r="365" spans="9:14" ht="14.4" x14ac:dyDescent="0.3">
      <c r="I365"/>
      <c r="J365"/>
      <c r="K365"/>
      <c r="L365"/>
      <c r="M365"/>
      <c r="N365"/>
    </row>
    <row r="366" spans="9:14" ht="14.4" x14ac:dyDescent="0.3">
      <c r="I366"/>
      <c r="J366"/>
      <c r="K366"/>
      <c r="L366"/>
      <c r="M366"/>
      <c r="N366"/>
    </row>
    <row r="367" spans="9:14" ht="14.4" x14ac:dyDescent="0.3">
      <c r="I367"/>
      <c r="J367"/>
      <c r="K367"/>
      <c r="L367"/>
      <c r="M367"/>
      <c r="N367"/>
    </row>
    <row r="368" spans="9:14" ht="14.4" x14ac:dyDescent="0.3">
      <c r="I368"/>
      <c r="J368"/>
      <c r="K368"/>
      <c r="L368"/>
      <c r="M368"/>
      <c r="N368"/>
    </row>
    <row r="369" spans="9:14" ht="14.4" x14ac:dyDescent="0.3">
      <c r="I369"/>
      <c r="J369"/>
      <c r="K369"/>
      <c r="L369"/>
      <c r="M369"/>
      <c r="N369"/>
    </row>
    <row r="370" spans="9:14" ht="14.4" x14ac:dyDescent="0.3">
      <c r="I370"/>
      <c r="J370"/>
      <c r="K370"/>
      <c r="L370"/>
      <c r="M370"/>
      <c r="N370"/>
    </row>
    <row r="371" spans="9:14" ht="14.4" x14ac:dyDescent="0.3">
      <c r="I371"/>
      <c r="J371"/>
      <c r="K371"/>
      <c r="L371"/>
      <c r="M371"/>
      <c r="N371"/>
    </row>
    <row r="372" spans="9:14" ht="14.4" x14ac:dyDescent="0.3">
      <c r="I372"/>
      <c r="J372"/>
      <c r="K372"/>
      <c r="L372"/>
      <c r="M372"/>
      <c r="N372"/>
    </row>
    <row r="373" spans="9:14" ht="14.4" x14ac:dyDescent="0.3">
      <c r="I373"/>
      <c r="J373"/>
      <c r="K373"/>
      <c r="L373"/>
      <c r="M373"/>
      <c r="N373"/>
    </row>
    <row r="374" spans="9:14" ht="14.4" x14ac:dyDescent="0.3">
      <c r="I374"/>
      <c r="J374"/>
      <c r="K374"/>
      <c r="L374"/>
      <c r="M374"/>
      <c r="N374"/>
    </row>
    <row r="375" spans="9:14" ht="14.4" x14ac:dyDescent="0.3">
      <c r="I375"/>
      <c r="J375"/>
      <c r="K375"/>
      <c r="L375"/>
      <c r="M375"/>
      <c r="N375"/>
    </row>
    <row r="376" spans="9:14" ht="14.4" x14ac:dyDescent="0.3">
      <c r="I376"/>
      <c r="J376"/>
      <c r="K376"/>
      <c r="L376"/>
      <c r="M376"/>
      <c r="N376"/>
    </row>
    <row r="377" spans="9:14" ht="14.4" x14ac:dyDescent="0.3">
      <c r="I377"/>
      <c r="J377"/>
      <c r="K377"/>
      <c r="L377"/>
      <c r="M377"/>
      <c r="N377"/>
    </row>
    <row r="378" spans="9:14" ht="14.4" x14ac:dyDescent="0.3">
      <c r="I378"/>
      <c r="J378"/>
      <c r="K378"/>
      <c r="L378"/>
      <c r="M378"/>
      <c r="N378"/>
    </row>
    <row r="379" spans="9:14" ht="14.4" x14ac:dyDescent="0.3">
      <c r="I379"/>
      <c r="J379"/>
      <c r="K379"/>
      <c r="L379"/>
      <c r="M379"/>
      <c r="N379"/>
    </row>
    <row r="380" spans="9:14" ht="14.4" x14ac:dyDescent="0.3">
      <c r="I380"/>
      <c r="J380"/>
      <c r="K380"/>
      <c r="L380"/>
      <c r="M380"/>
      <c r="N380"/>
    </row>
    <row r="381" spans="9:14" ht="14.4" x14ac:dyDescent="0.3">
      <c r="I381"/>
      <c r="J381"/>
      <c r="K381"/>
      <c r="L381"/>
      <c r="M381"/>
      <c r="N381"/>
    </row>
    <row r="382" spans="9:14" ht="14.4" x14ac:dyDescent="0.3">
      <c r="I382"/>
      <c r="J382"/>
      <c r="K382"/>
      <c r="L382"/>
      <c r="M382"/>
      <c r="N382"/>
    </row>
    <row r="383" spans="9:14" ht="14.4" x14ac:dyDescent="0.3">
      <c r="I383"/>
      <c r="J383"/>
      <c r="K383"/>
      <c r="L383"/>
      <c r="M383"/>
      <c r="N383"/>
    </row>
    <row r="384" spans="9:14" ht="14.4" x14ac:dyDescent="0.3">
      <c r="I384"/>
      <c r="J384"/>
      <c r="K384"/>
      <c r="L384"/>
      <c r="M384"/>
      <c r="N384"/>
    </row>
    <row r="385" spans="9:14" ht="14.4" x14ac:dyDescent="0.3">
      <c r="I385"/>
      <c r="J385"/>
      <c r="K385"/>
      <c r="L385"/>
      <c r="M385"/>
      <c r="N385"/>
    </row>
    <row r="386" spans="9:14" ht="14.4" x14ac:dyDescent="0.3">
      <c r="I386"/>
      <c r="J386"/>
      <c r="K386"/>
      <c r="L386"/>
      <c r="M386"/>
      <c r="N386"/>
    </row>
    <row r="387" spans="9:14" ht="14.4" x14ac:dyDescent="0.3">
      <c r="I387"/>
      <c r="J387"/>
      <c r="K387"/>
      <c r="L387"/>
      <c r="M387"/>
      <c r="N387"/>
    </row>
    <row r="388" spans="9:14" ht="14.4" x14ac:dyDescent="0.3">
      <c r="I388"/>
      <c r="J388"/>
      <c r="K388"/>
      <c r="L388"/>
      <c r="M388"/>
      <c r="N388"/>
    </row>
    <row r="389" spans="9:14" ht="14.4" x14ac:dyDescent="0.3">
      <c r="I389"/>
      <c r="J389"/>
      <c r="K389"/>
      <c r="L389"/>
      <c r="M389"/>
      <c r="N389"/>
    </row>
    <row r="390" spans="9:14" ht="14.4" x14ac:dyDescent="0.3">
      <c r="I390"/>
      <c r="J390"/>
      <c r="K390"/>
      <c r="L390"/>
      <c r="M390"/>
      <c r="N390"/>
    </row>
    <row r="391" spans="9:14" ht="14.4" x14ac:dyDescent="0.3">
      <c r="I391"/>
      <c r="J391"/>
      <c r="K391"/>
      <c r="L391"/>
      <c r="M391"/>
      <c r="N391"/>
    </row>
    <row r="392" spans="9:14" ht="14.4" x14ac:dyDescent="0.3">
      <c r="I392"/>
      <c r="J392"/>
      <c r="K392"/>
      <c r="L392"/>
      <c r="M392"/>
      <c r="N392"/>
    </row>
    <row r="393" spans="9:14" ht="14.4" x14ac:dyDescent="0.3">
      <c r="I393"/>
      <c r="J393"/>
      <c r="K393"/>
      <c r="L393"/>
      <c r="M393"/>
      <c r="N393"/>
    </row>
    <row r="394" spans="9:14" ht="14.4" x14ac:dyDescent="0.3">
      <c r="I394"/>
      <c r="J394"/>
      <c r="K394"/>
      <c r="L394"/>
      <c r="M394"/>
      <c r="N394"/>
    </row>
    <row r="395" spans="9:14" ht="14.4" x14ac:dyDescent="0.3">
      <c r="I395"/>
      <c r="J395"/>
      <c r="K395"/>
      <c r="L395"/>
      <c r="M395"/>
      <c r="N395"/>
    </row>
    <row r="396" spans="9:14" ht="14.4" x14ac:dyDescent="0.3">
      <c r="I396"/>
      <c r="J396"/>
      <c r="K396"/>
      <c r="L396"/>
      <c r="M396"/>
      <c r="N396"/>
    </row>
    <row r="397" spans="9:14" ht="14.4" x14ac:dyDescent="0.3">
      <c r="I397"/>
      <c r="J397"/>
      <c r="K397"/>
      <c r="L397"/>
      <c r="M397"/>
      <c r="N397"/>
    </row>
    <row r="398" spans="9:14" ht="14.4" x14ac:dyDescent="0.3">
      <c r="I398"/>
      <c r="J398"/>
      <c r="K398"/>
      <c r="L398"/>
      <c r="M398"/>
      <c r="N398"/>
    </row>
    <row r="399" spans="9:14" ht="14.4" x14ac:dyDescent="0.3">
      <c r="I399"/>
      <c r="J399"/>
      <c r="K399"/>
      <c r="L399"/>
      <c r="M399"/>
      <c r="N399"/>
    </row>
    <row r="400" spans="9:14" ht="14.4" x14ac:dyDescent="0.3">
      <c r="I400"/>
      <c r="J400"/>
      <c r="K400"/>
      <c r="L400"/>
      <c r="M400"/>
      <c r="N400"/>
    </row>
    <row r="401" spans="9:14" ht="14.4" x14ac:dyDescent="0.3">
      <c r="I401"/>
      <c r="J401"/>
      <c r="K401"/>
      <c r="L401"/>
      <c r="M401"/>
      <c r="N401"/>
    </row>
    <row r="402" spans="9:14" ht="14.4" x14ac:dyDescent="0.3">
      <c r="I402"/>
      <c r="J402"/>
      <c r="K402"/>
      <c r="L402"/>
      <c r="M402"/>
      <c r="N402"/>
    </row>
    <row r="403" spans="9:14" ht="14.4" x14ac:dyDescent="0.3">
      <c r="I403"/>
      <c r="J403"/>
      <c r="K403"/>
      <c r="L403"/>
      <c r="M403"/>
      <c r="N403"/>
    </row>
    <row r="404" spans="9:14" ht="14.4" x14ac:dyDescent="0.3">
      <c r="I404"/>
      <c r="J404"/>
      <c r="K404"/>
      <c r="L404"/>
      <c r="M404"/>
      <c r="N404"/>
    </row>
    <row r="405" spans="9:14" ht="14.4" x14ac:dyDescent="0.3">
      <c r="I405"/>
      <c r="J405"/>
      <c r="K405"/>
      <c r="L405"/>
      <c r="M405"/>
      <c r="N405"/>
    </row>
    <row r="406" spans="9:14" ht="14.4" x14ac:dyDescent="0.3">
      <c r="I406"/>
      <c r="J406"/>
      <c r="K406"/>
      <c r="L406"/>
      <c r="M406"/>
      <c r="N406"/>
    </row>
    <row r="407" spans="9:14" ht="14.4" x14ac:dyDescent="0.3">
      <c r="I407"/>
      <c r="J407"/>
      <c r="K407"/>
      <c r="L407"/>
      <c r="M407"/>
      <c r="N407"/>
    </row>
    <row r="408" spans="9:14" ht="14.4" x14ac:dyDescent="0.3">
      <c r="I408"/>
      <c r="J408"/>
      <c r="K408"/>
      <c r="L408"/>
      <c r="M408"/>
      <c r="N408"/>
    </row>
    <row r="409" spans="9:14" ht="14.4" x14ac:dyDescent="0.3">
      <c r="I409"/>
      <c r="J409"/>
      <c r="K409"/>
      <c r="L409"/>
      <c r="M409"/>
      <c r="N409"/>
    </row>
    <row r="410" spans="9:14" ht="14.4" x14ac:dyDescent="0.3">
      <c r="I410"/>
      <c r="J410"/>
      <c r="K410"/>
      <c r="L410"/>
      <c r="M410"/>
      <c r="N410"/>
    </row>
    <row r="411" spans="9:14" ht="14.4" x14ac:dyDescent="0.3">
      <c r="I411"/>
      <c r="J411"/>
      <c r="K411"/>
      <c r="L411"/>
      <c r="M411"/>
      <c r="N411"/>
    </row>
    <row r="412" spans="9:14" ht="14.4" x14ac:dyDescent="0.3">
      <c r="I412"/>
      <c r="J412"/>
      <c r="K412"/>
      <c r="L412"/>
      <c r="M412"/>
      <c r="N412"/>
    </row>
    <row r="413" spans="9:14" ht="14.4" x14ac:dyDescent="0.3">
      <c r="I413"/>
      <c r="J413"/>
      <c r="K413"/>
      <c r="L413"/>
      <c r="M413"/>
      <c r="N413"/>
    </row>
    <row r="414" spans="9:14" ht="14.4" x14ac:dyDescent="0.3">
      <c r="I414"/>
      <c r="J414"/>
      <c r="K414"/>
      <c r="L414"/>
      <c r="M414"/>
      <c r="N414"/>
    </row>
    <row r="415" spans="9:14" ht="14.4" x14ac:dyDescent="0.3">
      <c r="I415"/>
      <c r="J415"/>
      <c r="K415"/>
      <c r="L415"/>
      <c r="M415"/>
      <c r="N415"/>
    </row>
    <row r="416" spans="9:14" ht="14.4" x14ac:dyDescent="0.3">
      <c r="I416"/>
      <c r="J416"/>
      <c r="K416"/>
      <c r="L416"/>
      <c r="M416"/>
      <c r="N416"/>
    </row>
    <row r="417" spans="9:14" ht="14.4" x14ac:dyDescent="0.3">
      <c r="I417"/>
      <c r="J417"/>
      <c r="K417"/>
      <c r="L417"/>
      <c r="M417"/>
      <c r="N417"/>
    </row>
    <row r="418" spans="9:14" ht="14.4" x14ac:dyDescent="0.3">
      <c r="I418"/>
      <c r="J418"/>
      <c r="K418"/>
      <c r="L418"/>
      <c r="M418"/>
      <c r="N418"/>
    </row>
    <row r="419" spans="9:14" ht="14.4" x14ac:dyDescent="0.3">
      <c r="I419"/>
      <c r="J419"/>
      <c r="K419"/>
      <c r="L419"/>
      <c r="M419"/>
      <c r="N419"/>
    </row>
    <row r="420" spans="9:14" ht="14.4" x14ac:dyDescent="0.3">
      <c r="I420"/>
      <c r="J420"/>
      <c r="K420"/>
      <c r="L420"/>
      <c r="M420"/>
      <c r="N420"/>
    </row>
    <row r="421" spans="9:14" ht="14.4" x14ac:dyDescent="0.3">
      <c r="I421"/>
      <c r="J421"/>
      <c r="K421"/>
      <c r="L421"/>
      <c r="M421"/>
      <c r="N421"/>
    </row>
    <row r="422" spans="9:14" ht="14.4" x14ac:dyDescent="0.3">
      <c r="I422"/>
      <c r="J422"/>
      <c r="K422"/>
      <c r="L422"/>
      <c r="M422"/>
      <c r="N422"/>
    </row>
    <row r="423" spans="9:14" ht="14.4" x14ac:dyDescent="0.3">
      <c r="I423"/>
      <c r="J423"/>
      <c r="K423"/>
      <c r="L423"/>
      <c r="M423"/>
      <c r="N423"/>
    </row>
    <row r="424" spans="9:14" ht="14.4" x14ac:dyDescent="0.3">
      <c r="I424"/>
      <c r="J424"/>
      <c r="K424"/>
      <c r="L424"/>
      <c r="M424"/>
      <c r="N424"/>
    </row>
    <row r="425" spans="9:14" ht="14.4" x14ac:dyDescent="0.3">
      <c r="I425"/>
      <c r="J425"/>
      <c r="K425"/>
      <c r="L425"/>
      <c r="M425"/>
      <c r="N425"/>
    </row>
    <row r="426" spans="9:14" ht="14.4" x14ac:dyDescent="0.3">
      <c r="I426"/>
      <c r="J426"/>
      <c r="K426"/>
      <c r="L426"/>
      <c r="M426"/>
      <c r="N426"/>
    </row>
    <row r="427" spans="9:14" ht="14.4" x14ac:dyDescent="0.3">
      <c r="I427"/>
      <c r="J427"/>
      <c r="K427"/>
      <c r="L427"/>
      <c r="M427"/>
      <c r="N427"/>
    </row>
    <row r="428" spans="9:14" ht="14.4" x14ac:dyDescent="0.3">
      <c r="I428"/>
      <c r="J428"/>
      <c r="K428"/>
      <c r="L428"/>
      <c r="M428"/>
      <c r="N428"/>
    </row>
    <row r="429" spans="9:14" ht="14.4" x14ac:dyDescent="0.3">
      <c r="I429"/>
      <c r="J429"/>
      <c r="K429"/>
      <c r="L429"/>
      <c r="M429"/>
      <c r="N429"/>
    </row>
    <row r="430" spans="9:14" ht="14.4" x14ac:dyDescent="0.3">
      <c r="I430"/>
      <c r="J430"/>
      <c r="K430"/>
      <c r="L430"/>
      <c r="M430"/>
      <c r="N430"/>
    </row>
    <row r="431" spans="9:14" ht="14.4" x14ac:dyDescent="0.3">
      <c r="I431"/>
      <c r="J431"/>
      <c r="K431"/>
      <c r="L431"/>
      <c r="M431"/>
      <c r="N431"/>
    </row>
    <row r="432" spans="9:14" ht="14.4" x14ac:dyDescent="0.3">
      <c r="I432"/>
      <c r="J432"/>
      <c r="K432"/>
      <c r="L432"/>
      <c r="M432"/>
      <c r="N432"/>
    </row>
    <row r="433" spans="9:14" ht="14.4" x14ac:dyDescent="0.3">
      <c r="I433"/>
      <c r="J433"/>
      <c r="K433"/>
      <c r="L433"/>
      <c r="M433"/>
      <c r="N433"/>
    </row>
    <row r="434" spans="9:14" ht="14.4" x14ac:dyDescent="0.3">
      <c r="I434"/>
      <c r="J434"/>
      <c r="K434"/>
      <c r="L434"/>
      <c r="M434"/>
      <c r="N434"/>
    </row>
    <row r="435" spans="9:14" ht="14.4" x14ac:dyDescent="0.3">
      <c r="I435"/>
      <c r="J435"/>
      <c r="K435"/>
      <c r="L435"/>
      <c r="M435"/>
      <c r="N435"/>
    </row>
    <row r="436" spans="9:14" ht="14.4" x14ac:dyDescent="0.3">
      <c r="I436"/>
      <c r="J436"/>
      <c r="K436"/>
      <c r="L436"/>
      <c r="M436"/>
      <c r="N436"/>
    </row>
    <row r="437" spans="9:14" ht="14.4" x14ac:dyDescent="0.3">
      <c r="I437"/>
      <c r="J437"/>
      <c r="K437"/>
      <c r="L437"/>
      <c r="M437"/>
      <c r="N437"/>
    </row>
    <row r="438" spans="9:14" ht="14.4" x14ac:dyDescent="0.3">
      <c r="I438"/>
      <c r="J438"/>
      <c r="K438"/>
      <c r="L438"/>
      <c r="M438"/>
      <c r="N438"/>
    </row>
    <row r="439" spans="9:14" ht="14.4" x14ac:dyDescent="0.3">
      <c r="I439"/>
      <c r="J439"/>
      <c r="K439"/>
      <c r="L439"/>
      <c r="M439"/>
      <c r="N439"/>
    </row>
    <row r="440" spans="9:14" ht="14.4" x14ac:dyDescent="0.3">
      <c r="I440"/>
      <c r="J440"/>
      <c r="K440"/>
      <c r="L440"/>
      <c r="M440"/>
      <c r="N440"/>
    </row>
    <row r="441" spans="9:14" ht="14.4" x14ac:dyDescent="0.3">
      <c r="I441"/>
      <c r="J441"/>
      <c r="K441"/>
      <c r="L441"/>
      <c r="M441"/>
      <c r="N441"/>
    </row>
    <row r="442" spans="9:14" ht="14.4" x14ac:dyDescent="0.3">
      <c r="I442"/>
      <c r="J442"/>
      <c r="K442"/>
      <c r="L442"/>
      <c r="M442"/>
      <c r="N442"/>
    </row>
    <row r="443" spans="9:14" ht="14.4" x14ac:dyDescent="0.3">
      <c r="I443"/>
      <c r="J443"/>
      <c r="K443"/>
      <c r="L443"/>
      <c r="M443"/>
      <c r="N443"/>
    </row>
    <row r="444" spans="9:14" ht="14.4" x14ac:dyDescent="0.3">
      <c r="I444"/>
      <c r="J444"/>
      <c r="K444"/>
      <c r="L444"/>
      <c r="M444"/>
      <c r="N444"/>
    </row>
    <row r="445" spans="9:14" ht="14.4" x14ac:dyDescent="0.3">
      <c r="I445"/>
      <c r="J445"/>
      <c r="K445"/>
      <c r="L445"/>
      <c r="M445"/>
      <c r="N445"/>
    </row>
    <row r="446" spans="9:14" ht="14.4" x14ac:dyDescent="0.3">
      <c r="I446"/>
      <c r="J446"/>
      <c r="K446"/>
      <c r="L446"/>
      <c r="M446"/>
      <c r="N446"/>
    </row>
    <row r="447" spans="9:14" ht="14.4" x14ac:dyDescent="0.3">
      <c r="I447"/>
      <c r="J447"/>
      <c r="K447"/>
      <c r="L447"/>
      <c r="M447"/>
      <c r="N447"/>
    </row>
    <row r="448" spans="9:14" ht="14.4" x14ac:dyDescent="0.3">
      <c r="I448"/>
      <c r="J448"/>
      <c r="K448"/>
      <c r="L448"/>
      <c r="M448"/>
      <c r="N448"/>
    </row>
    <row r="449" spans="9:14" ht="14.4" x14ac:dyDescent="0.3">
      <c r="I449"/>
      <c r="J449"/>
      <c r="K449"/>
      <c r="L449"/>
      <c r="M449"/>
      <c r="N449"/>
    </row>
    <row r="450" spans="9:14" ht="14.4" x14ac:dyDescent="0.3">
      <c r="I450"/>
      <c r="J450"/>
      <c r="K450"/>
      <c r="L450"/>
      <c r="M450"/>
      <c r="N450"/>
    </row>
    <row r="451" spans="9:14" ht="14.4" x14ac:dyDescent="0.3">
      <c r="I451"/>
      <c r="J451"/>
      <c r="K451"/>
      <c r="L451"/>
      <c r="M451"/>
      <c r="N451"/>
    </row>
    <row r="452" spans="9:14" ht="14.4" x14ac:dyDescent="0.3">
      <c r="I452"/>
      <c r="J452"/>
      <c r="K452"/>
      <c r="L452"/>
      <c r="M452"/>
      <c r="N452"/>
    </row>
    <row r="453" spans="9:14" ht="14.4" x14ac:dyDescent="0.3">
      <c r="I453"/>
      <c r="J453"/>
      <c r="K453"/>
      <c r="L453"/>
      <c r="M453"/>
      <c r="N453"/>
    </row>
    <row r="454" spans="9:14" ht="14.4" x14ac:dyDescent="0.3">
      <c r="I454"/>
      <c r="J454"/>
      <c r="K454"/>
      <c r="L454"/>
      <c r="M454"/>
      <c r="N454"/>
    </row>
    <row r="455" spans="9:14" ht="14.4" x14ac:dyDescent="0.3">
      <c r="I455"/>
      <c r="J455"/>
      <c r="K455"/>
      <c r="L455"/>
      <c r="M455"/>
      <c r="N455"/>
    </row>
    <row r="456" spans="9:14" ht="14.4" x14ac:dyDescent="0.3">
      <c r="I456"/>
      <c r="J456"/>
      <c r="K456"/>
      <c r="L456"/>
      <c r="M456"/>
      <c r="N456"/>
    </row>
    <row r="457" spans="9:14" ht="14.4" x14ac:dyDescent="0.3">
      <c r="I457"/>
      <c r="J457"/>
      <c r="K457"/>
      <c r="L457"/>
      <c r="M457"/>
      <c r="N457"/>
    </row>
    <row r="458" spans="9:14" ht="14.4" x14ac:dyDescent="0.3">
      <c r="I458"/>
      <c r="J458"/>
      <c r="K458"/>
      <c r="L458"/>
      <c r="M458"/>
      <c r="N458"/>
    </row>
    <row r="459" spans="9:14" ht="14.4" x14ac:dyDescent="0.3">
      <c r="I459"/>
      <c r="J459"/>
      <c r="K459"/>
      <c r="L459"/>
      <c r="M459"/>
      <c r="N459"/>
    </row>
    <row r="460" spans="9:14" ht="14.4" x14ac:dyDescent="0.3">
      <c r="I460"/>
      <c r="J460"/>
      <c r="K460"/>
      <c r="L460"/>
      <c r="M460"/>
      <c r="N460"/>
    </row>
    <row r="461" spans="9:14" ht="14.4" x14ac:dyDescent="0.3">
      <c r="I461"/>
      <c r="J461"/>
      <c r="K461"/>
      <c r="L461"/>
      <c r="M461"/>
      <c r="N461"/>
    </row>
    <row r="462" spans="9:14" ht="14.4" x14ac:dyDescent="0.3">
      <c r="I462"/>
      <c r="J462"/>
      <c r="K462"/>
      <c r="L462"/>
      <c r="M462"/>
      <c r="N462"/>
    </row>
    <row r="463" spans="9:14" ht="14.4" x14ac:dyDescent="0.3">
      <c r="I463"/>
      <c r="J463"/>
      <c r="K463"/>
      <c r="L463"/>
      <c r="M463"/>
      <c r="N463"/>
    </row>
    <row r="464" spans="9:14" ht="14.4" x14ac:dyDescent="0.3">
      <c r="I464"/>
      <c r="J464"/>
      <c r="K464"/>
      <c r="L464"/>
      <c r="M464"/>
      <c r="N464"/>
    </row>
    <row r="465" spans="9:14" ht="14.4" x14ac:dyDescent="0.3">
      <c r="I465"/>
      <c r="J465"/>
      <c r="K465"/>
      <c r="L465"/>
      <c r="M465"/>
      <c r="N465"/>
    </row>
    <row r="466" spans="9:14" ht="14.4" x14ac:dyDescent="0.3">
      <c r="I466"/>
      <c r="J466"/>
      <c r="K466"/>
      <c r="L466"/>
      <c r="M466"/>
      <c r="N466"/>
    </row>
    <row r="467" spans="9:14" ht="14.4" x14ac:dyDescent="0.3">
      <c r="I467"/>
      <c r="J467"/>
      <c r="K467"/>
      <c r="L467"/>
      <c r="M467"/>
      <c r="N467"/>
    </row>
    <row r="468" spans="9:14" ht="14.4" x14ac:dyDescent="0.3">
      <c r="I468"/>
      <c r="J468"/>
      <c r="K468"/>
      <c r="L468"/>
      <c r="M468"/>
      <c r="N468"/>
    </row>
    <row r="469" spans="9:14" ht="14.4" x14ac:dyDescent="0.3">
      <c r="I469"/>
      <c r="J469"/>
      <c r="K469"/>
      <c r="L469"/>
      <c r="M469"/>
      <c r="N469"/>
    </row>
    <row r="470" spans="9:14" ht="14.4" x14ac:dyDescent="0.3">
      <c r="I470"/>
      <c r="J470"/>
      <c r="K470"/>
      <c r="L470"/>
      <c r="M470"/>
      <c r="N470"/>
    </row>
    <row r="471" spans="9:14" ht="14.4" x14ac:dyDescent="0.3">
      <c r="I471"/>
      <c r="J471"/>
      <c r="K471"/>
      <c r="L471"/>
      <c r="M471"/>
      <c r="N471"/>
    </row>
    <row r="472" spans="9:14" ht="14.4" x14ac:dyDescent="0.3">
      <c r="I472"/>
      <c r="J472"/>
      <c r="K472"/>
      <c r="L472"/>
      <c r="M472"/>
      <c r="N472"/>
    </row>
    <row r="473" spans="9:14" ht="14.4" x14ac:dyDescent="0.3">
      <c r="I473"/>
      <c r="J473"/>
      <c r="K473"/>
      <c r="L473"/>
      <c r="M473"/>
      <c r="N473"/>
    </row>
    <row r="474" spans="9:14" ht="14.4" x14ac:dyDescent="0.3">
      <c r="I474"/>
      <c r="J474"/>
      <c r="K474"/>
      <c r="L474"/>
      <c r="M474"/>
      <c r="N474"/>
    </row>
    <row r="475" spans="9:14" ht="14.4" x14ac:dyDescent="0.3">
      <c r="I475"/>
      <c r="J475"/>
      <c r="K475"/>
      <c r="L475"/>
      <c r="M475"/>
      <c r="N475"/>
    </row>
    <row r="476" spans="9:14" ht="14.4" x14ac:dyDescent="0.3">
      <c r="I476"/>
      <c r="J476"/>
      <c r="K476"/>
      <c r="L476"/>
      <c r="M476"/>
      <c r="N476"/>
    </row>
    <row r="477" spans="9:14" ht="14.4" x14ac:dyDescent="0.3">
      <c r="I477"/>
      <c r="J477"/>
      <c r="K477"/>
      <c r="L477"/>
      <c r="M477"/>
      <c r="N477"/>
    </row>
    <row r="478" spans="9:14" ht="14.4" x14ac:dyDescent="0.3">
      <c r="I478"/>
      <c r="J478"/>
      <c r="K478"/>
      <c r="L478"/>
      <c r="M478"/>
      <c r="N478"/>
    </row>
    <row r="479" spans="9:14" ht="14.4" x14ac:dyDescent="0.3">
      <c r="I479"/>
      <c r="J479"/>
      <c r="K479"/>
      <c r="L479"/>
      <c r="M479"/>
      <c r="N479"/>
    </row>
    <row r="480" spans="9:14" ht="14.4" x14ac:dyDescent="0.3">
      <c r="I480"/>
      <c r="J480"/>
      <c r="K480"/>
      <c r="L480"/>
      <c r="M480"/>
      <c r="N480"/>
    </row>
    <row r="481" spans="9:14" ht="14.4" x14ac:dyDescent="0.3">
      <c r="I481"/>
      <c r="J481"/>
      <c r="K481"/>
      <c r="L481"/>
      <c r="M481"/>
      <c r="N481"/>
    </row>
    <row r="482" spans="9:14" ht="14.4" x14ac:dyDescent="0.3">
      <c r="I482"/>
      <c r="J482"/>
      <c r="K482"/>
      <c r="L482"/>
      <c r="M482"/>
      <c r="N482"/>
    </row>
    <row r="483" spans="9:14" ht="14.4" x14ac:dyDescent="0.3">
      <c r="I483"/>
      <c r="J483"/>
      <c r="K483"/>
      <c r="L483"/>
      <c r="M483"/>
      <c r="N483"/>
    </row>
    <row r="484" spans="9:14" ht="14.4" x14ac:dyDescent="0.3">
      <c r="I484"/>
      <c r="J484"/>
      <c r="K484"/>
      <c r="L484"/>
      <c r="M484"/>
      <c r="N484"/>
    </row>
    <row r="485" spans="9:14" ht="14.4" x14ac:dyDescent="0.3">
      <c r="I485"/>
      <c r="J485"/>
      <c r="K485"/>
      <c r="L485"/>
      <c r="M485"/>
      <c r="N485"/>
    </row>
    <row r="486" spans="9:14" ht="14.4" x14ac:dyDescent="0.3">
      <c r="I486"/>
      <c r="J486"/>
      <c r="K486"/>
      <c r="L486"/>
      <c r="M486"/>
      <c r="N486"/>
    </row>
    <row r="487" spans="9:14" ht="14.4" x14ac:dyDescent="0.3">
      <c r="I487"/>
      <c r="J487"/>
      <c r="K487"/>
      <c r="L487"/>
      <c r="M487"/>
      <c r="N487"/>
    </row>
    <row r="488" spans="9:14" ht="14.4" x14ac:dyDescent="0.3">
      <c r="I488"/>
      <c r="J488"/>
      <c r="K488"/>
      <c r="L488"/>
      <c r="M488"/>
      <c r="N488"/>
    </row>
    <row r="489" spans="9:14" ht="14.4" x14ac:dyDescent="0.3">
      <c r="I489"/>
      <c r="J489"/>
      <c r="K489"/>
      <c r="L489"/>
      <c r="M489"/>
      <c r="N489"/>
    </row>
    <row r="490" spans="9:14" ht="14.4" x14ac:dyDescent="0.3">
      <c r="I490"/>
      <c r="J490"/>
      <c r="K490"/>
      <c r="L490"/>
      <c r="M490"/>
      <c r="N490"/>
    </row>
    <row r="491" spans="9:14" ht="14.4" x14ac:dyDescent="0.3">
      <c r="I491"/>
      <c r="J491"/>
      <c r="K491"/>
      <c r="L491"/>
      <c r="M491"/>
      <c r="N491"/>
    </row>
    <row r="492" spans="9:14" ht="14.4" x14ac:dyDescent="0.3">
      <c r="I492"/>
      <c r="J492"/>
      <c r="K492"/>
      <c r="L492"/>
      <c r="M492"/>
      <c r="N492"/>
    </row>
    <row r="493" spans="9:14" ht="14.4" x14ac:dyDescent="0.3">
      <c r="I493"/>
      <c r="J493"/>
      <c r="K493"/>
      <c r="L493"/>
      <c r="M493"/>
      <c r="N493"/>
    </row>
    <row r="494" spans="9:14" ht="14.4" x14ac:dyDescent="0.3">
      <c r="I494"/>
      <c r="J494"/>
      <c r="K494"/>
      <c r="L494"/>
      <c r="M494"/>
      <c r="N494"/>
    </row>
    <row r="495" spans="9:14" ht="14.4" x14ac:dyDescent="0.3">
      <c r="I495"/>
      <c r="J495"/>
      <c r="K495"/>
      <c r="L495"/>
      <c r="M495"/>
      <c r="N495"/>
    </row>
    <row r="496" spans="9:14" ht="14.4" x14ac:dyDescent="0.3">
      <c r="I496"/>
      <c r="J496"/>
      <c r="K496"/>
      <c r="L496"/>
      <c r="M496"/>
      <c r="N496"/>
    </row>
    <row r="497" spans="9:14" ht="14.4" x14ac:dyDescent="0.3">
      <c r="I497"/>
      <c r="J497"/>
      <c r="K497"/>
      <c r="L497"/>
      <c r="M497"/>
      <c r="N497"/>
    </row>
    <row r="498" spans="9:14" ht="14.4" x14ac:dyDescent="0.3">
      <c r="I498"/>
      <c r="J498"/>
      <c r="K498"/>
      <c r="L498"/>
      <c r="M498"/>
      <c r="N498"/>
    </row>
    <row r="499" spans="9:14" ht="14.4" x14ac:dyDescent="0.3">
      <c r="I499"/>
      <c r="J499"/>
      <c r="K499"/>
      <c r="L499"/>
      <c r="M499"/>
      <c r="N499"/>
    </row>
    <row r="500" spans="9:14" ht="14.4" x14ac:dyDescent="0.3">
      <c r="I500"/>
      <c r="J500"/>
      <c r="K500"/>
      <c r="L500"/>
      <c r="M500"/>
      <c r="N500"/>
    </row>
    <row r="501" spans="9:14" ht="14.4" x14ac:dyDescent="0.3">
      <c r="I501"/>
      <c r="J501"/>
      <c r="K501"/>
      <c r="L501"/>
      <c r="M501"/>
      <c r="N501"/>
    </row>
    <row r="502" spans="9:14" ht="14.4" x14ac:dyDescent="0.3">
      <c r="I502"/>
      <c r="J502"/>
      <c r="K502"/>
      <c r="L502"/>
      <c r="M502"/>
      <c r="N502"/>
    </row>
    <row r="503" spans="9:14" ht="14.4" x14ac:dyDescent="0.3">
      <c r="I503"/>
      <c r="J503"/>
      <c r="K503"/>
      <c r="L503"/>
      <c r="M503"/>
      <c r="N503"/>
    </row>
    <row r="504" spans="9:14" ht="14.4" x14ac:dyDescent="0.3">
      <c r="I504"/>
      <c r="J504"/>
      <c r="K504"/>
      <c r="L504"/>
      <c r="M504"/>
      <c r="N504"/>
    </row>
    <row r="505" spans="9:14" ht="14.4" x14ac:dyDescent="0.3">
      <c r="I505"/>
      <c r="J505"/>
      <c r="K505"/>
      <c r="L505"/>
      <c r="M505"/>
      <c r="N505"/>
    </row>
    <row r="506" spans="9:14" ht="14.4" x14ac:dyDescent="0.3">
      <c r="I506"/>
      <c r="J506"/>
      <c r="K506"/>
      <c r="L506"/>
      <c r="M506"/>
      <c r="N506"/>
    </row>
    <row r="507" spans="9:14" ht="14.4" x14ac:dyDescent="0.3">
      <c r="I507"/>
      <c r="J507"/>
      <c r="K507"/>
      <c r="L507"/>
      <c r="M507"/>
      <c r="N507"/>
    </row>
    <row r="508" spans="9:14" ht="14.4" x14ac:dyDescent="0.3">
      <c r="I508"/>
      <c r="J508"/>
      <c r="K508"/>
      <c r="L508"/>
      <c r="M508"/>
      <c r="N508"/>
    </row>
    <row r="509" spans="9:14" ht="14.4" x14ac:dyDescent="0.3">
      <c r="I509"/>
      <c r="J509"/>
      <c r="K509"/>
      <c r="L509"/>
      <c r="M509"/>
      <c r="N509"/>
    </row>
    <row r="510" spans="9:14" ht="14.4" x14ac:dyDescent="0.3">
      <c r="I510"/>
      <c r="J510"/>
      <c r="K510"/>
      <c r="L510"/>
      <c r="M510"/>
      <c r="N510"/>
    </row>
    <row r="511" spans="9:14" ht="14.4" x14ac:dyDescent="0.3">
      <c r="I511"/>
      <c r="J511"/>
      <c r="K511"/>
      <c r="L511"/>
      <c r="M511"/>
      <c r="N511"/>
    </row>
    <row r="512" spans="9:14" ht="14.4" x14ac:dyDescent="0.3">
      <c r="I512"/>
      <c r="J512"/>
      <c r="K512"/>
      <c r="L512"/>
      <c r="M512"/>
      <c r="N512"/>
    </row>
    <row r="513" spans="9:14" ht="14.4" x14ac:dyDescent="0.3">
      <c r="I513"/>
      <c r="J513"/>
      <c r="K513"/>
      <c r="L513"/>
      <c r="M513"/>
      <c r="N513"/>
    </row>
    <row r="514" spans="9:14" ht="14.4" x14ac:dyDescent="0.3">
      <c r="I514"/>
      <c r="J514"/>
      <c r="K514"/>
      <c r="L514"/>
      <c r="M514"/>
      <c r="N514"/>
    </row>
    <row r="515" spans="9:14" ht="14.4" x14ac:dyDescent="0.3">
      <c r="I515"/>
      <c r="J515"/>
      <c r="K515"/>
      <c r="L515"/>
      <c r="M515"/>
      <c r="N515"/>
    </row>
    <row r="516" spans="9:14" ht="14.4" x14ac:dyDescent="0.3">
      <c r="I516"/>
      <c r="J516"/>
      <c r="K516"/>
      <c r="L516"/>
      <c r="M516"/>
      <c r="N516"/>
    </row>
    <row r="517" spans="9:14" ht="14.4" x14ac:dyDescent="0.3">
      <c r="I517"/>
      <c r="J517"/>
      <c r="K517"/>
      <c r="L517"/>
      <c r="M517"/>
      <c r="N517"/>
    </row>
    <row r="518" spans="9:14" ht="14.4" x14ac:dyDescent="0.3">
      <c r="I518"/>
      <c r="J518"/>
      <c r="K518"/>
      <c r="L518"/>
      <c r="M518"/>
      <c r="N518"/>
    </row>
    <row r="519" spans="9:14" ht="14.4" x14ac:dyDescent="0.3">
      <c r="I519"/>
      <c r="J519"/>
      <c r="K519"/>
      <c r="L519"/>
      <c r="M519"/>
      <c r="N519"/>
    </row>
    <row r="520" spans="9:14" ht="14.4" x14ac:dyDescent="0.3">
      <c r="I520"/>
      <c r="J520"/>
      <c r="K520"/>
      <c r="L520"/>
      <c r="M520"/>
      <c r="N520"/>
    </row>
    <row r="521" spans="9:14" ht="14.4" x14ac:dyDescent="0.3">
      <c r="I521"/>
      <c r="J521"/>
      <c r="K521"/>
      <c r="L521"/>
      <c r="M521"/>
      <c r="N521"/>
    </row>
    <row r="522" spans="9:14" ht="14.4" x14ac:dyDescent="0.3">
      <c r="I522"/>
      <c r="J522"/>
      <c r="K522"/>
      <c r="L522"/>
      <c r="M522"/>
      <c r="N522"/>
    </row>
    <row r="523" spans="9:14" ht="14.4" x14ac:dyDescent="0.3">
      <c r="I523"/>
      <c r="J523"/>
      <c r="K523"/>
      <c r="L523"/>
      <c r="M523"/>
      <c r="N523"/>
    </row>
    <row r="524" spans="9:14" ht="14.4" x14ac:dyDescent="0.3">
      <c r="I524"/>
      <c r="J524"/>
      <c r="K524"/>
      <c r="L524"/>
      <c r="M524"/>
      <c r="N524"/>
    </row>
    <row r="525" spans="9:14" ht="14.4" x14ac:dyDescent="0.3">
      <c r="I525"/>
      <c r="J525"/>
      <c r="K525"/>
      <c r="L525"/>
      <c r="M525"/>
      <c r="N525"/>
    </row>
    <row r="526" spans="9:14" ht="14.4" x14ac:dyDescent="0.3">
      <c r="I526"/>
      <c r="J526"/>
      <c r="K526"/>
      <c r="L526"/>
      <c r="M526"/>
      <c r="N526"/>
    </row>
    <row r="527" spans="9:14" ht="14.4" x14ac:dyDescent="0.3">
      <c r="I527"/>
      <c r="J527"/>
      <c r="K527"/>
      <c r="L527"/>
      <c r="M527"/>
      <c r="N527"/>
    </row>
    <row r="528" spans="9:14" ht="14.4" x14ac:dyDescent="0.3">
      <c r="I528"/>
      <c r="J528"/>
      <c r="K528"/>
      <c r="L528"/>
      <c r="M528"/>
      <c r="N528"/>
    </row>
    <row r="529" spans="9:14" ht="14.4" x14ac:dyDescent="0.3">
      <c r="I529"/>
      <c r="J529"/>
      <c r="K529"/>
      <c r="L529"/>
      <c r="M529"/>
      <c r="N529"/>
    </row>
    <row r="530" spans="9:14" ht="14.4" x14ac:dyDescent="0.3">
      <c r="I530"/>
      <c r="J530"/>
      <c r="K530"/>
      <c r="L530"/>
      <c r="M530"/>
      <c r="N530"/>
    </row>
    <row r="531" spans="9:14" ht="14.4" x14ac:dyDescent="0.3">
      <c r="I531"/>
      <c r="J531"/>
      <c r="K531"/>
      <c r="L531"/>
      <c r="M531"/>
      <c r="N531"/>
    </row>
    <row r="532" spans="9:14" ht="14.4" x14ac:dyDescent="0.3">
      <c r="I532"/>
      <c r="J532"/>
      <c r="K532"/>
      <c r="L532"/>
      <c r="M532"/>
      <c r="N532"/>
    </row>
    <row r="533" spans="9:14" ht="14.4" x14ac:dyDescent="0.3">
      <c r="I533"/>
      <c r="J533"/>
      <c r="K533"/>
      <c r="L533"/>
      <c r="M533"/>
      <c r="N533"/>
    </row>
    <row r="534" spans="9:14" ht="14.4" x14ac:dyDescent="0.3">
      <c r="I534"/>
      <c r="J534"/>
      <c r="K534"/>
      <c r="L534"/>
      <c r="M534"/>
      <c r="N534"/>
    </row>
    <row r="535" spans="9:14" ht="14.4" x14ac:dyDescent="0.3">
      <c r="I535"/>
      <c r="J535"/>
      <c r="K535"/>
      <c r="L535"/>
      <c r="M535"/>
      <c r="N535"/>
    </row>
    <row r="536" spans="9:14" ht="14.4" x14ac:dyDescent="0.3">
      <c r="I536"/>
      <c r="J536"/>
      <c r="K536"/>
      <c r="L536"/>
      <c r="M536"/>
      <c r="N536"/>
    </row>
    <row r="537" spans="9:14" ht="14.4" x14ac:dyDescent="0.3">
      <c r="I537"/>
      <c r="J537"/>
      <c r="K537"/>
      <c r="L537"/>
      <c r="M537"/>
      <c r="N537"/>
    </row>
    <row r="538" spans="9:14" ht="14.4" x14ac:dyDescent="0.3">
      <c r="I538"/>
      <c r="J538"/>
      <c r="K538"/>
      <c r="L538"/>
      <c r="M538"/>
      <c r="N538"/>
    </row>
    <row r="539" spans="9:14" ht="14.4" x14ac:dyDescent="0.3">
      <c r="I539"/>
      <c r="J539"/>
      <c r="K539"/>
      <c r="L539"/>
      <c r="M539"/>
      <c r="N539"/>
    </row>
    <row r="540" spans="9:14" ht="14.4" x14ac:dyDescent="0.3">
      <c r="I540"/>
      <c r="J540"/>
      <c r="K540"/>
      <c r="L540"/>
      <c r="M540"/>
      <c r="N540"/>
    </row>
    <row r="541" spans="9:14" ht="14.4" x14ac:dyDescent="0.3">
      <c r="I541"/>
      <c r="J541"/>
      <c r="K541"/>
      <c r="L541"/>
      <c r="M541"/>
      <c r="N541"/>
    </row>
    <row r="542" spans="9:14" ht="14.4" x14ac:dyDescent="0.3">
      <c r="I542"/>
      <c r="J542"/>
      <c r="K542"/>
      <c r="L542"/>
      <c r="M542"/>
      <c r="N542"/>
    </row>
    <row r="543" spans="9:14" ht="14.4" x14ac:dyDescent="0.3">
      <c r="I543"/>
      <c r="J543"/>
      <c r="K543"/>
      <c r="L543"/>
      <c r="M543"/>
      <c r="N543"/>
    </row>
    <row r="544" spans="9:14" ht="14.4" x14ac:dyDescent="0.3">
      <c r="I544"/>
      <c r="J544"/>
      <c r="K544"/>
      <c r="L544"/>
      <c r="M544"/>
      <c r="N544"/>
    </row>
    <row r="545" spans="9:14" ht="14.4" x14ac:dyDescent="0.3">
      <c r="I545"/>
      <c r="J545"/>
      <c r="K545"/>
      <c r="L545"/>
      <c r="M545"/>
      <c r="N545"/>
    </row>
    <row r="546" spans="9:14" ht="14.4" x14ac:dyDescent="0.3">
      <c r="I546"/>
      <c r="J546"/>
      <c r="K546"/>
      <c r="L546"/>
      <c r="M546"/>
      <c r="N546"/>
    </row>
    <row r="547" spans="9:14" ht="14.4" x14ac:dyDescent="0.3">
      <c r="I547"/>
      <c r="J547"/>
      <c r="K547"/>
      <c r="L547"/>
      <c r="M547"/>
      <c r="N547"/>
    </row>
    <row r="548" spans="9:14" ht="14.4" x14ac:dyDescent="0.3">
      <c r="I548"/>
      <c r="J548"/>
      <c r="K548"/>
      <c r="L548"/>
      <c r="M548"/>
      <c r="N548"/>
    </row>
    <row r="549" spans="9:14" ht="14.4" x14ac:dyDescent="0.3">
      <c r="I549"/>
      <c r="J549"/>
      <c r="K549"/>
      <c r="L549"/>
      <c r="M549"/>
      <c r="N549"/>
    </row>
    <row r="550" spans="9:14" ht="14.4" x14ac:dyDescent="0.3">
      <c r="I550"/>
      <c r="J550"/>
      <c r="K550"/>
      <c r="L550"/>
      <c r="M550"/>
      <c r="N550"/>
    </row>
    <row r="551" spans="9:14" ht="14.4" x14ac:dyDescent="0.3">
      <c r="I551"/>
      <c r="J551"/>
      <c r="K551"/>
      <c r="L551"/>
      <c r="M551"/>
      <c r="N551"/>
    </row>
    <row r="552" spans="9:14" ht="14.4" x14ac:dyDescent="0.3">
      <c r="I552"/>
      <c r="J552"/>
      <c r="K552"/>
      <c r="L552"/>
      <c r="M552"/>
      <c r="N552"/>
    </row>
    <row r="553" spans="9:14" ht="14.4" x14ac:dyDescent="0.3">
      <c r="I553"/>
      <c r="J553"/>
      <c r="K553"/>
      <c r="L553"/>
      <c r="M553"/>
      <c r="N553"/>
    </row>
    <row r="554" spans="9:14" ht="14.4" x14ac:dyDescent="0.3">
      <c r="I554"/>
      <c r="J554"/>
      <c r="K554"/>
      <c r="L554"/>
      <c r="M554"/>
      <c r="N554"/>
    </row>
    <row r="555" spans="9:14" ht="14.4" x14ac:dyDescent="0.3">
      <c r="I555"/>
      <c r="J555"/>
      <c r="K555"/>
      <c r="L555"/>
      <c r="M555"/>
      <c r="N555"/>
    </row>
    <row r="556" spans="9:14" ht="14.4" x14ac:dyDescent="0.3">
      <c r="I556"/>
      <c r="J556"/>
      <c r="K556"/>
      <c r="L556"/>
      <c r="M556"/>
      <c r="N556"/>
    </row>
    <row r="557" spans="9:14" ht="14.4" x14ac:dyDescent="0.3">
      <c r="I557"/>
      <c r="J557"/>
      <c r="K557"/>
      <c r="L557"/>
      <c r="M557"/>
      <c r="N557"/>
    </row>
    <row r="558" spans="9:14" ht="14.4" x14ac:dyDescent="0.3">
      <c r="I558"/>
      <c r="J558"/>
      <c r="K558"/>
      <c r="L558"/>
      <c r="M558"/>
      <c r="N558"/>
    </row>
    <row r="559" spans="9:14" ht="14.4" x14ac:dyDescent="0.3">
      <c r="I559"/>
      <c r="J559"/>
      <c r="K559"/>
      <c r="L559"/>
      <c r="M559"/>
      <c r="N559"/>
    </row>
    <row r="560" spans="9:14" ht="14.4" x14ac:dyDescent="0.3">
      <c r="I560"/>
      <c r="J560"/>
      <c r="K560"/>
      <c r="L560"/>
      <c r="M560"/>
      <c r="N560"/>
    </row>
    <row r="561" spans="9:14" ht="14.4" x14ac:dyDescent="0.3">
      <c r="I561"/>
      <c r="J561"/>
      <c r="K561"/>
      <c r="L561"/>
      <c r="M561"/>
      <c r="N561"/>
    </row>
    <row r="562" spans="9:14" ht="14.4" x14ac:dyDescent="0.3">
      <c r="I562"/>
      <c r="J562"/>
      <c r="K562"/>
      <c r="L562"/>
      <c r="M562"/>
      <c r="N562"/>
    </row>
    <row r="563" spans="9:14" ht="14.4" x14ac:dyDescent="0.3">
      <c r="I563"/>
      <c r="J563"/>
      <c r="K563"/>
      <c r="L563"/>
      <c r="M563"/>
      <c r="N563"/>
    </row>
    <row r="564" spans="9:14" ht="14.4" x14ac:dyDescent="0.3">
      <c r="I564"/>
      <c r="J564"/>
      <c r="K564"/>
      <c r="L564"/>
      <c r="M564"/>
      <c r="N564"/>
    </row>
    <row r="565" spans="9:14" ht="14.4" x14ac:dyDescent="0.3">
      <c r="I565"/>
      <c r="J565"/>
      <c r="K565"/>
      <c r="L565"/>
      <c r="M565"/>
      <c r="N565"/>
    </row>
    <row r="566" spans="9:14" ht="14.4" x14ac:dyDescent="0.3">
      <c r="I566"/>
      <c r="J566"/>
      <c r="K566"/>
      <c r="L566"/>
      <c r="M566"/>
      <c r="N566"/>
    </row>
    <row r="567" spans="9:14" ht="14.4" x14ac:dyDescent="0.3">
      <c r="I567"/>
      <c r="J567"/>
      <c r="K567"/>
      <c r="L567"/>
      <c r="M567"/>
      <c r="N567"/>
    </row>
    <row r="568" spans="9:14" ht="14.4" x14ac:dyDescent="0.3">
      <c r="I568"/>
      <c r="J568"/>
      <c r="K568"/>
      <c r="L568"/>
      <c r="M568"/>
      <c r="N568"/>
    </row>
    <row r="569" spans="9:14" ht="14.4" x14ac:dyDescent="0.3">
      <c r="I569"/>
      <c r="J569"/>
      <c r="K569"/>
      <c r="L569"/>
      <c r="M569"/>
      <c r="N569"/>
    </row>
    <row r="570" spans="9:14" ht="14.4" x14ac:dyDescent="0.3">
      <c r="I570"/>
      <c r="J570"/>
      <c r="K570"/>
      <c r="L570"/>
      <c r="M570"/>
      <c r="N570"/>
    </row>
    <row r="571" spans="9:14" ht="14.4" x14ac:dyDescent="0.3">
      <c r="I571"/>
      <c r="J571"/>
      <c r="K571"/>
      <c r="L571"/>
      <c r="M571"/>
      <c r="N571"/>
    </row>
    <row r="572" spans="9:14" ht="14.4" x14ac:dyDescent="0.3">
      <c r="I572"/>
      <c r="J572"/>
      <c r="K572"/>
      <c r="L572"/>
      <c r="M572"/>
      <c r="N572"/>
    </row>
    <row r="573" spans="9:14" ht="14.4" x14ac:dyDescent="0.3">
      <c r="I573"/>
      <c r="J573"/>
      <c r="K573"/>
      <c r="L573"/>
      <c r="M573"/>
      <c r="N573"/>
    </row>
    <row r="574" spans="9:14" ht="14.4" x14ac:dyDescent="0.3">
      <c r="I574"/>
      <c r="J574"/>
      <c r="K574"/>
      <c r="L574"/>
      <c r="M574"/>
      <c r="N574"/>
    </row>
    <row r="575" spans="9:14" ht="14.4" x14ac:dyDescent="0.3">
      <c r="I575"/>
      <c r="J575"/>
      <c r="K575"/>
      <c r="L575"/>
      <c r="M575"/>
      <c r="N575"/>
    </row>
    <row r="576" spans="9:14" ht="14.4" x14ac:dyDescent="0.3">
      <c r="I576"/>
      <c r="J576"/>
      <c r="K576"/>
      <c r="L576"/>
      <c r="M576"/>
      <c r="N576"/>
    </row>
    <row r="577" spans="9:14" ht="14.4" x14ac:dyDescent="0.3">
      <c r="I577"/>
      <c r="J577"/>
      <c r="K577"/>
      <c r="L577"/>
      <c r="M577"/>
      <c r="N577"/>
    </row>
    <row r="578" spans="9:14" ht="14.4" x14ac:dyDescent="0.3">
      <c r="I578"/>
      <c r="J578"/>
      <c r="K578"/>
      <c r="L578"/>
      <c r="M578"/>
      <c r="N578"/>
    </row>
    <row r="579" spans="9:14" ht="14.4" x14ac:dyDescent="0.3">
      <c r="I579"/>
      <c r="J579"/>
      <c r="K579"/>
      <c r="L579"/>
      <c r="M579"/>
      <c r="N579"/>
    </row>
    <row r="580" spans="9:14" ht="14.4" x14ac:dyDescent="0.3">
      <c r="I580"/>
      <c r="J580"/>
      <c r="K580"/>
      <c r="L580"/>
      <c r="M580"/>
      <c r="N580"/>
    </row>
    <row r="581" spans="9:14" ht="14.4" x14ac:dyDescent="0.3">
      <c r="I581"/>
      <c r="J581"/>
      <c r="K581"/>
      <c r="L581"/>
      <c r="M581"/>
      <c r="N581"/>
    </row>
    <row r="582" spans="9:14" ht="14.4" x14ac:dyDescent="0.3">
      <c r="I582"/>
      <c r="J582"/>
      <c r="K582"/>
      <c r="L582"/>
      <c r="M582"/>
      <c r="N582"/>
    </row>
    <row r="583" spans="9:14" ht="14.4" x14ac:dyDescent="0.3">
      <c r="I583"/>
      <c r="J583"/>
      <c r="K583"/>
      <c r="L583"/>
      <c r="M583"/>
      <c r="N583"/>
    </row>
    <row r="584" spans="9:14" ht="14.4" x14ac:dyDescent="0.3">
      <c r="I584"/>
      <c r="J584"/>
      <c r="K584"/>
      <c r="L584"/>
      <c r="M584"/>
      <c r="N584"/>
    </row>
    <row r="585" spans="9:14" ht="14.4" x14ac:dyDescent="0.3">
      <c r="I585"/>
      <c r="J585"/>
      <c r="K585"/>
      <c r="L585"/>
      <c r="M585"/>
      <c r="N585"/>
    </row>
    <row r="586" spans="9:14" ht="14.4" x14ac:dyDescent="0.3">
      <c r="I586"/>
      <c r="J586"/>
      <c r="K586"/>
      <c r="L586"/>
      <c r="M586"/>
      <c r="N586"/>
    </row>
    <row r="587" spans="9:14" ht="14.4" x14ac:dyDescent="0.3">
      <c r="I587"/>
      <c r="J587"/>
      <c r="K587"/>
      <c r="L587"/>
      <c r="M587"/>
      <c r="N587"/>
    </row>
    <row r="588" spans="9:14" ht="14.4" x14ac:dyDescent="0.3">
      <c r="I588"/>
      <c r="J588"/>
      <c r="K588"/>
      <c r="L588"/>
      <c r="M588"/>
      <c r="N588"/>
    </row>
    <row r="589" spans="9:14" ht="14.4" x14ac:dyDescent="0.3">
      <c r="I589"/>
      <c r="J589"/>
      <c r="K589"/>
      <c r="L589"/>
      <c r="M589"/>
      <c r="N589"/>
    </row>
    <row r="590" spans="9:14" ht="14.4" x14ac:dyDescent="0.3">
      <c r="I590"/>
      <c r="J590"/>
      <c r="K590"/>
      <c r="L590"/>
      <c r="M590"/>
      <c r="N590"/>
    </row>
    <row r="591" spans="9:14" ht="14.4" x14ac:dyDescent="0.3">
      <c r="I591"/>
      <c r="J591"/>
      <c r="K591"/>
      <c r="L591"/>
      <c r="M591"/>
      <c r="N591"/>
    </row>
    <row r="592" spans="9:14" ht="14.4" x14ac:dyDescent="0.3">
      <c r="I592"/>
      <c r="J592"/>
      <c r="K592"/>
      <c r="L592"/>
      <c r="M592"/>
      <c r="N592"/>
    </row>
    <row r="593" spans="9:14" ht="14.4" x14ac:dyDescent="0.3">
      <c r="I593"/>
      <c r="J593"/>
      <c r="K593"/>
      <c r="L593"/>
      <c r="M593"/>
      <c r="N593"/>
    </row>
    <row r="594" spans="9:14" ht="14.4" x14ac:dyDescent="0.3">
      <c r="I594"/>
      <c r="J594"/>
      <c r="K594"/>
      <c r="L594"/>
      <c r="M594"/>
      <c r="N594"/>
    </row>
    <row r="595" spans="9:14" ht="14.4" x14ac:dyDescent="0.3">
      <c r="I595"/>
      <c r="J595"/>
      <c r="K595"/>
      <c r="L595"/>
      <c r="M595"/>
      <c r="N595"/>
    </row>
    <row r="596" spans="9:14" ht="14.4" x14ac:dyDescent="0.3">
      <c r="I596"/>
      <c r="J596"/>
      <c r="K596"/>
      <c r="L596"/>
      <c r="M596"/>
      <c r="N596"/>
    </row>
    <row r="597" spans="9:14" ht="14.4" x14ac:dyDescent="0.3">
      <c r="I597"/>
      <c r="J597"/>
      <c r="K597"/>
      <c r="L597"/>
      <c r="M597"/>
      <c r="N597"/>
    </row>
    <row r="598" spans="9:14" ht="14.4" x14ac:dyDescent="0.3">
      <c r="I598"/>
      <c r="J598"/>
      <c r="K598"/>
      <c r="L598"/>
      <c r="M598"/>
      <c r="N598"/>
    </row>
    <row r="599" spans="9:14" ht="14.4" x14ac:dyDescent="0.3">
      <c r="I599"/>
      <c r="J599"/>
      <c r="K599"/>
      <c r="L599"/>
      <c r="M599"/>
      <c r="N599"/>
    </row>
    <row r="600" spans="9:14" ht="14.4" x14ac:dyDescent="0.3">
      <c r="I600"/>
      <c r="J600"/>
      <c r="K600"/>
      <c r="L600"/>
      <c r="M600"/>
      <c r="N600"/>
    </row>
    <row r="601" spans="9:14" ht="14.4" x14ac:dyDescent="0.3">
      <c r="I601"/>
      <c r="J601"/>
      <c r="K601"/>
      <c r="L601"/>
      <c r="M601"/>
      <c r="N601"/>
    </row>
    <row r="602" spans="9:14" ht="14.4" x14ac:dyDescent="0.3">
      <c r="I602"/>
      <c r="J602"/>
      <c r="K602"/>
      <c r="L602"/>
      <c r="M602"/>
      <c r="N602"/>
    </row>
    <row r="603" spans="9:14" ht="14.4" x14ac:dyDescent="0.3">
      <c r="I603"/>
      <c r="J603"/>
      <c r="K603"/>
      <c r="L603"/>
      <c r="M603"/>
      <c r="N603"/>
    </row>
    <row r="604" spans="9:14" ht="14.4" x14ac:dyDescent="0.3">
      <c r="I604"/>
      <c r="J604"/>
      <c r="K604"/>
      <c r="L604"/>
      <c r="M604"/>
      <c r="N604"/>
    </row>
    <row r="605" spans="9:14" ht="14.4" x14ac:dyDescent="0.3">
      <c r="I605"/>
      <c r="J605"/>
      <c r="K605"/>
      <c r="L605"/>
      <c r="M605"/>
      <c r="N605"/>
    </row>
    <row r="606" spans="9:14" ht="14.4" x14ac:dyDescent="0.3">
      <c r="I606"/>
      <c r="J606"/>
      <c r="K606"/>
      <c r="L606"/>
      <c r="M606"/>
      <c r="N606"/>
    </row>
    <row r="607" spans="9:14" ht="14.4" x14ac:dyDescent="0.3">
      <c r="I607"/>
      <c r="J607"/>
      <c r="K607"/>
      <c r="L607"/>
      <c r="M607"/>
      <c r="N607"/>
    </row>
    <row r="608" spans="9:14" ht="14.4" x14ac:dyDescent="0.3">
      <c r="I608"/>
      <c r="J608"/>
      <c r="K608"/>
      <c r="L608"/>
      <c r="M608"/>
      <c r="N608"/>
    </row>
    <row r="609" spans="9:14" ht="14.4" x14ac:dyDescent="0.3">
      <c r="I609"/>
      <c r="J609"/>
      <c r="K609"/>
      <c r="L609"/>
      <c r="M609"/>
      <c r="N609"/>
    </row>
    <row r="610" spans="9:14" ht="14.4" x14ac:dyDescent="0.3">
      <c r="I610"/>
      <c r="J610"/>
      <c r="K610"/>
      <c r="L610"/>
      <c r="M610"/>
      <c r="N610"/>
    </row>
    <row r="611" spans="9:14" ht="14.4" x14ac:dyDescent="0.3">
      <c r="I611"/>
      <c r="J611"/>
      <c r="K611"/>
      <c r="L611"/>
      <c r="M611"/>
      <c r="N611"/>
    </row>
    <row r="612" spans="9:14" ht="14.4" x14ac:dyDescent="0.3">
      <c r="I612"/>
      <c r="J612"/>
      <c r="K612"/>
      <c r="L612"/>
      <c r="M612"/>
      <c r="N612"/>
    </row>
    <row r="613" spans="9:14" ht="14.4" x14ac:dyDescent="0.3">
      <c r="I613"/>
      <c r="J613"/>
      <c r="K613"/>
      <c r="L613"/>
      <c r="M613"/>
      <c r="N613"/>
    </row>
    <row r="614" spans="9:14" ht="14.4" x14ac:dyDescent="0.3">
      <c r="I614"/>
      <c r="J614"/>
      <c r="K614"/>
      <c r="L614"/>
      <c r="M614"/>
      <c r="N614"/>
    </row>
    <row r="615" spans="9:14" ht="14.4" x14ac:dyDescent="0.3">
      <c r="I615"/>
      <c r="J615"/>
      <c r="K615"/>
      <c r="L615"/>
      <c r="M615"/>
      <c r="N615"/>
    </row>
    <row r="616" spans="9:14" ht="14.4" x14ac:dyDescent="0.3">
      <c r="I616"/>
      <c r="J616"/>
      <c r="K616"/>
      <c r="L616"/>
      <c r="M616"/>
      <c r="N616"/>
    </row>
    <row r="617" spans="9:14" ht="14.4" x14ac:dyDescent="0.3">
      <c r="I617"/>
      <c r="J617"/>
      <c r="K617"/>
      <c r="L617"/>
      <c r="M617"/>
      <c r="N617"/>
    </row>
    <row r="618" spans="9:14" ht="14.4" x14ac:dyDescent="0.3">
      <c r="I618"/>
      <c r="J618"/>
      <c r="K618"/>
      <c r="L618"/>
      <c r="M618"/>
      <c r="N618"/>
    </row>
    <row r="619" spans="9:14" ht="14.4" x14ac:dyDescent="0.3">
      <c r="I619"/>
      <c r="J619"/>
      <c r="K619"/>
      <c r="L619"/>
      <c r="M619"/>
      <c r="N619"/>
    </row>
    <row r="620" spans="9:14" ht="14.4" x14ac:dyDescent="0.3">
      <c r="I620"/>
      <c r="J620"/>
      <c r="K620"/>
      <c r="L620"/>
      <c r="M620"/>
      <c r="N620"/>
    </row>
    <row r="621" spans="9:14" ht="14.4" x14ac:dyDescent="0.3">
      <c r="I621"/>
      <c r="J621"/>
      <c r="K621"/>
      <c r="L621"/>
      <c r="M621"/>
      <c r="N621"/>
    </row>
    <row r="622" spans="9:14" ht="14.4" x14ac:dyDescent="0.3">
      <c r="I622"/>
      <c r="J622"/>
      <c r="K622"/>
      <c r="L622"/>
      <c r="M622"/>
      <c r="N622"/>
    </row>
    <row r="623" spans="9:14" ht="14.4" x14ac:dyDescent="0.3">
      <c r="I623"/>
      <c r="J623"/>
      <c r="K623"/>
      <c r="L623"/>
      <c r="M623"/>
      <c r="N623"/>
    </row>
    <row r="624" spans="9:14" ht="14.4" x14ac:dyDescent="0.3">
      <c r="I624"/>
      <c r="J624"/>
      <c r="K624"/>
      <c r="L624"/>
      <c r="M624"/>
      <c r="N624"/>
    </row>
    <row r="625" spans="9:14" ht="14.4" x14ac:dyDescent="0.3">
      <c r="I625"/>
      <c r="J625"/>
      <c r="K625"/>
      <c r="L625"/>
      <c r="M625"/>
      <c r="N625"/>
    </row>
    <row r="626" spans="9:14" ht="14.4" x14ac:dyDescent="0.3">
      <c r="I626"/>
      <c r="J626"/>
      <c r="K626"/>
      <c r="L626"/>
      <c r="M626"/>
      <c r="N626"/>
    </row>
    <row r="627" spans="9:14" ht="14.4" x14ac:dyDescent="0.3">
      <c r="I627"/>
      <c r="J627"/>
      <c r="K627"/>
      <c r="L627"/>
      <c r="M627"/>
      <c r="N627"/>
    </row>
    <row r="628" spans="9:14" ht="14.4" x14ac:dyDescent="0.3">
      <c r="I628"/>
      <c r="J628"/>
      <c r="K628"/>
      <c r="L628"/>
      <c r="M628"/>
      <c r="N628"/>
    </row>
    <row r="629" spans="9:14" ht="14.4" x14ac:dyDescent="0.3">
      <c r="I629"/>
      <c r="J629"/>
      <c r="K629"/>
      <c r="L629"/>
      <c r="M629"/>
      <c r="N629"/>
    </row>
    <row r="630" spans="9:14" ht="14.4" x14ac:dyDescent="0.3">
      <c r="I630"/>
      <c r="J630"/>
      <c r="K630"/>
      <c r="L630"/>
      <c r="M630"/>
      <c r="N630"/>
    </row>
    <row r="631" spans="9:14" ht="14.4" x14ac:dyDescent="0.3">
      <c r="I631"/>
      <c r="J631"/>
      <c r="K631"/>
      <c r="L631"/>
      <c r="M631"/>
      <c r="N631"/>
    </row>
    <row r="632" spans="9:14" ht="14.4" x14ac:dyDescent="0.3">
      <c r="I632"/>
      <c r="J632"/>
      <c r="K632"/>
      <c r="L632"/>
      <c r="M632"/>
      <c r="N632"/>
    </row>
    <row r="633" spans="9:14" ht="14.4" x14ac:dyDescent="0.3">
      <c r="I633"/>
      <c r="J633"/>
      <c r="K633"/>
      <c r="L633"/>
      <c r="M633"/>
      <c r="N633"/>
    </row>
    <row r="634" spans="9:14" ht="14.4" x14ac:dyDescent="0.3">
      <c r="I634"/>
      <c r="J634"/>
      <c r="K634"/>
      <c r="L634"/>
      <c r="M634"/>
      <c r="N634"/>
    </row>
    <row r="635" spans="9:14" ht="14.4" x14ac:dyDescent="0.3">
      <c r="I635"/>
      <c r="J635"/>
      <c r="K635"/>
      <c r="L635"/>
      <c r="M635"/>
      <c r="N635"/>
    </row>
    <row r="636" spans="9:14" ht="14.4" x14ac:dyDescent="0.3">
      <c r="I636"/>
      <c r="J636"/>
      <c r="K636"/>
      <c r="L636"/>
      <c r="M636"/>
      <c r="N636"/>
    </row>
    <row r="637" spans="9:14" ht="14.4" x14ac:dyDescent="0.3">
      <c r="I637"/>
      <c r="J637"/>
      <c r="K637"/>
      <c r="L637"/>
      <c r="M637"/>
      <c r="N637"/>
    </row>
    <row r="638" spans="9:14" ht="14.4" x14ac:dyDescent="0.3">
      <c r="I638"/>
      <c r="J638"/>
      <c r="K638"/>
      <c r="L638"/>
      <c r="M638"/>
      <c r="N638"/>
    </row>
    <row r="639" spans="9:14" ht="14.4" x14ac:dyDescent="0.3">
      <c r="I639"/>
      <c r="J639"/>
      <c r="K639"/>
      <c r="L639"/>
      <c r="M639"/>
      <c r="N639"/>
    </row>
    <row r="640" spans="9:14" ht="14.4" x14ac:dyDescent="0.3">
      <c r="I640"/>
      <c r="J640"/>
      <c r="K640"/>
      <c r="L640"/>
      <c r="M640"/>
      <c r="N640"/>
    </row>
    <row r="641" spans="9:14" ht="14.4" x14ac:dyDescent="0.3">
      <c r="I641"/>
      <c r="J641"/>
      <c r="K641"/>
      <c r="L641"/>
      <c r="M641"/>
      <c r="N641"/>
    </row>
    <row r="642" spans="9:14" ht="14.4" x14ac:dyDescent="0.3">
      <c r="I642"/>
      <c r="J642"/>
      <c r="K642"/>
      <c r="L642"/>
      <c r="M642"/>
      <c r="N642"/>
    </row>
    <row r="643" spans="9:14" ht="14.4" x14ac:dyDescent="0.3">
      <c r="I643"/>
      <c r="J643"/>
      <c r="K643"/>
      <c r="L643"/>
      <c r="M643"/>
      <c r="N643"/>
    </row>
    <row r="644" spans="9:14" ht="14.4" x14ac:dyDescent="0.3">
      <c r="I644"/>
      <c r="J644"/>
      <c r="K644"/>
      <c r="L644"/>
      <c r="M644"/>
      <c r="N644"/>
    </row>
    <row r="645" spans="9:14" ht="14.4" x14ac:dyDescent="0.3">
      <c r="I645"/>
      <c r="J645"/>
      <c r="K645"/>
      <c r="L645"/>
      <c r="M645"/>
      <c r="N645"/>
    </row>
    <row r="646" spans="9:14" ht="14.4" x14ac:dyDescent="0.3">
      <c r="I646"/>
      <c r="J646"/>
      <c r="K646"/>
      <c r="L646"/>
      <c r="M646"/>
      <c r="N646"/>
    </row>
    <row r="647" spans="9:14" ht="14.4" x14ac:dyDescent="0.3">
      <c r="I647"/>
      <c r="J647"/>
      <c r="K647"/>
      <c r="L647"/>
      <c r="M647"/>
      <c r="N647"/>
    </row>
    <row r="648" spans="9:14" ht="14.4" x14ac:dyDescent="0.3">
      <c r="I648"/>
      <c r="J648"/>
      <c r="K648"/>
      <c r="L648"/>
      <c r="M648"/>
      <c r="N648"/>
    </row>
    <row r="649" spans="9:14" ht="14.4" x14ac:dyDescent="0.3">
      <c r="I649"/>
      <c r="J649"/>
      <c r="K649"/>
      <c r="L649"/>
      <c r="M649"/>
      <c r="N649"/>
    </row>
    <row r="650" spans="9:14" ht="14.4" x14ac:dyDescent="0.3">
      <c r="I650"/>
      <c r="J650"/>
      <c r="K650"/>
      <c r="L650"/>
      <c r="M650"/>
      <c r="N650"/>
    </row>
    <row r="651" spans="9:14" ht="14.4" x14ac:dyDescent="0.3">
      <c r="I651"/>
      <c r="J651"/>
      <c r="K651"/>
      <c r="L651"/>
      <c r="M651"/>
      <c r="N651"/>
    </row>
    <row r="652" spans="9:14" ht="14.4" x14ac:dyDescent="0.3">
      <c r="I652"/>
      <c r="J652"/>
      <c r="K652"/>
      <c r="L652"/>
      <c r="M652"/>
      <c r="N652"/>
    </row>
    <row r="653" spans="9:14" ht="14.4" x14ac:dyDescent="0.3">
      <c r="I653"/>
      <c r="J653"/>
      <c r="K653"/>
      <c r="L653"/>
      <c r="M653"/>
      <c r="N653"/>
    </row>
    <row r="654" spans="9:14" ht="14.4" x14ac:dyDescent="0.3">
      <c r="I654"/>
      <c r="J654"/>
      <c r="K654"/>
      <c r="L654"/>
      <c r="M654"/>
      <c r="N654"/>
    </row>
    <row r="655" spans="9:14" ht="14.4" x14ac:dyDescent="0.3">
      <c r="I655"/>
      <c r="J655"/>
      <c r="K655"/>
      <c r="L655"/>
      <c r="M655"/>
      <c r="N655"/>
    </row>
    <row r="656" spans="9:14" ht="14.4" x14ac:dyDescent="0.3">
      <c r="I656"/>
      <c r="J656"/>
      <c r="K656"/>
      <c r="L656"/>
      <c r="M656"/>
      <c r="N656"/>
    </row>
    <row r="657" spans="9:14" ht="14.4" x14ac:dyDescent="0.3">
      <c r="I657"/>
      <c r="J657"/>
      <c r="K657"/>
      <c r="L657"/>
      <c r="M657"/>
      <c r="N657"/>
    </row>
    <row r="658" spans="9:14" ht="14.4" x14ac:dyDescent="0.3">
      <c r="I658"/>
      <c r="J658"/>
      <c r="K658"/>
      <c r="L658"/>
      <c r="M658"/>
      <c r="N658"/>
    </row>
    <row r="659" spans="9:14" ht="14.4" x14ac:dyDescent="0.3">
      <c r="I659"/>
      <c r="J659"/>
      <c r="K659"/>
      <c r="L659"/>
      <c r="M659"/>
      <c r="N659"/>
    </row>
    <row r="660" spans="9:14" ht="14.4" x14ac:dyDescent="0.3">
      <c r="I660"/>
      <c r="J660"/>
      <c r="K660"/>
      <c r="L660"/>
      <c r="M660"/>
      <c r="N660"/>
    </row>
    <row r="661" spans="9:14" ht="14.4" x14ac:dyDescent="0.3">
      <c r="I661"/>
      <c r="J661"/>
      <c r="K661"/>
      <c r="L661"/>
      <c r="M661"/>
      <c r="N661"/>
    </row>
    <row r="662" spans="9:14" ht="14.4" x14ac:dyDescent="0.3">
      <c r="I662"/>
      <c r="J662"/>
      <c r="K662"/>
      <c r="L662"/>
      <c r="M662"/>
      <c r="N662"/>
    </row>
    <row r="663" spans="9:14" ht="14.4" x14ac:dyDescent="0.3">
      <c r="I663"/>
      <c r="J663"/>
      <c r="K663"/>
      <c r="L663"/>
      <c r="M663"/>
      <c r="N663"/>
    </row>
    <row r="664" spans="9:14" ht="14.4" x14ac:dyDescent="0.3">
      <c r="I664"/>
      <c r="J664"/>
      <c r="K664"/>
      <c r="L664"/>
      <c r="M664"/>
      <c r="N664"/>
    </row>
    <row r="665" spans="9:14" ht="14.4" x14ac:dyDescent="0.3">
      <c r="I665"/>
      <c r="J665"/>
      <c r="K665"/>
      <c r="L665"/>
      <c r="M665"/>
      <c r="N665"/>
    </row>
    <row r="666" spans="9:14" ht="14.4" x14ac:dyDescent="0.3">
      <c r="I666"/>
      <c r="J666"/>
      <c r="K666"/>
      <c r="L666"/>
      <c r="M666"/>
      <c r="N666"/>
    </row>
    <row r="667" spans="9:14" ht="14.4" x14ac:dyDescent="0.3">
      <c r="I667"/>
      <c r="J667"/>
      <c r="K667"/>
      <c r="L667"/>
      <c r="M667"/>
      <c r="N667"/>
    </row>
    <row r="668" spans="9:14" ht="14.4" x14ac:dyDescent="0.3">
      <c r="I668"/>
      <c r="J668"/>
      <c r="K668"/>
      <c r="L668"/>
      <c r="M668"/>
      <c r="N668"/>
    </row>
    <row r="669" spans="9:14" ht="14.4" x14ac:dyDescent="0.3">
      <c r="I669"/>
      <c r="J669"/>
      <c r="K669"/>
      <c r="L669"/>
      <c r="M669"/>
      <c r="N669"/>
    </row>
    <row r="670" spans="9:14" ht="14.4" x14ac:dyDescent="0.3">
      <c r="I670"/>
      <c r="J670"/>
      <c r="K670"/>
      <c r="L670"/>
      <c r="M670"/>
      <c r="N670"/>
    </row>
    <row r="671" spans="9:14" ht="14.4" x14ac:dyDescent="0.3">
      <c r="I671"/>
      <c r="J671"/>
      <c r="K671"/>
      <c r="L671"/>
      <c r="M671"/>
      <c r="N671"/>
    </row>
    <row r="672" spans="9:14" ht="14.4" x14ac:dyDescent="0.3">
      <c r="I672"/>
      <c r="J672"/>
      <c r="K672"/>
      <c r="L672"/>
      <c r="M672"/>
      <c r="N672"/>
    </row>
    <row r="673" spans="9:14" ht="14.4" x14ac:dyDescent="0.3">
      <c r="I673"/>
      <c r="J673"/>
      <c r="K673"/>
      <c r="L673"/>
      <c r="M673"/>
      <c r="N673"/>
    </row>
    <row r="674" spans="9:14" ht="14.4" x14ac:dyDescent="0.3">
      <c r="I674"/>
      <c r="J674"/>
      <c r="K674"/>
      <c r="L674"/>
      <c r="M674"/>
      <c r="N674"/>
    </row>
    <row r="675" spans="9:14" ht="14.4" x14ac:dyDescent="0.3">
      <c r="I675"/>
      <c r="J675"/>
      <c r="K675"/>
      <c r="L675"/>
      <c r="M675"/>
      <c r="N675"/>
    </row>
    <row r="676" spans="9:14" ht="14.4" x14ac:dyDescent="0.3">
      <c r="I676"/>
      <c r="J676"/>
      <c r="K676"/>
      <c r="L676"/>
      <c r="M676"/>
      <c r="N676"/>
    </row>
    <row r="677" spans="9:14" ht="14.4" x14ac:dyDescent="0.3">
      <c r="I677"/>
      <c r="J677"/>
      <c r="K677"/>
      <c r="L677"/>
      <c r="M677"/>
      <c r="N677"/>
    </row>
    <row r="678" spans="9:14" ht="14.4" x14ac:dyDescent="0.3">
      <c r="I678"/>
      <c r="J678"/>
      <c r="K678"/>
      <c r="L678"/>
      <c r="M678"/>
      <c r="N678"/>
    </row>
    <row r="679" spans="9:14" ht="14.4" x14ac:dyDescent="0.3">
      <c r="I679"/>
      <c r="J679"/>
      <c r="K679"/>
      <c r="L679"/>
      <c r="M679"/>
      <c r="N679"/>
    </row>
    <row r="680" spans="9:14" ht="14.4" x14ac:dyDescent="0.3">
      <c r="I680"/>
      <c r="J680"/>
      <c r="K680"/>
      <c r="L680"/>
      <c r="M680"/>
      <c r="N680"/>
    </row>
    <row r="681" spans="9:14" ht="14.4" x14ac:dyDescent="0.3">
      <c r="I681"/>
      <c r="J681"/>
      <c r="K681"/>
      <c r="L681"/>
      <c r="M681"/>
      <c r="N681"/>
    </row>
    <row r="682" spans="9:14" ht="14.4" x14ac:dyDescent="0.3">
      <c r="I682"/>
      <c r="J682"/>
      <c r="K682"/>
      <c r="L682"/>
      <c r="M682"/>
      <c r="N682"/>
    </row>
    <row r="683" spans="9:14" ht="14.4" x14ac:dyDescent="0.3">
      <c r="I683"/>
      <c r="J683"/>
      <c r="K683"/>
      <c r="L683"/>
      <c r="M683"/>
      <c r="N683"/>
    </row>
    <row r="684" spans="9:14" ht="14.4" x14ac:dyDescent="0.3">
      <c r="I684"/>
      <c r="J684"/>
      <c r="K684"/>
      <c r="L684"/>
      <c r="M684"/>
      <c r="N684"/>
    </row>
    <row r="685" spans="9:14" ht="14.4" x14ac:dyDescent="0.3">
      <c r="I685"/>
      <c r="J685"/>
      <c r="K685"/>
      <c r="L685"/>
      <c r="M685"/>
      <c r="N685"/>
    </row>
    <row r="686" spans="9:14" ht="14.4" x14ac:dyDescent="0.3">
      <c r="I686"/>
      <c r="J686"/>
      <c r="K686"/>
      <c r="L686"/>
      <c r="M686"/>
      <c r="N686"/>
    </row>
    <row r="687" spans="9:14" ht="14.4" x14ac:dyDescent="0.3">
      <c r="I687"/>
      <c r="J687"/>
      <c r="K687"/>
      <c r="L687"/>
      <c r="M687"/>
      <c r="N687"/>
    </row>
    <row r="688" spans="9:14" ht="14.4" x14ac:dyDescent="0.3">
      <c r="I688"/>
      <c r="J688"/>
      <c r="K688"/>
      <c r="L688"/>
      <c r="M688"/>
      <c r="N688"/>
    </row>
    <row r="689" spans="9:14" ht="14.4" x14ac:dyDescent="0.3">
      <c r="I689"/>
      <c r="J689"/>
      <c r="K689"/>
      <c r="L689"/>
      <c r="M689"/>
      <c r="N689"/>
    </row>
    <row r="690" spans="9:14" ht="14.4" x14ac:dyDescent="0.3">
      <c r="I690"/>
      <c r="J690"/>
      <c r="K690"/>
      <c r="L690"/>
      <c r="M690"/>
      <c r="N690"/>
    </row>
    <row r="691" spans="9:14" ht="14.4" x14ac:dyDescent="0.3">
      <c r="I691"/>
      <c r="J691"/>
      <c r="K691"/>
      <c r="L691"/>
      <c r="M691"/>
      <c r="N691"/>
    </row>
    <row r="692" spans="9:14" ht="14.4" x14ac:dyDescent="0.3">
      <c r="I692"/>
      <c r="J692"/>
      <c r="K692"/>
      <c r="L692"/>
      <c r="M692"/>
      <c r="N692"/>
    </row>
    <row r="693" spans="9:14" ht="14.4" x14ac:dyDescent="0.3">
      <c r="I693"/>
      <c r="J693"/>
      <c r="K693"/>
      <c r="L693"/>
      <c r="M693"/>
      <c r="N693"/>
    </row>
    <row r="694" spans="9:14" ht="14.4" x14ac:dyDescent="0.3">
      <c r="I694"/>
      <c r="J694"/>
      <c r="K694"/>
      <c r="L694"/>
      <c r="M694"/>
      <c r="N694"/>
    </row>
    <row r="695" spans="9:14" ht="14.4" x14ac:dyDescent="0.3">
      <c r="I695"/>
      <c r="J695"/>
      <c r="K695"/>
      <c r="L695"/>
      <c r="M695"/>
      <c r="N695"/>
    </row>
    <row r="696" spans="9:14" ht="14.4" x14ac:dyDescent="0.3">
      <c r="I696"/>
      <c r="J696"/>
      <c r="K696"/>
      <c r="L696"/>
      <c r="M696"/>
      <c r="N696"/>
    </row>
    <row r="697" spans="9:14" ht="14.4" x14ac:dyDescent="0.3">
      <c r="I697"/>
      <c r="J697"/>
      <c r="K697"/>
      <c r="L697"/>
      <c r="M697"/>
      <c r="N697"/>
    </row>
    <row r="698" spans="9:14" ht="14.4" x14ac:dyDescent="0.3">
      <c r="I698"/>
      <c r="J698"/>
      <c r="K698"/>
      <c r="L698"/>
      <c r="M698"/>
      <c r="N698"/>
    </row>
    <row r="699" spans="9:14" ht="14.4" x14ac:dyDescent="0.3">
      <c r="I699"/>
      <c r="J699"/>
      <c r="K699"/>
      <c r="L699"/>
      <c r="M699"/>
      <c r="N699"/>
    </row>
    <row r="700" spans="9:14" ht="14.4" x14ac:dyDescent="0.3">
      <c r="I700"/>
      <c r="J700"/>
      <c r="K700"/>
      <c r="L700"/>
      <c r="M700"/>
      <c r="N700"/>
    </row>
    <row r="701" spans="9:14" ht="14.4" x14ac:dyDescent="0.3">
      <c r="I701"/>
      <c r="J701"/>
      <c r="K701"/>
      <c r="L701"/>
      <c r="M701"/>
      <c r="N701"/>
    </row>
    <row r="702" spans="9:14" ht="14.4" x14ac:dyDescent="0.3">
      <c r="I702"/>
      <c r="J702"/>
      <c r="K702"/>
      <c r="L702"/>
      <c r="M702"/>
      <c r="N702"/>
    </row>
    <row r="703" spans="9:14" ht="14.4" x14ac:dyDescent="0.3">
      <c r="I703"/>
      <c r="J703"/>
      <c r="K703"/>
      <c r="L703"/>
      <c r="M703"/>
      <c r="N703"/>
    </row>
    <row r="704" spans="9:14" ht="14.4" x14ac:dyDescent="0.3">
      <c r="I704"/>
      <c r="J704"/>
      <c r="K704"/>
      <c r="L704"/>
      <c r="M704"/>
      <c r="N704"/>
    </row>
    <row r="705" spans="9:14" ht="14.4" x14ac:dyDescent="0.3">
      <c r="I705"/>
      <c r="J705"/>
      <c r="K705"/>
      <c r="L705"/>
      <c r="M705"/>
      <c r="N705"/>
    </row>
    <row r="706" spans="9:14" ht="14.4" x14ac:dyDescent="0.3">
      <c r="I706"/>
      <c r="J706"/>
      <c r="K706"/>
      <c r="L706"/>
      <c r="M706"/>
      <c r="N706"/>
    </row>
    <row r="707" spans="9:14" ht="14.4" x14ac:dyDescent="0.3">
      <c r="I707"/>
      <c r="J707"/>
      <c r="K707"/>
      <c r="L707"/>
      <c r="M707"/>
      <c r="N707"/>
    </row>
    <row r="708" spans="9:14" ht="14.4" x14ac:dyDescent="0.3">
      <c r="I708"/>
      <c r="J708"/>
      <c r="K708"/>
      <c r="L708"/>
      <c r="M708"/>
      <c r="N708"/>
    </row>
    <row r="709" spans="9:14" ht="14.4" x14ac:dyDescent="0.3">
      <c r="I709"/>
      <c r="J709"/>
      <c r="K709"/>
      <c r="L709"/>
      <c r="M709"/>
      <c r="N709"/>
    </row>
    <row r="710" spans="9:14" ht="14.4" x14ac:dyDescent="0.3">
      <c r="I710"/>
      <c r="J710"/>
      <c r="K710"/>
      <c r="L710"/>
      <c r="M710"/>
      <c r="N710"/>
    </row>
    <row r="711" spans="9:14" ht="14.4" x14ac:dyDescent="0.3">
      <c r="I711"/>
      <c r="J711"/>
      <c r="K711"/>
      <c r="L711"/>
      <c r="M711"/>
      <c r="N711"/>
    </row>
    <row r="712" spans="9:14" ht="14.4" x14ac:dyDescent="0.3">
      <c r="I712"/>
      <c r="J712"/>
      <c r="K712"/>
      <c r="L712"/>
      <c r="M712"/>
      <c r="N712"/>
    </row>
    <row r="713" spans="9:14" ht="14.4" x14ac:dyDescent="0.3">
      <c r="I713"/>
      <c r="J713"/>
      <c r="K713"/>
      <c r="L713"/>
      <c r="M713"/>
      <c r="N713"/>
    </row>
    <row r="714" spans="9:14" ht="14.4" x14ac:dyDescent="0.3">
      <c r="I714"/>
      <c r="J714"/>
      <c r="K714"/>
      <c r="L714"/>
      <c r="M714"/>
      <c r="N714"/>
    </row>
    <row r="715" spans="9:14" ht="14.4" x14ac:dyDescent="0.3">
      <c r="I715"/>
      <c r="J715"/>
      <c r="K715"/>
      <c r="L715"/>
      <c r="M715"/>
      <c r="N715"/>
    </row>
    <row r="716" spans="9:14" ht="14.4" x14ac:dyDescent="0.3">
      <c r="I716"/>
      <c r="J716"/>
      <c r="K716"/>
      <c r="L716"/>
      <c r="M716"/>
      <c r="N716"/>
    </row>
    <row r="717" spans="9:14" ht="14.4" x14ac:dyDescent="0.3">
      <c r="I717"/>
      <c r="J717"/>
      <c r="K717"/>
      <c r="L717"/>
      <c r="M717"/>
      <c r="N717"/>
    </row>
    <row r="718" spans="9:14" ht="14.4" x14ac:dyDescent="0.3">
      <c r="I718"/>
      <c r="J718"/>
      <c r="K718"/>
      <c r="L718"/>
      <c r="M718"/>
      <c r="N718"/>
    </row>
    <row r="719" spans="9:14" ht="14.4" x14ac:dyDescent="0.3">
      <c r="I719"/>
      <c r="J719"/>
      <c r="K719"/>
      <c r="L719"/>
      <c r="M719"/>
      <c r="N719"/>
    </row>
    <row r="720" spans="9:14" ht="14.4" x14ac:dyDescent="0.3">
      <c r="I720"/>
      <c r="J720"/>
      <c r="K720"/>
      <c r="L720"/>
      <c r="M720"/>
      <c r="N720"/>
    </row>
    <row r="721" spans="9:14" ht="14.4" x14ac:dyDescent="0.3">
      <c r="I721"/>
      <c r="J721"/>
      <c r="K721"/>
      <c r="L721"/>
      <c r="M721"/>
      <c r="N721"/>
    </row>
    <row r="722" spans="9:14" ht="14.4" x14ac:dyDescent="0.3">
      <c r="I722"/>
      <c r="J722"/>
      <c r="K722"/>
      <c r="L722"/>
      <c r="M722"/>
      <c r="N722"/>
    </row>
    <row r="723" spans="9:14" ht="14.4" x14ac:dyDescent="0.3">
      <c r="I723"/>
      <c r="J723"/>
      <c r="K723"/>
      <c r="L723"/>
      <c r="M723"/>
      <c r="N723"/>
    </row>
    <row r="724" spans="9:14" ht="14.4" x14ac:dyDescent="0.3">
      <c r="I724"/>
      <c r="J724"/>
      <c r="K724"/>
      <c r="L724"/>
      <c r="M724"/>
      <c r="N724"/>
    </row>
    <row r="725" spans="9:14" ht="14.4" x14ac:dyDescent="0.3">
      <c r="I725"/>
      <c r="J725"/>
      <c r="K725"/>
      <c r="L725"/>
      <c r="M725"/>
      <c r="N725"/>
    </row>
    <row r="726" spans="9:14" ht="14.4" x14ac:dyDescent="0.3">
      <c r="I726"/>
      <c r="J726"/>
      <c r="K726"/>
      <c r="L726"/>
      <c r="M726"/>
      <c r="N726"/>
    </row>
    <row r="727" spans="9:14" ht="14.4" x14ac:dyDescent="0.3">
      <c r="I727"/>
      <c r="J727"/>
      <c r="K727"/>
      <c r="L727"/>
      <c r="M727"/>
      <c r="N727"/>
    </row>
    <row r="728" spans="9:14" ht="14.4" x14ac:dyDescent="0.3">
      <c r="I728"/>
      <c r="J728"/>
      <c r="K728"/>
      <c r="L728"/>
      <c r="M728"/>
      <c r="N728"/>
    </row>
    <row r="729" spans="9:14" ht="14.4" x14ac:dyDescent="0.3">
      <c r="I729"/>
      <c r="J729"/>
      <c r="K729"/>
      <c r="L729"/>
      <c r="M729"/>
      <c r="N729"/>
    </row>
    <row r="730" spans="9:14" ht="14.4" x14ac:dyDescent="0.3">
      <c r="I730"/>
      <c r="J730"/>
      <c r="K730"/>
      <c r="L730"/>
      <c r="M730"/>
      <c r="N730"/>
    </row>
    <row r="731" spans="9:14" ht="14.4" x14ac:dyDescent="0.3">
      <c r="I731"/>
      <c r="J731"/>
      <c r="K731"/>
      <c r="L731"/>
      <c r="M731"/>
      <c r="N731"/>
    </row>
    <row r="732" spans="9:14" ht="14.4" x14ac:dyDescent="0.3">
      <c r="I732"/>
      <c r="J732"/>
      <c r="K732"/>
      <c r="L732"/>
      <c r="M732"/>
      <c r="N732"/>
    </row>
    <row r="733" spans="9:14" ht="14.4" x14ac:dyDescent="0.3">
      <c r="I733"/>
      <c r="J733"/>
      <c r="K733"/>
      <c r="L733"/>
      <c r="M733"/>
      <c r="N733"/>
    </row>
    <row r="734" spans="9:14" ht="14.4" x14ac:dyDescent="0.3">
      <c r="I734"/>
      <c r="J734"/>
      <c r="K734"/>
      <c r="L734"/>
      <c r="M734"/>
      <c r="N734"/>
    </row>
    <row r="735" spans="9:14" ht="14.4" x14ac:dyDescent="0.3">
      <c r="I735"/>
      <c r="J735"/>
      <c r="K735"/>
      <c r="L735"/>
      <c r="M735"/>
      <c r="N735"/>
    </row>
    <row r="736" spans="9:14" ht="14.4" x14ac:dyDescent="0.3">
      <c r="I736"/>
      <c r="J736"/>
      <c r="K736"/>
      <c r="L736"/>
      <c r="M736"/>
      <c r="N736"/>
    </row>
    <row r="737" spans="9:14" ht="14.4" x14ac:dyDescent="0.3">
      <c r="I737"/>
      <c r="J737"/>
      <c r="K737"/>
      <c r="L737"/>
      <c r="M737"/>
      <c r="N737"/>
    </row>
    <row r="738" spans="9:14" ht="14.4" x14ac:dyDescent="0.3">
      <c r="I738"/>
      <c r="J738"/>
      <c r="K738"/>
      <c r="L738"/>
      <c r="M738"/>
      <c r="N738"/>
    </row>
    <row r="739" spans="9:14" ht="14.4" x14ac:dyDescent="0.3">
      <c r="I739"/>
      <c r="J739"/>
      <c r="K739"/>
      <c r="L739"/>
      <c r="M739"/>
      <c r="N739"/>
    </row>
    <row r="740" spans="9:14" ht="14.4" x14ac:dyDescent="0.3">
      <c r="I740"/>
      <c r="J740"/>
      <c r="K740"/>
      <c r="L740"/>
      <c r="M740"/>
      <c r="N740"/>
    </row>
    <row r="741" spans="9:14" ht="14.4" x14ac:dyDescent="0.3">
      <c r="I741"/>
      <c r="J741"/>
      <c r="K741"/>
      <c r="L741"/>
      <c r="M741"/>
      <c r="N741"/>
    </row>
    <row r="742" spans="9:14" ht="14.4" x14ac:dyDescent="0.3">
      <c r="I742"/>
      <c r="J742"/>
      <c r="K742"/>
      <c r="L742"/>
      <c r="M742"/>
      <c r="N742"/>
    </row>
    <row r="743" spans="9:14" ht="14.4" x14ac:dyDescent="0.3">
      <c r="I743"/>
      <c r="J743"/>
      <c r="K743"/>
      <c r="L743"/>
      <c r="M743"/>
      <c r="N743"/>
    </row>
    <row r="744" spans="9:14" ht="14.4" x14ac:dyDescent="0.3">
      <c r="I744"/>
      <c r="J744"/>
      <c r="K744"/>
      <c r="L744"/>
      <c r="M744"/>
      <c r="N744"/>
    </row>
    <row r="745" spans="9:14" ht="14.4" x14ac:dyDescent="0.3">
      <c r="I745"/>
      <c r="J745"/>
      <c r="K745"/>
      <c r="L745"/>
      <c r="M745"/>
      <c r="N745"/>
    </row>
    <row r="746" spans="9:14" ht="14.4" x14ac:dyDescent="0.3">
      <c r="I746"/>
      <c r="J746"/>
      <c r="K746"/>
      <c r="L746"/>
      <c r="M746"/>
      <c r="N746"/>
    </row>
    <row r="747" spans="9:14" ht="14.4" x14ac:dyDescent="0.3">
      <c r="I747"/>
      <c r="J747"/>
      <c r="K747"/>
      <c r="L747"/>
      <c r="M747"/>
      <c r="N747"/>
    </row>
    <row r="748" spans="9:14" ht="14.4" x14ac:dyDescent="0.3">
      <c r="I748"/>
      <c r="J748"/>
      <c r="K748"/>
      <c r="L748"/>
      <c r="M748"/>
      <c r="N748"/>
    </row>
    <row r="749" spans="9:14" ht="14.4" x14ac:dyDescent="0.3">
      <c r="I749"/>
      <c r="J749"/>
      <c r="K749"/>
      <c r="L749"/>
      <c r="M749"/>
      <c r="N749"/>
    </row>
    <row r="750" spans="9:14" ht="14.4" x14ac:dyDescent="0.3">
      <c r="I750"/>
      <c r="J750"/>
      <c r="K750"/>
      <c r="L750"/>
      <c r="M750"/>
      <c r="N750"/>
    </row>
    <row r="751" spans="9:14" ht="14.4" x14ac:dyDescent="0.3">
      <c r="I751"/>
      <c r="J751"/>
      <c r="K751"/>
      <c r="L751"/>
      <c r="M751"/>
      <c r="N751"/>
    </row>
    <row r="752" spans="9:14" ht="14.4" x14ac:dyDescent="0.3">
      <c r="I752"/>
      <c r="J752"/>
      <c r="K752"/>
      <c r="L752"/>
      <c r="M752"/>
      <c r="N752"/>
    </row>
    <row r="753" spans="10:14" ht="14.4" x14ac:dyDescent="0.3">
      <c r="J753"/>
      <c r="K753"/>
      <c r="L753"/>
      <c r="M753"/>
      <c r="N753"/>
    </row>
    <row r="754" spans="10:14" ht="14.4" x14ac:dyDescent="0.3">
      <c r="J754"/>
      <c r="K754"/>
      <c r="L754"/>
      <c r="M754"/>
      <c r="N754"/>
    </row>
    <row r="755" spans="10:14" ht="14.4" x14ac:dyDescent="0.3">
      <c r="J755"/>
      <c r="K755"/>
      <c r="L755"/>
      <c r="M755"/>
      <c r="N755"/>
    </row>
    <row r="756" spans="10:14" ht="14.4" x14ac:dyDescent="0.3">
      <c r="J756"/>
      <c r="K756"/>
      <c r="L756"/>
      <c r="M756"/>
      <c r="N756"/>
    </row>
    <row r="757" spans="10:14" ht="14.4" x14ac:dyDescent="0.3">
      <c r="J757"/>
      <c r="K757"/>
      <c r="L757"/>
      <c r="M757"/>
      <c r="N757"/>
    </row>
    <row r="758" spans="10:14" ht="14.4" x14ac:dyDescent="0.3">
      <c r="J758"/>
      <c r="K758"/>
      <c r="L758"/>
      <c r="M758"/>
      <c r="N758"/>
    </row>
    <row r="759" spans="10:14" ht="14.4" x14ac:dyDescent="0.3">
      <c r="J759"/>
      <c r="K759"/>
      <c r="L759"/>
      <c r="M759"/>
      <c r="N759"/>
    </row>
    <row r="760" spans="10:14" ht="14.4" x14ac:dyDescent="0.3">
      <c r="J760"/>
      <c r="K760"/>
      <c r="L760"/>
      <c r="M760"/>
      <c r="N760"/>
    </row>
    <row r="761" spans="10:14" ht="14.4" x14ac:dyDescent="0.3">
      <c r="J761"/>
      <c r="K761"/>
      <c r="L761"/>
      <c r="M761"/>
      <c r="N761"/>
    </row>
    <row r="762" spans="10:14" ht="14.4" x14ac:dyDescent="0.3">
      <c r="J762"/>
      <c r="K762"/>
      <c r="L762"/>
      <c r="M762"/>
      <c r="N762"/>
    </row>
    <row r="763" spans="10:14" ht="14.4" x14ac:dyDescent="0.3">
      <c r="J763"/>
      <c r="K763"/>
      <c r="L763"/>
      <c r="M763"/>
      <c r="N763"/>
    </row>
    <row r="764" spans="10:14" ht="14.4" x14ac:dyDescent="0.3">
      <c r="J764"/>
      <c r="K764"/>
      <c r="L764"/>
      <c r="M764"/>
      <c r="N764"/>
    </row>
    <row r="765" spans="10:14" ht="14.4" x14ac:dyDescent="0.3">
      <c r="J765"/>
      <c r="K765"/>
      <c r="L765"/>
      <c r="M765"/>
      <c r="N765"/>
    </row>
    <row r="766" spans="10:14" ht="14.4" x14ac:dyDescent="0.3">
      <c r="J766"/>
      <c r="K766"/>
      <c r="L766"/>
      <c r="M766"/>
      <c r="N766"/>
    </row>
    <row r="767" spans="10:14" ht="14.4" x14ac:dyDescent="0.3">
      <c r="J767"/>
      <c r="K767"/>
      <c r="L767"/>
      <c r="M767"/>
      <c r="N767"/>
    </row>
    <row r="768" spans="10:14" ht="14.4" x14ac:dyDescent="0.3">
      <c r="J768"/>
      <c r="K768"/>
      <c r="L768"/>
      <c r="M768"/>
      <c r="N768"/>
    </row>
    <row r="769" spans="10:14" ht="14.4" x14ac:dyDescent="0.3">
      <c r="J769"/>
      <c r="K769"/>
      <c r="L769"/>
      <c r="M769"/>
      <c r="N769"/>
    </row>
    <row r="770" spans="10:14" ht="14.4" x14ac:dyDescent="0.3">
      <c r="J770"/>
      <c r="K770"/>
      <c r="L770"/>
      <c r="M770"/>
      <c r="N770"/>
    </row>
    <row r="771" spans="10:14" ht="14.4" x14ac:dyDescent="0.3">
      <c r="J771"/>
      <c r="K771"/>
      <c r="L771"/>
      <c r="M771"/>
      <c r="N771"/>
    </row>
    <row r="772" spans="10:14" ht="14.4" x14ac:dyDescent="0.3">
      <c r="J772"/>
      <c r="K772"/>
      <c r="L772"/>
      <c r="M772"/>
      <c r="N772"/>
    </row>
    <row r="773" spans="10:14" ht="14.4" x14ac:dyDescent="0.3">
      <c r="J773"/>
      <c r="K773"/>
      <c r="L773"/>
      <c r="M773"/>
      <c r="N773"/>
    </row>
    <row r="774" spans="10:14" ht="14.4" x14ac:dyDescent="0.3">
      <c r="J774"/>
      <c r="K774"/>
      <c r="L774"/>
      <c r="M774"/>
      <c r="N774"/>
    </row>
    <row r="775" spans="10:14" ht="14.4" x14ac:dyDescent="0.3">
      <c r="J775"/>
      <c r="K775"/>
      <c r="L775"/>
      <c r="M775"/>
      <c r="N775"/>
    </row>
    <row r="776" spans="10:14" ht="14.4" x14ac:dyDescent="0.3">
      <c r="J776"/>
      <c r="K776"/>
      <c r="L776"/>
      <c r="M776"/>
      <c r="N776"/>
    </row>
    <row r="777" spans="10:14" ht="14.4" x14ac:dyDescent="0.3">
      <c r="J777"/>
      <c r="K777"/>
      <c r="L777"/>
      <c r="M777"/>
      <c r="N777"/>
    </row>
    <row r="778" spans="10:14" ht="14.4" x14ac:dyDescent="0.3">
      <c r="J778"/>
      <c r="K778"/>
      <c r="L778"/>
      <c r="M778"/>
      <c r="N778"/>
    </row>
    <row r="779" spans="10:14" ht="14.4" x14ac:dyDescent="0.3">
      <c r="J779"/>
      <c r="K779"/>
      <c r="L779"/>
      <c r="M779"/>
      <c r="N779"/>
    </row>
    <row r="780" spans="10:14" ht="14.4" x14ac:dyDescent="0.3">
      <c r="J780"/>
      <c r="K780"/>
      <c r="L780"/>
      <c r="M780"/>
      <c r="N780"/>
    </row>
    <row r="781" spans="10:14" ht="14.4" x14ac:dyDescent="0.3">
      <c r="J781"/>
      <c r="K781"/>
      <c r="L781"/>
      <c r="M781"/>
      <c r="N781"/>
    </row>
    <row r="782" spans="10:14" ht="14.4" x14ac:dyDescent="0.3">
      <c r="J782"/>
      <c r="K782"/>
      <c r="L782"/>
      <c r="M782"/>
      <c r="N782"/>
    </row>
  </sheetData>
  <conditionalFormatting pivot="1" sqref="N37 N36 N38 N39 N40 N41">
    <cfRule type="dataBar" priority="1">
      <dataBar>
        <cfvo type="min"/>
        <cfvo type="max"/>
        <color rgb="FFFF555A"/>
      </dataBar>
      <extLst>
        <ext xmlns:x14="http://schemas.microsoft.com/office/spreadsheetml/2009/9/main" uri="{B025F937-C7B1-47D3-B67F-A62EFF666E3E}">
          <x14:id>{33F7694B-F563-4ED9-B898-67F8F92D0954}</x14:id>
        </ext>
      </extLst>
    </cfRule>
  </conditionalFormatting>
  <pageMargins left="0.7" right="0.7" top="0.75" bottom="0.75" header="0.3" footer="0.3"/>
  <drawing r:id="rId12"/>
  <extLst>
    <ext xmlns:x14="http://schemas.microsoft.com/office/spreadsheetml/2009/9/main" uri="{78C0D931-6437-407d-A8EE-F0AAD7539E65}">
      <x14:conditionalFormattings>
        <x14:conditionalFormatting xmlns:xm="http://schemas.microsoft.com/office/excel/2006/main" pivot="1">
          <x14:cfRule type="dataBar" id="{33F7694B-F563-4ED9-B898-67F8F92D0954}">
            <x14:dataBar minLength="0" maxLength="100" border="1" negativeBarBorderColorSameAsPositive="0">
              <x14:cfvo type="autoMin"/>
              <x14:cfvo type="autoMax"/>
              <x14:borderColor rgb="FFFF555A"/>
              <x14:negativeFillColor rgb="FFFF0000"/>
              <x14:negativeBorderColor rgb="FFFF0000"/>
              <x14:axisColor rgb="FF000000"/>
            </x14:dataBar>
          </x14:cfRule>
          <xm:sqref>N37 N36 N38 N39 N40 N41</xm:sqref>
        </x14:conditionalFormatting>
      </x14:conditionalFormattings>
    </ext>
    <ext xmlns:x14="http://schemas.microsoft.com/office/spreadsheetml/2009/9/main" uri="{A8765BA9-456A-4dab-B4F3-ACF838C121DE}">
      <x14:slicerList>
        <x14:slicer r:id="rId1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13741-1642-4C76-91DD-B71EB4BFF6C9}">
  <dimension ref="A1:X40"/>
  <sheetViews>
    <sheetView showGridLines="0" tabSelected="1" zoomScale="54" workbookViewId="0">
      <selection activeCell="AA26" sqref="AA26"/>
    </sheetView>
  </sheetViews>
  <sheetFormatPr defaultRowHeight="14.4" x14ac:dyDescent="0.3"/>
  <cols>
    <col min="1" max="16384" width="8.88671875" style="40"/>
  </cols>
  <sheetData>
    <row r="1" spans="1:24" x14ac:dyDescent="0.3">
      <c r="A1" s="41"/>
      <c r="B1" s="41"/>
      <c r="C1" s="41"/>
      <c r="D1" s="41"/>
      <c r="E1" s="41"/>
      <c r="F1" s="41"/>
      <c r="G1" s="41"/>
      <c r="H1" s="41"/>
      <c r="I1" s="41"/>
      <c r="J1" s="41"/>
      <c r="K1" s="41"/>
      <c r="L1" s="41"/>
      <c r="M1" s="41"/>
      <c r="N1" s="41"/>
      <c r="O1" s="41"/>
      <c r="P1" s="41"/>
      <c r="Q1" s="41"/>
      <c r="R1" s="41"/>
      <c r="S1" s="41"/>
      <c r="T1" s="41"/>
      <c r="U1" s="41"/>
      <c r="V1" s="41"/>
      <c r="W1" s="41"/>
      <c r="X1" s="41"/>
    </row>
    <row r="2" spans="1:24" x14ac:dyDescent="0.3">
      <c r="A2" s="41"/>
      <c r="B2" s="41"/>
      <c r="C2" s="41"/>
      <c r="D2" s="41"/>
      <c r="E2" s="41"/>
      <c r="F2" s="41"/>
      <c r="G2" s="41"/>
      <c r="H2" s="41"/>
      <c r="I2" s="41"/>
      <c r="J2" s="41"/>
      <c r="K2" s="41"/>
      <c r="L2" s="41"/>
      <c r="M2" s="41"/>
      <c r="N2" s="41"/>
      <c r="O2" s="41"/>
      <c r="P2" s="41"/>
      <c r="Q2" s="41"/>
      <c r="R2" s="41"/>
      <c r="S2" s="41"/>
      <c r="T2" s="41"/>
      <c r="U2" s="41"/>
      <c r="V2" s="41"/>
      <c r="W2" s="41"/>
      <c r="X2" s="41"/>
    </row>
    <row r="3" spans="1:24" x14ac:dyDescent="0.3">
      <c r="A3" s="41"/>
      <c r="B3" s="41"/>
      <c r="C3" s="41"/>
      <c r="D3" s="41"/>
      <c r="E3" s="41"/>
      <c r="F3" s="41"/>
      <c r="G3" s="41"/>
      <c r="H3" s="41"/>
      <c r="I3" s="41"/>
      <c r="J3" s="41"/>
      <c r="K3" s="41"/>
      <c r="L3" s="41"/>
      <c r="M3" s="41"/>
      <c r="N3" s="41"/>
      <c r="O3" s="41"/>
      <c r="P3" s="41"/>
      <c r="Q3" s="41"/>
      <c r="R3" s="41"/>
      <c r="S3" s="41"/>
      <c r="T3" s="41"/>
      <c r="U3" s="41"/>
      <c r="V3" s="41"/>
      <c r="W3" s="41"/>
      <c r="X3" s="41"/>
    </row>
    <row r="4" spans="1:24" x14ac:dyDescent="0.3">
      <c r="A4" s="41"/>
      <c r="B4" s="41"/>
      <c r="C4" s="41"/>
      <c r="D4" s="41"/>
      <c r="E4" s="41"/>
      <c r="F4" s="41"/>
      <c r="G4" s="41"/>
      <c r="H4" s="41"/>
      <c r="I4" s="41"/>
      <c r="J4" s="41"/>
      <c r="K4" s="41"/>
      <c r="L4" s="41"/>
      <c r="M4" s="41"/>
      <c r="N4" s="41"/>
      <c r="O4" s="41"/>
      <c r="P4" s="41"/>
      <c r="Q4" s="41"/>
      <c r="R4" s="41"/>
      <c r="S4" s="41"/>
      <c r="T4" s="41"/>
      <c r="U4" s="41"/>
      <c r="V4" s="41"/>
      <c r="W4" s="41"/>
      <c r="X4" s="41"/>
    </row>
    <row r="5" spans="1:24" x14ac:dyDescent="0.3">
      <c r="A5" s="41"/>
      <c r="B5" s="41"/>
      <c r="C5" s="41"/>
      <c r="D5" s="41"/>
      <c r="E5" s="41"/>
      <c r="F5" s="41"/>
      <c r="G5" s="41"/>
      <c r="H5" s="41"/>
      <c r="I5" s="41"/>
      <c r="J5" s="41"/>
      <c r="K5" s="41"/>
      <c r="L5" s="41"/>
      <c r="M5" s="41"/>
      <c r="N5" s="41"/>
      <c r="O5" s="41"/>
      <c r="P5" s="41"/>
      <c r="Q5" s="41"/>
      <c r="R5" s="41"/>
      <c r="S5" s="41"/>
      <c r="T5" s="41"/>
      <c r="U5" s="41"/>
      <c r="V5" s="41"/>
      <c r="W5" s="41"/>
      <c r="X5" s="41"/>
    </row>
    <row r="6" spans="1:24" x14ac:dyDescent="0.3">
      <c r="A6" s="41"/>
      <c r="B6" s="41"/>
      <c r="C6" s="41"/>
      <c r="D6" s="41"/>
      <c r="E6" s="41"/>
      <c r="F6" s="41"/>
      <c r="G6" s="41"/>
      <c r="H6" s="41"/>
      <c r="I6" s="41"/>
      <c r="J6" s="41"/>
      <c r="K6" s="41"/>
      <c r="L6" s="41"/>
      <c r="M6" s="41"/>
      <c r="N6" s="41"/>
      <c r="O6" s="41"/>
      <c r="P6" s="41"/>
      <c r="Q6" s="41"/>
      <c r="R6" s="41"/>
      <c r="S6" s="41"/>
      <c r="T6" s="41"/>
      <c r="U6" s="41"/>
      <c r="V6" s="41"/>
      <c r="W6" s="41"/>
      <c r="X6" s="41"/>
    </row>
    <row r="7" spans="1:24" x14ac:dyDescent="0.3">
      <c r="A7" s="41"/>
      <c r="B7" s="41"/>
      <c r="C7" s="41"/>
      <c r="D7" s="41"/>
      <c r="E7" s="41"/>
      <c r="F7" s="41"/>
      <c r="G7" s="41"/>
      <c r="H7" s="41"/>
      <c r="I7" s="41"/>
      <c r="J7" s="41"/>
      <c r="K7" s="41"/>
      <c r="L7" s="41"/>
      <c r="M7" s="41"/>
      <c r="N7" s="41"/>
      <c r="O7" s="41"/>
      <c r="P7" s="41"/>
      <c r="Q7" s="41"/>
      <c r="R7" s="41"/>
      <c r="S7" s="41"/>
      <c r="T7" s="41"/>
      <c r="U7" s="41"/>
      <c r="V7" s="41"/>
      <c r="W7" s="41"/>
      <c r="X7" s="41"/>
    </row>
    <row r="8" spans="1:24" x14ac:dyDescent="0.3">
      <c r="A8" s="41"/>
      <c r="B8" s="41"/>
      <c r="C8" s="41"/>
      <c r="D8" s="41"/>
      <c r="E8" s="41"/>
      <c r="F8" s="41"/>
      <c r="G8" s="41"/>
      <c r="H8" s="41"/>
      <c r="I8" s="41"/>
      <c r="J8" s="41"/>
      <c r="K8" s="41"/>
      <c r="L8" s="41"/>
      <c r="M8" s="41"/>
      <c r="N8" s="41"/>
      <c r="O8" s="41"/>
      <c r="P8" s="41"/>
      <c r="Q8" s="41"/>
      <c r="R8" s="41"/>
      <c r="S8" s="41"/>
      <c r="T8" s="41"/>
      <c r="U8" s="41"/>
      <c r="V8" s="41"/>
      <c r="W8" s="41"/>
      <c r="X8" s="41"/>
    </row>
    <row r="9" spans="1:24" x14ac:dyDescent="0.3">
      <c r="A9" s="41"/>
      <c r="B9" s="41"/>
      <c r="C9" s="41"/>
      <c r="D9" s="41"/>
      <c r="E9" s="41"/>
      <c r="F9" s="41"/>
      <c r="G9" s="41"/>
      <c r="H9" s="41"/>
      <c r="I9" s="41"/>
      <c r="J9" s="41"/>
      <c r="K9" s="41"/>
      <c r="L9" s="41"/>
      <c r="M9" s="41"/>
      <c r="N9" s="41"/>
      <c r="O9" s="41"/>
      <c r="P9" s="41"/>
      <c r="Q9" s="41"/>
      <c r="R9" s="41"/>
      <c r="S9" s="41"/>
      <c r="T9" s="41"/>
      <c r="U9" s="41"/>
      <c r="V9" s="41"/>
      <c r="W9" s="41"/>
      <c r="X9" s="41"/>
    </row>
    <row r="10" spans="1:24" x14ac:dyDescent="0.3">
      <c r="A10" s="41"/>
      <c r="B10" s="41"/>
      <c r="C10" s="41"/>
      <c r="D10" s="41"/>
      <c r="E10" s="41"/>
      <c r="F10" s="41"/>
      <c r="G10" s="41"/>
      <c r="H10" s="41"/>
      <c r="I10" s="41"/>
      <c r="J10" s="41"/>
      <c r="K10" s="41"/>
      <c r="L10" s="41"/>
      <c r="M10" s="41"/>
      <c r="N10" s="41"/>
      <c r="O10" s="41"/>
      <c r="P10" s="41"/>
      <c r="Q10" s="41"/>
      <c r="R10" s="41"/>
      <c r="S10" s="41"/>
      <c r="T10" s="41"/>
      <c r="U10" s="41"/>
      <c r="V10" s="41"/>
      <c r="W10" s="41"/>
      <c r="X10" s="41"/>
    </row>
    <row r="11" spans="1:24" x14ac:dyDescent="0.3">
      <c r="A11" s="41"/>
      <c r="B11" s="41"/>
      <c r="C11" s="41"/>
      <c r="D11" s="41"/>
      <c r="E11" s="41"/>
      <c r="F11" s="41"/>
      <c r="G11" s="41"/>
      <c r="H11" s="41"/>
      <c r="I11" s="41"/>
      <c r="J11" s="41"/>
      <c r="K11" s="41"/>
      <c r="L11" s="41"/>
      <c r="M11" s="41"/>
      <c r="N11" s="41"/>
      <c r="O11" s="41"/>
      <c r="P11" s="41"/>
      <c r="Q11" s="41"/>
      <c r="R11" s="41"/>
      <c r="S11" s="41"/>
      <c r="T11" s="41"/>
      <c r="U11" s="41"/>
      <c r="V11" s="41"/>
      <c r="W11" s="41"/>
      <c r="X11" s="41"/>
    </row>
    <row r="12" spans="1:24" x14ac:dyDescent="0.3">
      <c r="A12" s="41"/>
      <c r="B12" s="41"/>
      <c r="C12" s="41"/>
      <c r="D12" s="41"/>
      <c r="E12" s="41"/>
      <c r="F12" s="41"/>
      <c r="G12" s="41"/>
      <c r="H12" s="41"/>
      <c r="I12" s="41"/>
      <c r="J12" s="41"/>
      <c r="K12" s="41"/>
      <c r="L12" s="41"/>
      <c r="M12" s="41"/>
      <c r="N12" s="41"/>
      <c r="O12" s="41"/>
      <c r="P12" s="41"/>
      <c r="Q12" s="41"/>
      <c r="R12" s="41"/>
      <c r="S12" s="41"/>
      <c r="T12" s="41"/>
      <c r="U12" s="41"/>
      <c r="V12" s="41"/>
      <c r="W12" s="41"/>
      <c r="X12" s="41"/>
    </row>
    <row r="13" spans="1:24" x14ac:dyDescent="0.3">
      <c r="A13" s="41"/>
      <c r="B13" s="41"/>
      <c r="C13" s="41"/>
      <c r="D13" s="41"/>
      <c r="E13" s="41"/>
      <c r="F13" s="41"/>
      <c r="G13" s="41"/>
      <c r="H13" s="41"/>
      <c r="I13" s="41"/>
      <c r="J13" s="41"/>
      <c r="K13" s="41"/>
      <c r="L13" s="41"/>
      <c r="M13" s="41"/>
      <c r="N13" s="41"/>
      <c r="O13" s="41"/>
      <c r="P13" s="41"/>
      <c r="Q13" s="41"/>
      <c r="R13" s="41"/>
      <c r="S13" s="41"/>
      <c r="T13" s="41"/>
      <c r="U13" s="41"/>
      <c r="V13" s="41"/>
      <c r="W13" s="41"/>
      <c r="X13" s="41"/>
    </row>
    <row r="14" spans="1:24" x14ac:dyDescent="0.3">
      <c r="A14" s="41"/>
      <c r="B14" s="41"/>
      <c r="C14" s="41"/>
      <c r="D14" s="41"/>
      <c r="E14" s="41"/>
      <c r="F14" s="41"/>
      <c r="G14" s="41"/>
      <c r="H14" s="41"/>
      <c r="I14" s="41"/>
      <c r="J14" s="41"/>
      <c r="K14" s="41"/>
      <c r="L14" s="41"/>
      <c r="M14" s="41"/>
      <c r="N14" s="41"/>
      <c r="O14" s="41"/>
      <c r="P14" s="41"/>
      <c r="Q14" s="41"/>
      <c r="R14" s="41"/>
      <c r="S14" s="41"/>
      <c r="T14" s="41"/>
      <c r="U14" s="41"/>
      <c r="V14" s="41"/>
      <c r="W14" s="41"/>
      <c r="X14" s="41"/>
    </row>
    <row r="15" spans="1:24" x14ac:dyDescent="0.3">
      <c r="A15" s="41"/>
      <c r="B15" s="41"/>
      <c r="C15" s="41"/>
      <c r="D15" s="41"/>
      <c r="E15" s="41"/>
      <c r="F15" s="41"/>
      <c r="G15" s="41"/>
      <c r="H15" s="41"/>
      <c r="I15" s="41"/>
      <c r="J15" s="41"/>
      <c r="K15" s="41"/>
      <c r="L15" s="41"/>
      <c r="M15" s="41"/>
      <c r="N15" s="41"/>
      <c r="O15" s="41"/>
      <c r="P15" s="41"/>
      <c r="Q15" s="41"/>
      <c r="R15" s="41"/>
      <c r="S15" s="41"/>
      <c r="T15" s="41"/>
      <c r="U15" s="41"/>
      <c r="V15" s="41"/>
      <c r="W15" s="41"/>
      <c r="X15" s="41"/>
    </row>
    <row r="16" spans="1:24" x14ac:dyDescent="0.3">
      <c r="A16" s="41"/>
      <c r="B16" s="41"/>
      <c r="C16" s="41"/>
      <c r="D16" s="41"/>
      <c r="E16" s="41"/>
      <c r="F16" s="41"/>
      <c r="G16" s="41"/>
      <c r="H16" s="41"/>
      <c r="I16" s="41"/>
      <c r="J16" s="41"/>
      <c r="K16" s="41"/>
      <c r="L16" s="41"/>
      <c r="M16" s="41"/>
      <c r="N16" s="41"/>
      <c r="O16" s="41"/>
      <c r="P16" s="41"/>
      <c r="Q16" s="41"/>
      <c r="R16" s="41"/>
      <c r="S16" s="41"/>
      <c r="T16" s="41"/>
      <c r="U16" s="41"/>
      <c r="V16" s="41"/>
      <c r="W16" s="41"/>
      <c r="X16" s="41"/>
    </row>
    <row r="17" spans="1:24" x14ac:dyDescent="0.3">
      <c r="A17" s="41"/>
      <c r="B17" s="41"/>
      <c r="C17" s="41"/>
      <c r="D17" s="41"/>
      <c r="E17" s="41"/>
      <c r="F17" s="41"/>
      <c r="G17" s="41"/>
      <c r="H17" s="41"/>
      <c r="I17" s="41"/>
      <c r="J17" s="41"/>
      <c r="K17" s="41"/>
      <c r="L17" s="41"/>
      <c r="M17" s="41"/>
      <c r="N17" s="41"/>
      <c r="O17" s="41"/>
      <c r="P17" s="41"/>
      <c r="Q17" s="41"/>
      <c r="R17" s="41"/>
      <c r="S17" s="41"/>
      <c r="T17" s="41"/>
      <c r="U17" s="41"/>
      <c r="V17" s="41"/>
      <c r="W17" s="41"/>
      <c r="X17" s="41"/>
    </row>
    <row r="18" spans="1:24" x14ac:dyDescent="0.3">
      <c r="A18" s="41"/>
      <c r="B18" s="41"/>
      <c r="C18" s="41"/>
      <c r="D18" s="41"/>
      <c r="E18" s="41"/>
      <c r="F18" s="41"/>
      <c r="G18" s="41"/>
      <c r="H18" s="41"/>
      <c r="I18" s="41"/>
      <c r="J18" s="41"/>
      <c r="K18" s="41"/>
      <c r="L18" s="41"/>
      <c r="M18" s="41"/>
      <c r="N18" s="41"/>
      <c r="O18" s="41"/>
      <c r="P18" s="41"/>
      <c r="Q18" s="41"/>
      <c r="R18" s="41"/>
      <c r="S18" s="41"/>
      <c r="T18" s="41"/>
      <c r="U18" s="41"/>
      <c r="V18" s="41"/>
      <c r="W18" s="41"/>
      <c r="X18" s="41"/>
    </row>
    <row r="19" spans="1:24" x14ac:dyDescent="0.3">
      <c r="A19" s="41"/>
      <c r="B19" s="41"/>
      <c r="C19" s="41"/>
      <c r="D19" s="41"/>
      <c r="E19" s="41"/>
      <c r="F19" s="41"/>
      <c r="G19" s="41"/>
      <c r="H19" s="41"/>
      <c r="I19" s="41"/>
      <c r="J19" s="41"/>
      <c r="K19" s="41"/>
      <c r="L19" s="41"/>
      <c r="M19" s="41"/>
      <c r="N19" s="41"/>
      <c r="O19" s="41"/>
      <c r="P19" s="41"/>
      <c r="Q19" s="41"/>
      <c r="R19" s="41"/>
      <c r="S19" s="41"/>
      <c r="T19" s="41"/>
      <c r="U19" s="41"/>
      <c r="V19" s="41"/>
      <c r="W19" s="41"/>
      <c r="X19" s="41"/>
    </row>
    <row r="20" spans="1:24" x14ac:dyDescent="0.3">
      <c r="A20" s="41"/>
      <c r="B20" s="41"/>
      <c r="C20" s="41"/>
      <c r="D20" s="41"/>
      <c r="E20" s="41"/>
      <c r="F20" s="41"/>
      <c r="G20" s="41"/>
      <c r="H20" s="41"/>
      <c r="I20" s="41"/>
      <c r="J20" s="41"/>
      <c r="K20" s="41"/>
      <c r="L20" s="41"/>
      <c r="M20" s="41"/>
      <c r="N20" s="41"/>
      <c r="O20" s="41"/>
      <c r="P20" s="41"/>
      <c r="Q20" s="41"/>
      <c r="R20" s="41"/>
      <c r="S20" s="41"/>
      <c r="T20" s="41"/>
      <c r="U20" s="41"/>
      <c r="V20" s="41"/>
      <c r="W20" s="41"/>
      <c r="X20" s="41"/>
    </row>
    <row r="21" spans="1:24" x14ac:dyDescent="0.3">
      <c r="A21" s="41"/>
      <c r="B21" s="41"/>
      <c r="C21" s="41"/>
      <c r="D21" s="41"/>
      <c r="E21" s="41"/>
      <c r="F21" s="41"/>
      <c r="G21" s="41"/>
      <c r="H21" s="41"/>
      <c r="I21" s="41"/>
      <c r="J21" s="41"/>
      <c r="K21" s="41"/>
      <c r="L21" s="41"/>
      <c r="M21" s="41"/>
      <c r="N21" s="41"/>
      <c r="O21" s="41"/>
      <c r="P21" s="41"/>
      <c r="Q21" s="41"/>
      <c r="R21" s="41"/>
      <c r="S21" s="41"/>
      <c r="T21" s="41"/>
      <c r="U21" s="41"/>
      <c r="V21" s="41"/>
      <c r="W21" s="41"/>
      <c r="X21" s="41"/>
    </row>
    <row r="22" spans="1:24" x14ac:dyDescent="0.3">
      <c r="A22" s="41"/>
      <c r="B22" s="41"/>
      <c r="C22" s="41"/>
      <c r="D22" s="41"/>
      <c r="E22" s="41"/>
      <c r="F22" s="41"/>
      <c r="G22" s="41"/>
      <c r="H22" s="41"/>
      <c r="I22" s="41"/>
      <c r="J22" s="41"/>
      <c r="K22" s="41"/>
      <c r="L22" s="41"/>
      <c r="M22" s="41"/>
      <c r="N22" s="41"/>
      <c r="O22" s="41"/>
      <c r="P22" s="41"/>
      <c r="Q22" s="41"/>
      <c r="R22" s="41"/>
      <c r="S22" s="41"/>
      <c r="T22" s="41"/>
      <c r="U22" s="41"/>
      <c r="V22" s="41"/>
      <c r="W22" s="41"/>
      <c r="X22" s="41"/>
    </row>
    <row r="23" spans="1:24" x14ac:dyDescent="0.3">
      <c r="A23" s="41"/>
      <c r="B23" s="41"/>
      <c r="C23" s="41"/>
      <c r="D23" s="41"/>
      <c r="E23" s="41"/>
      <c r="F23" s="41"/>
      <c r="G23" s="41"/>
      <c r="H23" s="41"/>
      <c r="I23" s="41"/>
      <c r="J23" s="41"/>
      <c r="K23" s="41"/>
      <c r="L23" s="41"/>
      <c r="M23" s="41"/>
      <c r="N23" s="41"/>
      <c r="O23" s="41"/>
      <c r="P23" s="41"/>
      <c r="Q23" s="41"/>
      <c r="R23" s="41"/>
      <c r="S23" s="41"/>
      <c r="T23" s="41"/>
      <c r="U23" s="41"/>
      <c r="V23" s="41"/>
      <c r="W23" s="41"/>
      <c r="X23" s="41"/>
    </row>
    <row r="24" spans="1:24" x14ac:dyDescent="0.3">
      <c r="A24" s="41"/>
      <c r="B24" s="41"/>
      <c r="C24" s="41"/>
      <c r="D24" s="41"/>
      <c r="E24" s="41"/>
      <c r="F24" s="41"/>
      <c r="G24" s="41"/>
      <c r="H24" s="41"/>
      <c r="I24" s="41"/>
      <c r="J24" s="41"/>
      <c r="K24" s="41"/>
      <c r="L24" s="41"/>
      <c r="M24" s="41"/>
      <c r="N24" s="41"/>
      <c r="O24" s="41"/>
      <c r="P24" s="41"/>
      <c r="Q24" s="41"/>
      <c r="R24" s="41"/>
      <c r="S24" s="41"/>
      <c r="T24" s="41"/>
      <c r="U24" s="41"/>
      <c r="V24" s="41"/>
      <c r="W24" s="41"/>
      <c r="X24" s="41"/>
    </row>
    <row r="25" spans="1:24" x14ac:dyDescent="0.3">
      <c r="A25" s="41"/>
      <c r="B25" s="41"/>
      <c r="C25" s="41"/>
      <c r="D25" s="41"/>
      <c r="E25" s="41"/>
      <c r="F25" s="41"/>
      <c r="G25" s="41"/>
      <c r="H25" s="41"/>
      <c r="I25" s="41"/>
      <c r="J25" s="41"/>
      <c r="K25" s="41"/>
      <c r="L25" s="41"/>
      <c r="M25" s="41"/>
      <c r="N25" s="41"/>
      <c r="O25" s="41"/>
      <c r="P25" s="41"/>
      <c r="Q25" s="41"/>
      <c r="R25" s="41"/>
      <c r="S25" s="41"/>
      <c r="T25" s="41"/>
      <c r="U25" s="41"/>
      <c r="V25" s="41"/>
      <c r="W25" s="41"/>
      <c r="X25" s="41"/>
    </row>
    <row r="26" spans="1:24" x14ac:dyDescent="0.3">
      <c r="A26" s="41"/>
      <c r="B26" s="41"/>
      <c r="C26" s="41"/>
      <c r="D26" s="41"/>
      <c r="E26" s="41"/>
      <c r="F26" s="41"/>
      <c r="G26" s="41"/>
      <c r="H26" s="41"/>
      <c r="I26" s="41"/>
      <c r="J26" s="41"/>
      <c r="K26" s="41"/>
      <c r="L26" s="41"/>
      <c r="M26" s="41"/>
      <c r="N26" s="41"/>
      <c r="O26" s="41"/>
      <c r="P26" s="41"/>
      <c r="Q26" s="41"/>
      <c r="R26" s="41"/>
      <c r="S26" s="41"/>
      <c r="T26" s="41"/>
      <c r="U26" s="41"/>
      <c r="V26" s="41"/>
      <c r="W26" s="41"/>
      <c r="X26" s="41"/>
    </row>
    <row r="27" spans="1:24" x14ac:dyDescent="0.3">
      <c r="A27" s="41"/>
      <c r="B27" s="41"/>
      <c r="C27" s="41"/>
      <c r="D27" s="41"/>
      <c r="E27" s="41"/>
      <c r="F27" s="41"/>
      <c r="G27" s="41"/>
      <c r="H27" s="41"/>
      <c r="I27" s="41"/>
      <c r="J27" s="41"/>
      <c r="K27" s="41"/>
      <c r="L27" s="41"/>
      <c r="M27" s="41"/>
      <c r="N27" s="41"/>
      <c r="O27" s="41"/>
      <c r="P27" s="41"/>
      <c r="Q27" s="41"/>
      <c r="R27" s="41"/>
      <c r="S27" s="41"/>
      <c r="T27" s="41"/>
      <c r="U27" s="41"/>
      <c r="V27" s="41"/>
      <c r="W27" s="41"/>
      <c r="X27" s="41"/>
    </row>
    <row r="28" spans="1:24" x14ac:dyDescent="0.3">
      <c r="A28" s="41"/>
      <c r="B28" s="41"/>
      <c r="C28" s="41"/>
      <c r="D28" s="41"/>
      <c r="E28" s="41"/>
      <c r="F28" s="41"/>
      <c r="G28" s="41"/>
      <c r="H28" s="41"/>
      <c r="I28" s="41"/>
      <c r="J28" s="41"/>
      <c r="K28" s="41"/>
      <c r="L28" s="41"/>
      <c r="M28" s="41"/>
      <c r="N28" s="41"/>
      <c r="O28" s="41"/>
      <c r="P28" s="41"/>
      <c r="Q28" s="41"/>
      <c r="R28" s="41"/>
      <c r="S28" s="41"/>
      <c r="T28" s="41"/>
      <c r="U28" s="41"/>
      <c r="V28" s="41"/>
      <c r="W28" s="41"/>
      <c r="X28" s="41"/>
    </row>
    <row r="29" spans="1:24" x14ac:dyDescent="0.3">
      <c r="A29" s="41"/>
      <c r="B29" s="41"/>
      <c r="C29" s="41"/>
      <c r="D29" s="41"/>
      <c r="E29" s="41"/>
      <c r="F29" s="41"/>
      <c r="G29" s="41"/>
      <c r="H29" s="41"/>
      <c r="I29" s="41"/>
      <c r="J29" s="41"/>
      <c r="K29" s="41"/>
      <c r="L29" s="41"/>
      <c r="M29" s="41"/>
      <c r="N29" s="41"/>
      <c r="O29" s="41"/>
      <c r="P29" s="41"/>
      <c r="Q29" s="41"/>
      <c r="R29" s="41"/>
      <c r="S29" s="41"/>
      <c r="T29" s="41"/>
      <c r="U29" s="41"/>
      <c r="V29" s="41"/>
      <c r="W29" s="41"/>
      <c r="X29" s="41"/>
    </row>
    <row r="30" spans="1:24" x14ac:dyDescent="0.3">
      <c r="A30" s="41"/>
      <c r="B30" s="41"/>
      <c r="C30" s="41"/>
      <c r="D30" s="41"/>
      <c r="E30" s="41"/>
      <c r="F30" s="41"/>
      <c r="G30" s="41"/>
      <c r="H30" s="41"/>
      <c r="I30" s="41"/>
      <c r="J30" s="41"/>
      <c r="K30" s="41"/>
      <c r="L30" s="41"/>
      <c r="M30" s="41"/>
      <c r="N30" s="41"/>
      <c r="O30" s="41"/>
      <c r="P30" s="41"/>
      <c r="Q30" s="41"/>
      <c r="R30" s="41"/>
      <c r="S30" s="41"/>
      <c r="T30" s="41"/>
      <c r="U30" s="41"/>
      <c r="V30" s="41"/>
      <c r="W30" s="41"/>
      <c r="X30" s="41"/>
    </row>
    <row r="31" spans="1:24" x14ac:dyDescent="0.3">
      <c r="A31" s="41"/>
      <c r="B31" s="41"/>
      <c r="C31" s="41"/>
      <c r="D31" s="41"/>
      <c r="E31" s="41"/>
      <c r="F31" s="41"/>
      <c r="G31" s="41"/>
      <c r="H31" s="41"/>
      <c r="I31" s="41"/>
      <c r="J31" s="41"/>
      <c r="K31" s="41"/>
      <c r="L31" s="41"/>
      <c r="M31" s="41"/>
      <c r="N31" s="41"/>
      <c r="O31" s="41"/>
      <c r="P31" s="41"/>
      <c r="Q31" s="41"/>
      <c r="R31" s="41"/>
      <c r="S31" s="41"/>
      <c r="T31" s="41"/>
      <c r="U31" s="41"/>
      <c r="V31" s="41"/>
      <c r="W31" s="41"/>
      <c r="X31" s="41"/>
    </row>
    <row r="32" spans="1:24" x14ac:dyDescent="0.3">
      <c r="A32" s="41"/>
      <c r="B32" s="41"/>
      <c r="C32" s="41"/>
      <c r="D32" s="41"/>
      <c r="E32" s="41"/>
      <c r="F32" s="41"/>
      <c r="G32" s="41"/>
      <c r="H32" s="41"/>
      <c r="I32" s="41"/>
      <c r="J32" s="41"/>
      <c r="K32" s="41"/>
      <c r="L32" s="41"/>
      <c r="M32" s="41"/>
      <c r="N32" s="41"/>
      <c r="O32" s="41"/>
      <c r="P32" s="41"/>
      <c r="Q32" s="41"/>
      <c r="R32" s="41"/>
      <c r="S32" s="41"/>
      <c r="T32" s="41"/>
      <c r="U32" s="41"/>
      <c r="V32" s="41"/>
      <c r="W32" s="41"/>
      <c r="X32" s="41"/>
    </row>
    <row r="33" spans="1:24" x14ac:dyDescent="0.3">
      <c r="A33" s="41"/>
      <c r="B33" s="41"/>
      <c r="C33" s="41"/>
      <c r="D33" s="41"/>
      <c r="E33" s="41"/>
      <c r="F33" s="41"/>
      <c r="G33" s="41"/>
      <c r="H33" s="41"/>
      <c r="I33" s="41"/>
      <c r="J33" s="41"/>
      <c r="K33" s="41"/>
      <c r="L33" s="41"/>
      <c r="M33" s="41"/>
      <c r="N33" s="41"/>
      <c r="O33" s="41"/>
      <c r="P33" s="41"/>
      <c r="Q33" s="41"/>
      <c r="R33" s="41"/>
      <c r="S33" s="41"/>
      <c r="T33" s="41"/>
      <c r="U33" s="41"/>
      <c r="V33" s="41"/>
      <c r="W33" s="41"/>
      <c r="X33" s="41"/>
    </row>
    <row r="34" spans="1:24" x14ac:dyDescent="0.3">
      <c r="A34" s="41"/>
      <c r="B34" s="41"/>
      <c r="C34" s="41"/>
      <c r="D34" s="41"/>
      <c r="E34" s="41"/>
      <c r="F34" s="41"/>
      <c r="G34" s="41"/>
      <c r="H34" s="41"/>
      <c r="I34" s="41"/>
      <c r="J34" s="41"/>
      <c r="K34" s="41"/>
      <c r="L34" s="41"/>
      <c r="M34" s="41"/>
      <c r="N34" s="41"/>
      <c r="O34" s="41"/>
      <c r="P34" s="41"/>
      <c r="Q34" s="41"/>
      <c r="R34" s="41"/>
      <c r="S34" s="41"/>
      <c r="T34" s="41"/>
      <c r="U34" s="41"/>
      <c r="V34" s="41"/>
      <c r="W34" s="41"/>
      <c r="X34" s="41"/>
    </row>
    <row r="35" spans="1:24" x14ac:dyDescent="0.3">
      <c r="A35" s="41"/>
      <c r="B35" s="41"/>
      <c r="C35" s="41"/>
      <c r="D35" s="41"/>
      <c r="E35" s="41"/>
      <c r="F35" s="41"/>
      <c r="G35" s="41"/>
      <c r="H35" s="41"/>
      <c r="I35" s="41"/>
      <c r="J35" s="41"/>
      <c r="K35" s="41"/>
      <c r="L35" s="41"/>
      <c r="M35" s="41"/>
      <c r="N35" s="41"/>
      <c r="O35" s="41"/>
      <c r="P35" s="41"/>
      <c r="Q35" s="41"/>
      <c r="R35" s="41"/>
      <c r="S35" s="41"/>
      <c r="T35" s="41"/>
      <c r="U35" s="41"/>
      <c r="V35" s="41"/>
      <c r="W35" s="41"/>
      <c r="X35" s="41"/>
    </row>
    <row r="36" spans="1:24" x14ac:dyDescent="0.3">
      <c r="A36" s="41"/>
      <c r="B36" s="41"/>
      <c r="C36" s="41"/>
      <c r="D36" s="41"/>
      <c r="E36" s="41"/>
      <c r="F36" s="41"/>
      <c r="G36" s="41"/>
      <c r="H36" s="41"/>
      <c r="I36" s="41"/>
      <c r="J36" s="41"/>
      <c r="K36" s="41"/>
      <c r="L36" s="41"/>
      <c r="M36" s="41"/>
      <c r="N36" s="41"/>
      <c r="O36" s="41"/>
      <c r="P36" s="41"/>
      <c r="Q36" s="41"/>
      <c r="R36" s="41"/>
      <c r="S36" s="41"/>
      <c r="T36" s="41"/>
      <c r="U36" s="41"/>
      <c r="V36" s="41"/>
      <c r="W36" s="41"/>
      <c r="X36" s="41"/>
    </row>
    <row r="37" spans="1:24" x14ac:dyDescent="0.3">
      <c r="A37" s="41"/>
      <c r="B37" s="41"/>
      <c r="C37" s="41"/>
      <c r="D37" s="41"/>
      <c r="E37" s="41"/>
      <c r="F37" s="41"/>
      <c r="G37" s="41"/>
      <c r="H37" s="41"/>
      <c r="I37" s="41"/>
      <c r="J37" s="41"/>
      <c r="K37" s="41"/>
      <c r="L37" s="41"/>
      <c r="M37" s="41"/>
      <c r="N37" s="41"/>
      <c r="O37" s="41"/>
      <c r="P37" s="41"/>
      <c r="Q37" s="41"/>
      <c r="R37" s="41"/>
      <c r="S37" s="41"/>
      <c r="T37" s="41"/>
      <c r="U37" s="41"/>
      <c r="V37" s="41"/>
      <c r="W37" s="41"/>
      <c r="X37" s="41"/>
    </row>
    <row r="38" spans="1:24" x14ac:dyDescent="0.3">
      <c r="A38" s="41"/>
      <c r="B38" s="41"/>
      <c r="C38" s="41"/>
      <c r="D38" s="41"/>
      <c r="E38" s="41"/>
      <c r="F38" s="41"/>
      <c r="G38" s="41"/>
      <c r="H38" s="41"/>
      <c r="I38" s="41"/>
      <c r="J38" s="41"/>
      <c r="K38" s="41"/>
      <c r="L38" s="41"/>
      <c r="M38" s="41"/>
      <c r="N38" s="41"/>
      <c r="O38" s="41"/>
      <c r="P38" s="41"/>
      <c r="Q38" s="41"/>
      <c r="R38" s="41"/>
      <c r="S38" s="41"/>
      <c r="T38" s="41"/>
      <c r="U38" s="41"/>
      <c r="V38" s="41"/>
      <c r="W38" s="41"/>
      <c r="X38" s="41"/>
    </row>
    <row r="39" spans="1:24" x14ac:dyDescent="0.3">
      <c r="A39" s="41"/>
      <c r="B39" s="41"/>
      <c r="C39" s="41"/>
      <c r="D39" s="41"/>
      <c r="E39" s="41"/>
      <c r="F39" s="41"/>
      <c r="G39" s="41"/>
      <c r="H39" s="41"/>
      <c r="I39" s="41"/>
      <c r="J39" s="41"/>
      <c r="K39" s="41"/>
      <c r="L39" s="41"/>
      <c r="M39" s="41"/>
      <c r="N39" s="41"/>
      <c r="O39" s="41"/>
      <c r="P39" s="41"/>
      <c r="Q39" s="41"/>
      <c r="R39" s="41"/>
      <c r="S39" s="41"/>
      <c r="T39" s="41"/>
      <c r="U39" s="41"/>
      <c r="V39" s="41"/>
      <c r="W39" s="41"/>
      <c r="X39" s="41"/>
    </row>
    <row r="40" spans="1:24" x14ac:dyDescent="0.3">
      <c r="A40" s="41"/>
      <c r="B40" s="41"/>
      <c r="C40" s="41"/>
      <c r="D40" s="41"/>
      <c r="E40" s="41"/>
      <c r="F40" s="41"/>
      <c r="G40" s="41"/>
      <c r="H40" s="41"/>
      <c r="I40" s="41"/>
      <c r="J40" s="41"/>
      <c r="K40" s="41"/>
      <c r="L40" s="41"/>
      <c r="M40" s="41"/>
      <c r="N40" s="41"/>
      <c r="O40" s="41"/>
      <c r="P40" s="41"/>
      <c r="Q40" s="41"/>
      <c r="R40" s="41"/>
      <c r="S40" s="41"/>
      <c r="T40" s="41"/>
      <c r="U40" s="41"/>
      <c r="V40" s="41"/>
      <c r="W40" s="41"/>
      <c r="X40" s="4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Revenue</vt:lpstr>
      <vt:lpstr>Expense</vt:lpstr>
      <vt:lpstr>Products</vt:lpstr>
      <vt:lpstr>Sales Manager</vt:lpstr>
      <vt:lpstr>Pivot_Table</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tayod</dc:creator>
  <cp:keywords/>
  <dc:description/>
  <cp:lastModifiedBy>Kumari</cp:lastModifiedBy>
  <cp:revision/>
  <dcterms:created xsi:type="dcterms:W3CDTF">2026-05-09T20:28:46Z</dcterms:created>
  <dcterms:modified xsi:type="dcterms:W3CDTF">2026-06-01T23:21:42Z</dcterms:modified>
  <cp:category/>
  <cp:contentStatus/>
</cp:coreProperties>
</file>